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IT VEDANT\PROJECT\Excel\"/>
    </mc:Choice>
  </mc:AlternateContent>
  <xr:revisionPtr revIDLastSave="0" documentId="13_ncr:1_{F0FF704E-0E94-4EEC-BE73-2245782A5C59}" xr6:coauthVersionLast="47" xr6:coauthVersionMax="47" xr10:uidLastSave="{00000000-0000-0000-0000-000000000000}"/>
  <bookViews>
    <workbookView xWindow="-120" yWindow="-120" windowWidth="20730" windowHeight="11040" activeTab="2" xr2:uid="{00000000-000D-0000-FFFF-FFFF00000000}"/>
  </bookViews>
  <sheets>
    <sheet name="Data" sheetId="1" r:id="rId1"/>
    <sheet name="Insights" sheetId="2" r:id="rId2"/>
    <sheet name="Dashboard" sheetId="3" r:id="rId3"/>
  </sheets>
  <definedNames>
    <definedName name="Department">Data!$C:$C</definedName>
    <definedName name="Manager_Name">Data!$D:$D</definedName>
    <definedName name="NativeTimeline_End_Date">#N/A</definedName>
    <definedName name="NativeTimeline_Start_Date">#N/A</definedName>
    <definedName name="Project_ID">Data!$A:$A</definedName>
    <definedName name="Project_Name">Data!$B:$B</definedName>
    <definedName name="Slicer_Department">#N/A</definedName>
    <definedName name="Slicer_Project_Status">#N/A</definedName>
    <definedName name="Slicer_Quarter1">#N/A</definedName>
    <definedName name="Slicer_Region">#N/A</definedName>
    <definedName name="Slicer_Year">#N/A</definedName>
    <definedName name="Start_Date">Data!$E:$E</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2" i="1"/>
</calcChain>
</file>

<file path=xl/sharedStrings.xml><?xml version="1.0" encoding="utf-8"?>
<sst xmlns="http://schemas.openxmlformats.org/spreadsheetml/2006/main" count="24067" uniqueCount="3913">
  <si>
    <t>Project ID</t>
  </si>
  <si>
    <t>Project Name</t>
  </si>
  <si>
    <t>Department</t>
  </si>
  <si>
    <t>Manager Name</t>
  </si>
  <si>
    <t>Start Date</t>
  </si>
  <si>
    <t>End Date</t>
  </si>
  <si>
    <t>Project Status</t>
  </si>
  <si>
    <t>Allocated Budget (USD)</t>
  </si>
  <si>
    <t>Actual Spending (USD)</t>
  </si>
  <si>
    <t>Region</t>
  </si>
  <si>
    <t>Quarter</t>
  </si>
  <si>
    <t>Year</t>
  </si>
  <si>
    <t>Variance (USD)</t>
  </si>
  <si>
    <t>ROI (%)</t>
  </si>
  <si>
    <t>Remarks / Notes</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</si>
  <si>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</si>
  <si>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</si>
  <si>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</si>
  <si>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</si>
  <si>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</si>
  <si>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</si>
  <si>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</si>
  <si>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</si>
  <si>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</si>
  <si>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</si>
  <si>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</si>
  <si>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</si>
  <si>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</si>
  <si>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</si>
  <si>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</si>
  <si>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</si>
  <si>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</si>
  <si>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</si>
  <si>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</si>
  <si>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</si>
  <si>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</si>
  <si>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</si>
  <si>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</si>
  <si>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</si>
  <si>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</si>
  <si>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</si>
  <si>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</si>
  <si>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</si>
  <si>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</si>
  <si>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</si>
  <si>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</si>
  <si>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</si>
  <si>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</si>
  <si>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</si>
  <si>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</si>
  <si>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</si>
  <si>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</si>
  <si>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</si>
  <si>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</si>
  <si>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</si>
  <si>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</si>
  <si>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</si>
  <si>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</si>
  <si>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</si>
  <si>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</si>
  <si>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</si>
  <si>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</si>
  <si>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</si>
  <si>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</si>
  <si>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</si>
  <si>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</si>
  <si>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</si>
  <si>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</si>
  <si>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</si>
  <si>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</si>
  <si>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</si>
  <si>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</si>
  <si>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</si>
  <si>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</si>
  <si>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</si>
  <si>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</si>
  <si>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</si>
  <si>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</si>
  <si>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</si>
  <si>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</si>
  <si>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</si>
  <si>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</si>
  <si>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</si>
  <si>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</si>
  <si>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</si>
  <si>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</si>
  <si>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</si>
  <si>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</si>
  <si>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</si>
  <si>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</si>
  <si>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</si>
  <si>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</si>
  <si>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</si>
  <si>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</si>
  <si>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</si>
  <si>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</si>
  <si>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</si>
  <si>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</si>
  <si>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</si>
  <si>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</si>
  <si>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</si>
  <si>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</si>
  <si>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</si>
  <si>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</si>
  <si>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</si>
  <si>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</si>
  <si>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</si>
  <si>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</si>
  <si>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</si>
  <si>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</si>
  <si>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</si>
  <si>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</si>
  <si>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</si>
  <si>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</si>
  <si>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</si>
  <si>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</si>
  <si>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</si>
  <si>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</si>
  <si>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</si>
  <si>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</si>
  <si>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</si>
  <si>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</si>
  <si>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</si>
  <si>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</si>
  <si>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</si>
  <si>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</si>
  <si>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</si>
  <si>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</si>
  <si>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</si>
  <si>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</si>
  <si>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</si>
  <si>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</si>
  <si>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</si>
  <si>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</si>
  <si>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</si>
  <si>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</si>
  <si>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</si>
  <si>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</si>
  <si>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</si>
  <si>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</si>
  <si>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</si>
  <si>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</si>
  <si>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</si>
  <si>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</si>
  <si>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</si>
  <si>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</si>
  <si>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</si>
  <si>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</si>
  <si>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</si>
  <si>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</si>
  <si>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</si>
  <si>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</si>
  <si>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</si>
  <si>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</si>
  <si>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</si>
  <si>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</si>
  <si>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</si>
  <si>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</si>
  <si>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</si>
  <si>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</si>
  <si>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</si>
  <si>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</si>
  <si>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</si>
  <si>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</si>
  <si>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</si>
  <si>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</si>
  <si>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</si>
  <si>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</si>
  <si>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</si>
  <si>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</si>
  <si>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</si>
  <si>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</si>
  <si>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</si>
  <si>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</si>
  <si>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</si>
  <si>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</si>
  <si>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</si>
  <si>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</si>
  <si>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</si>
  <si>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</si>
  <si>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</si>
  <si>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</si>
  <si>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</si>
  <si>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</si>
  <si>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</si>
  <si>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</si>
  <si>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</si>
  <si>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</si>
  <si>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</si>
  <si>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</si>
  <si>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</si>
  <si>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</si>
  <si>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</si>
  <si>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</si>
  <si>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</si>
  <si>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</si>
  <si>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</si>
  <si>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</si>
  <si>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</si>
  <si>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</si>
  <si>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</si>
  <si>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</si>
  <si>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</si>
  <si>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</si>
  <si>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</si>
  <si>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</si>
  <si>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</si>
  <si>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</si>
  <si>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</si>
  <si>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</si>
  <si>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</si>
  <si>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</si>
  <si>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</si>
  <si>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</si>
  <si>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</si>
  <si>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</si>
  <si>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</si>
  <si>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</si>
  <si>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</si>
  <si>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</si>
  <si>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</si>
  <si>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</si>
  <si>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</si>
  <si>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</si>
  <si>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</si>
  <si>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</si>
  <si>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</si>
  <si>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</si>
  <si>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</si>
  <si>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</si>
  <si>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</si>
  <si>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</si>
  <si>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</si>
  <si>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</si>
  <si>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</si>
  <si>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</si>
  <si>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</si>
  <si>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</si>
  <si>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</si>
  <si>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</si>
  <si>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</si>
  <si>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</si>
  <si>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</si>
  <si>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</si>
  <si>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</si>
  <si>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</si>
  <si>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</si>
  <si>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</si>
  <si>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</si>
  <si>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</si>
  <si>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</si>
  <si>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</si>
  <si>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</si>
  <si>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</si>
  <si>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</si>
  <si>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</si>
  <si>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</si>
  <si>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</si>
  <si>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</si>
  <si>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</si>
  <si>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</si>
  <si>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</si>
  <si>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</si>
  <si>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</si>
  <si>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</si>
  <si>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</si>
  <si>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</si>
  <si>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</si>
  <si>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</si>
  <si>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</si>
  <si>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</si>
  <si>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</si>
  <si>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</si>
  <si>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</si>
  <si>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</si>
  <si>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</si>
  <si>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</si>
  <si>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</si>
  <si>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</si>
  <si>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</si>
  <si>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</si>
  <si>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</si>
  <si>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</si>
  <si>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</si>
  <si>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</si>
  <si>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</si>
  <si>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</si>
  <si>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</si>
  <si>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</si>
  <si>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</si>
  <si>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</si>
  <si>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</si>
  <si>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</si>
  <si>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</si>
  <si>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</si>
  <si>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</si>
  <si>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</si>
  <si>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</si>
  <si>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</si>
  <si>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</si>
  <si>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</si>
  <si>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</si>
  <si>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</si>
  <si>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</si>
  <si>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</si>
  <si>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</si>
  <si>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</si>
  <si>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</si>
  <si>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</si>
  <si>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</si>
  <si>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</si>
  <si>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</si>
  <si>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</si>
  <si>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</si>
  <si>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</si>
  <si>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</si>
  <si>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</si>
  <si>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</si>
  <si>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</si>
  <si>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</si>
  <si>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</si>
  <si>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</si>
  <si>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</si>
  <si>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</si>
  <si>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</si>
  <si>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</si>
  <si>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</si>
  <si>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</si>
  <si>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</si>
  <si>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</si>
  <si>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</si>
  <si>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</si>
  <si>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</si>
  <si>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</si>
  <si>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</si>
  <si>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</si>
  <si>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</si>
  <si>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</si>
  <si>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</si>
  <si>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</si>
  <si>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</si>
  <si>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</si>
  <si>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</si>
  <si>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</si>
  <si>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</si>
  <si>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</si>
  <si>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</si>
  <si>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</si>
  <si>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</si>
  <si>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</si>
  <si>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</si>
  <si>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</si>
  <si>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</si>
  <si>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</si>
  <si>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</si>
  <si>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</si>
  <si>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</si>
  <si>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</si>
  <si>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</si>
  <si>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</si>
  <si>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</si>
  <si>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</si>
  <si>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</si>
  <si>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</si>
  <si>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</si>
  <si>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</si>
  <si>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</si>
  <si>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</si>
  <si>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</si>
  <si>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</si>
  <si>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</si>
  <si>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</si>
  <si>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</si>
  <si>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</si>
  <si>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</si>
  <si>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</si>
  <si>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</si>
  <si>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</si>
  <si>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</si>
  <si>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</si>
  <si>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</si>
  <si>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</si>
  <si>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</si>
  <si>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</si>
  <si>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</si>
  <si>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</si>
  <si>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</si>
  <si>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</si>
  <si>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</si>
  <si>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</si>
  <si>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</si>
  <si>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</si>
  <si>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</si>
  <si>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</si>
  <si>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</si>
  <si>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</si>
  <si>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</si>
  <si>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</si>
  <si>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</si>
  <si>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</si>
  <si>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</si>
  <si>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</si>
  <si>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</si>
  <si>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</si>
  <si>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</si>
  <si>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</si>
  <si>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</si>
  <si>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</si>
  <si>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</si>
  <si>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</si>
  <si>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</si>
  <si>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</si>
  <si>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</si>
  <si>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</si>
  <si>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</si>
  <si>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</si>
  <si>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</si>
  <si>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</si>
  <si>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</si>
  <si>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</si>
  <si>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</si>
  <si>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</si>
  <si>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</si>
  <si>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</si>
  <si>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</si>
  <si>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</si>
  <si>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</si>
  <si>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</si>
  <si>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</si>
  <si>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</si>
  <si>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</si>
  <si>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</si>
  <si>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</si>
  <si>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</si>
  <si>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</si>
  <si>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</si>
  <si>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</si>
  <si>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</si>
  <si>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</si>
  <si>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</si>
  <si>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</si>
  <si>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</si>
  <si>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</si>
  <si>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</si>
  <si>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</si>
  <si>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</si>
  <si>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</si>
  <si>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</si>
  <si>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</si>
  <si>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</si>
  <si>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</si>
  <si>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</si>
  <si>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</si>
  <si>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</si>
  <si>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</si>
  <si>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</si>
  <si>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</si>
  <si>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</si>
  <si>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</si>
  <si>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</si>
  <si>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</si>
  <si>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</si>
  <si>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</si>
  <si>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</si>
  <si>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</si>
  <si>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</si>
  <si>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</si>
  <si>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</si>
  <si>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</si>
  <si>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</si>
  <si>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</si>
  <si>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</si>
  <si>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</si>
  <si>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</si>
  <si>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</si>
  <si>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</si>
  <si>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</si>
  <si>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</si>
  <si>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</si>
  <si>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</si>
  <si>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</si>
  <si>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</si>
  <si>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</si>
  <si>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</si>
  <si>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</si>
  <si>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</si>
  <si>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</si>
  <si>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</si>
  <si>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</si>
  <si>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</si>
  <si>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</si>
  <si>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</si>
  <si>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</si>
  <si>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</si>
  <si>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</si>
  <si>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</si>
  <si>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</si>
  <si>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</si>
  <si>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</si>
  <si>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</si>
  <si>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</si>
  <si>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</si>
  <si>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</si>
  <si>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</si>
  <si>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</si>
  <si>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</si>
  <si>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</si>
  <si>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</si>
  <si>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</si>
  <si>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</si>
  <si>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</si>
  <si>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</si>
  <si>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</si>
  <si>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</si>
  <si>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</si>
  <si>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</si>
  <si>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</si>
  <si>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</si>
  <si>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</si>
  <si>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</si>
  <si>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</si>
  <si>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</si>
  <si>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</si>
  <si>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</si>
  <si>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</si>
  <si>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</si>
  <si>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</si>
  <si>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</si>
  <si>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</si>
  <si>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</si>
  <si>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</si>
  <si>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</si>
  <si>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</si>
  <si>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</si>
  <si>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</si>
  <si>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</si>
  <si>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</si>
  <si>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</si>
  <si>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</si>
  <si>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</si>
  <si>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</si>
  <si>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</si>
  <si>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</si>
  <si>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</si>
  <si>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</si>
  <si>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</si>
  <si>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</si>
  <si>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</si>
  <si>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</si>
  <si>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</si>
  <si>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</si>
  <si>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</si>
  <si>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</si>
  <si>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</si>
  <si>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</si>
  <si>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</si>
  <si>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</si>
  <si>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</si>
  <si>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</si>
  <si>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</si>
  <si>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</si>
  <si>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</si>
  <si>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</si>
  <si>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</si>
  <si>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</si>
  <si>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</si>
  <si>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</si>
  <si>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</si>
  <si>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</si>
  <si>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</si>
  <si>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</si>
  <si>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</si>
  <si>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</si>
  <si>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</si>
  <si>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</si>
  <si>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</si>
  <si>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</si>
  <si>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</si>
  <si>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</si>
  <si>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</si>
  <si>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</si>
  <si>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</si>
  <si>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</si>
  <si>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</si>
  <si>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</si>
  <si>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</si>
  <si>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</si>
  <si>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</si>
  <si>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</si>
  <si>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</si>
  <si>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</si>
  <si>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</si>
  <si>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</si>
  <si>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</si>
  <si>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</si>
  <si>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</si>
  <si>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</si>
  <si>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</si>
  <si>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</si>
  <si>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</si>
  <si>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</si>
  <si>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</si>
  <si>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</si>
  <si>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</si>
  <si>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</si>
  <si>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</si>
  <si>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</si>
  <si>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</si>
  <si>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</si>
  <si>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</si>
  <si>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</si>
  <si>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</si>
  <si>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</si>
  <si>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</si>
  <si>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</si>
  <si>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</si>
  <si>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</si>
  <si>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</si>
  <si>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</si>
  <si>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</si>
  <si>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</si>
  <si>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</si>
  <si>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</si>
  <si>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</si>
  <si>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</si>
  <si>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</si>
  <si>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</si>
  <si>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</si>
  <si>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</si>
  <si>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</si>
  <si>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</si>
  <si>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</si>
  <si>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</si>
  <si>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</si>
  <si>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</si>
  <si>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</si>
  <si>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</si>
  <si>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</si>
  <si>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</si>
  <si>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</si>
  <si>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</si>
  <si>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</si>
  <si>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</si>
  <si>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</si>
  <si>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</si>
  <si>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</si>
  <si>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</si>
  <si>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</si>
  <si>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</si>
  <si>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</si>
  <si>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</si>
  <si>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</si>
  <si>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</si>
  <si>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</si>
  <si>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</si>
  <si>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</si>
  <si>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</si>
  <si>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</si>
  <si>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</si>
  <si>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</si>
  <si>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</si>
  <si>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</si>
  <si>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</si>
  <si>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</si>
  <si>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</si>
  <si>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</si>
  <si>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</si>
  <si>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</si>
  <si>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</si>
  <si>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</si>
  <si>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</si>
  <si>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</si>
  <si>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</si>
  <si>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</si>
  <si>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</si>
  <si>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</si>
  <si>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</si>
  <si>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</si>
  <si>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</si>
  <si>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</si>
  <si>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</si>
  <si>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</si>
  <si>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</si>
  <si>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</si>
  <si>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</si>
  <si>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</si>
  <si>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</si>
  <si>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</si>
  <si>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</si>
  <si>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</si>
  <si>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</si>
  <si>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</si>
  <si>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</si>
  <si>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</si>
  <si>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</si>
  <si>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</si>
  <si>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</si>
  <si>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</si>
  <si>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</si>
  <si>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</si>
  <si>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</si>
  <si>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</si>
  <si>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</si>
  <si>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</si>
  <si>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</si>
  <si>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</si>
  <si>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</si>
  <si>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</si>
  <si>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</si>
  <si>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</si>
  <si>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</si>
  <si>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</si>
  <si>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</si>
  <si>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</si>
  <si>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</si>
  <si>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</si>
  <si>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</si>
  <si>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</si>
  <si>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</si>
  <si>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</si>
  <si>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</si>
  <si>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</si>
  <si>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</si>
  <si>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</si>
  <si>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</si>
  <si>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</si>
  <si>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</si>
  <si>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</si>
  <si>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</si>
  <si>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</si>
  <si>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</si>
  <si>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</si>
  <si>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</si>
  <si>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</si>
  <si>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</si>
  <si>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</si>
  <si>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</si>
  <si>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</si>
  <si>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</si>
  <si>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</si>
  <si>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</si>
  <si>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</si>
  <si>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</si>
  <si>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</si>
  <si>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</si>
  <si>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</si>
  <si>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</si>
  <si>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</si>
  <si>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</si>
  <si>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</si>
  <si>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</si>
  <si>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</si>
  <si>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</si>
  <si>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</si>
  <si>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</si>
  <si>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</si>
  <si>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</si>
  <si>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</si>
  <si>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</si>
  <si>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</si>
  <si>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</si>
  <si>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</si>
  <si>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</si>
  <si>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</si>
  <si>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</si>
  <si>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</si>
  <si>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</si>
  <si>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</si>
  <si>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</si>
  <si>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</si>
  <si>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</si>
  <si>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</si>
  <si>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</si>
  <si>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</si>
  <si>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</si>
  <si>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</si>
  <si>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</si>
  <si>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</si>
  <si>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</si>
  <si>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</si>
  <si>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</si>
  <si>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</si>
  <si>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</si>
  <si>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</si>
  <si>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</si>
  <si>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</si>
  <si>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</si>
  <si>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</si>
  <si>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</si>
  <si>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</si>
  <si>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</si>
  <si>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</si>
  <si>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</si>
  <si>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</si>
  <si>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</si>
  <si>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</si>
  <si>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</si>
  <si>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</si>
  <si>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</si>
  <si>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</si>
  <si>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</si>
  <si>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</si>
  <si>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</si>
  <si>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</si>
  <si>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</si>
  <si>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</si>
  <si>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</si>
  <si>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</si>
  <si>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</si>
  <si>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</si>
  <si>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</si>
  <si>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</si>
  <si>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</si>
  <si>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</si>
  <si>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</si>
  <si>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</si>
  <si>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</si>
  <si>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</si>
  <si>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</si>
  <si>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</si>
  <si>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</si>
  <si>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</si>
  <si>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</si>
  <si>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</si>
  <si>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</si>
  <si>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</si>
  <si>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</si>
  <si>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</si>
  <si>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</si>
  <si>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</si>
  <si>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</si>
  <si>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</si>
  <si>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</si>
  <si>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</si>
  <si>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</si>
  <si>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</si>
  <si>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</si>
  <si>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</si>
  <si>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</si>
  <si>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</si>
  <si>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</si>
  <si>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</si>
  <si>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</si>
  <si>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</si>
  <si>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</si>
  <si>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</si>
  <si>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</si>
  <si>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</si>
  <si>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</si>
  <si>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</si>
  <si>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</si>
  <si>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</si>
  <si>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</si>
  <si>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</si>
  <si>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</si>
  <si>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</si>
  <si>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</si>
  <si>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</si>
  <si>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</si>
  <si>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</si>
  <si>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</si>
  <si>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</si>
  <si>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</si>
  <si>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</si>
  <si>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</si>
  <si>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</si>
  <si>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</si>
  <si>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</si>
  <si>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</si>
  <si>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</si>
  <si>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</si>
  <si>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</si>
  <si>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</si>
  <si>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</si>
  <si>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</si>
  <si>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</si>
  <si>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</si>
  <si>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</si>
  <si>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</si>
  <si>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</si>
  <si>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</si>
  <si>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</si>
  <si>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</si>
  <si>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</si>
  <si>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</si>
  <si>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</si>
  <si>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</si>
  <si>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</si>
  <si>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</si>
  <si>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</si>
  <si>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</si>
  <si>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</si>
  <si>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</si>
  <si>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</si>
  <si>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</si>
  <si>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</si>
  <si>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</si>
  <si>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</si>
  <si>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</si>
  <si>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</si>
  <si>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</si>
  <si>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</si>
  <si>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</si>
  <si>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</si>
  <si>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</si>
  <si>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</si>
  <si>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</si>
  <si>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</si>
  <si>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</si>
  <si>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</si>
  <si>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</si>
  <si>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</si>
  <si>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</si>
  <si>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</si>
  <si>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</si>
  <si>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</si>
  <si>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</si>
  <si>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</si>
  <si>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</si>
  <si>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</si>
  <si>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</si>
  <si>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</si>
  <si>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</si>
  <si>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</si>
  <si>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</si>
  <si>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</si>
  <si>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</si>
  <si>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</si>
  <si>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</si>
  <si>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</si>
  <si>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</si>
  <si>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</si>
  <si>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</si>
  <si>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</si>
  <si>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</si>
  <si>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</si>
  <si>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</si>
  <si>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</si>
  <si>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</si>
  <si>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</si>
  <si>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</si>
  <si>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</si>
  <si>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</si>
  <si>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</si>
  <si>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</si>
  <si>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</si>
  <si>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</si>
  <si>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</si>
  <si>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</si>
  <si>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</si>
  <si>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</si>
  <si>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</si>
  <si>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</si>
  <si>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</si>
  <si>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</si>
  <si>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</si>
  <si>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</si>
  <si>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</si>
  <si>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</si>
  <si>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</si>
  <si>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</si>
  <si>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</si>
  <si>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</si>
  <si>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</si>
  <si>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</si>
  <si>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</si>
  <si>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</si>
  <si>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</si>
  <si>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</si>
  <si>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</si>
  <si>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</si>
  <si>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</si>
  <si>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</si>
  <si>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</si>
  <si>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</si>
  <si>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</si>
  <si>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</si>
  <si>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</si>
  <si>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</si>
  <si>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</si>
  <si>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</si>
  <si>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</si>
  <si>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</si>
  <si>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</si>
  <si>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</si>
  <si>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</si>
  <si>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</si>
  <si>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</si>
  <si>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</si>
  <si>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</si>
  <si>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</si>
  <si>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</si>
  <si>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</si>
  <si>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</si>
  <si>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</si>
  <si>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</si>
  <si>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</si>
  <si>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</si>
  <si>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</si>
  <si>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</si>
  <si>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</si>
  <si>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</si>
  <si>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</si>
  <si>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</si>
  <si>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</si>
  <si>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</si>
  <si>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</si>
  <si>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</si>
  <si>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</si>
  <si>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</si>
  <si>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</si>
  <si>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</si>
  <si>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</si>
  <si>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</si>
  <si>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</si>
  <si>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</si>
  <si>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</si>
  <si>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</si>
  <si>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</si>
  <si>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</si>
  <si>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</si>
  <si>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</si>
  <si>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</si>
  <si>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</si>
  <si>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</si>
  <si>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</si>
  <si>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</si>
  <si>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</si>
  <si>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</si>
  <si>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</si>
  <si>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</si>
  <si>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</si>
  <si>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</si>
  <si>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</si>
  <si>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</si>
  <si>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</si>
  <si>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</si>
  <si>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</si>
  <si>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</si>
  <si>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</si>
  <si>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</si>
  <si>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</si>
  <si>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</si>
  <si>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</si>
  <si>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</si>
  <si>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</si>
  <si>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</si>
  <si>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</si>
  <si>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</si>
  <si>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</si>
  <si>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</si>
  <si>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</si>
  <si>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</si>
  <si>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</si>
  <si>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</si>
  <si>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</si>
  <si>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</si>
  <si>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</si>
  <si>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</si>
  <si>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</si>
  <si>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</si>
  <si>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</si>
  <si>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</si>
  <si>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</si>
  <si>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</si>
  <si>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</si>
  <si>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</si>
  <si>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</si>
  <si>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</si>
  <si>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</si>
  <si>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</si>
  <si>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</si>
  <si>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</si>
  <si>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</si>
  <si>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</si>
  <si>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</si>
  <si>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</si>
  <si>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</si>
  <si>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</si>
  <si>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</si>
  <si>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</si>
  <si>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</si>
  <si>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</si>
  <si>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</si>
  <si>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</si>
  <si>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</si>
  <si>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</si>
  <si>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</si>
  <si>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</si>
  <si>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</si>
  <si>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</si>
  <si>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</si>
  <si>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</si>
  <si>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</si>
  <si>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</si>
  <si>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</si>
  <si>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</si>
  <si>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</si>
  <si>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</si>
  <si>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</si>
  <si>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</si>
  <si>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</si>
  <si>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</si>
  <si>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</si>
  <si>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</si>
  <si>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</si>
  <si>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</si>
  <si>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</si>
  <si>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</si>
  <si>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</si>
  <si>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</si>
  <si>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</si>
  <si>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</si>
  <si>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</si>
  <si>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</si>
  <si>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</si>
  <si>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</si>
  <si>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</si>
  <si>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</si>
  <si>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</si>
  <si>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</si>
  <si>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</si>
  <si>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</si>
  <si>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</si>
  <si>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</si>
  <si>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</si>
  <si>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</si>
  <si>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</si>
  <si>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</si>
  <si>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</si>
  <si>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</si>
  <si>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</si>
  <si>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</si>
  <si>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</si>
  <si>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</si>
  <si>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</si>
  <si>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</si>
  <si>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</si>
  <si>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</si>
  <si>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</si>
  <si>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</si>
  <si>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</si>
  <si>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</si>
  <si>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</si>
  <si>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</si>
  <si>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</si>
  <si>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</si>
  <si>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</si>
  <si>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</si>
  <si>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</si>
  <si>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</si>
  <si>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</si>
  <si>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</si>
  <si>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</si>
  <si>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</si>
  <si>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</si>
  <si>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</si>
  <si>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</si>
  <si>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</si>
  <si>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</si>
  <si>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</si>
  <si>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</si>
  <si>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</si>
  <si>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</si>
  <si>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</si>
  <si>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</si>
  <si>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</si>
  <si>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</si>
  <si>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</si>
  <si>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</si>
  <si>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</si>
  <si>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</si>
  <si>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</si>
  <si>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</si>
  <si>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</si>
  <si>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</si>
  <si>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</si>
  <si>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</si>
  <si>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</si>
  <si>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</si>
  <si>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</si>
  <si>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</si>
  <si>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</si>
  <si>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</si>
  <si>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</si>
  <si>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</si>
  <si>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</si>
  <si>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</si>
  <si>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</si>
  <si>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</si>
  <si>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</si>
  <si>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</si>
  <si>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</si>
  <si>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</si>
  <si>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</si>
  <si>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</si>
  <si>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</si>
  <si>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</si>
  <si>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</si>
  <si>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</si>
  <si>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</si>
  <si>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</si>
  <si>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</si>
  <si>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</si>
  <si>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</si>
  <si>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</si>
  <si>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</si>
  <si>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</si>
  <si>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</si>
  <si>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</si>
  <si>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</si>
  <si>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</si>
  <si>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</si>
  <si>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</si>
  <si>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</si>
  <si>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</si>
  <si>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</si>
  <si>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</si>
  <si>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</si>
  <si>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</si>
  <si>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</si>
  <si>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</si>
  <si>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</si>
  <si>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</si>
  <si>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</si>
  <si>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</si>
  <si>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</si>
  <si>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</si>
  <si>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</si>
  <si>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</si>
  <si>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</si>
  <si>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</si>
  <si>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</si>
  <si>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</si>
  <si>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</si>
  <si>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</si>
  <si>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</si>
  <si>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</si>
  <si>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</si>
  <si>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</si>
  <si>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</si>
  <si>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</si>
  <si>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</si>
  <si>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</si>
  <si>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</si>
  <si>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</si>
  <si>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</si>
  <si>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</si>
  <si>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</si>
  <si>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</si>
  <si>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</si>
  <si>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</si>
  <si>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</si>
  <si>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</si>
  <si>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</si>
  <si>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</si>
  <si>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</si>
  <si>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</si>
  <si>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</si>
  <si>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</si>
  <si>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</si>
  <si>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</si>
  <si>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</si>
  <si>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</si>
  <si>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</si>
  <si>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</si>
  <si>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</si>
  <si>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</si>
  <si>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</si>
  <si>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</si>
  <si>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</si>
  <si>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</si>
  <si>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</si>
  <si>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</si>
  <si>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</si>
  <si>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</si>
  <si>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</si>
  <si>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</si>
  <si>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</si>
  <si>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</si>
  <si>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</si>
  <si>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</si>
  <si>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</si>
  <si>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</si>
  <si>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</si>
  <si>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</si>
  <si>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</si>
  <si>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</si>
  <si>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</si>
  <si>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</si>
  <si>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</si>
  <si>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</si>
  <si>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</si>
  <si>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</si>
  <si>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</si>
  <si>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</si>
  <si>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</si>
  <si>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</si>
  <si>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</si>
  <si>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</si>
  <si>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</si>
  <si>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</si>
  <si>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</si>
  <si>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</si>
  <si>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</si>
  <si>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</si>
  <si>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</si>
  <si>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</si>
  <si>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</si>
  <si>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</si>
  <si>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</si>
  <si>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</si>
  <si>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</si>
  <si>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</si>
  <si>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</si>
  <si>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</si>
  <si>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</si>
  <si>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</si>
  <si>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</si>
  <si>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</si>
  <si>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</si>
  <si>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</si>
  <si>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</si>
  <si>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</si>
  <si>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</si>
  <si>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</si>
  <si>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</si>
  <si>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</si>
  <si>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</si>
  <si>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</si>
  <si>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</si>
  <si>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</si>
  <si>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</si>
  <si>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</si>
  <si>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</si>
  <si>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</si>
  <si>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</si>
  <si>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</si>
  <si>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</si>
  <si>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</si>
  <si>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</si>
  <si>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</si>
  <si>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</si>
  <si>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</si>
  <si>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</si>
  <si>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</si>
  <si>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</si>
  <si>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</si>
  <si>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</si>
  <si>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</si>
  <si>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</si>
  <si>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</si>
  <si>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</si>
  <si>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</si>
  <si>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</si>
  <si>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</si>
  <si>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</si>
  <si>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</si>
  <si>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</si>
  <si>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</si>
  <si>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</si>
  <si>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</si>
  <si>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</si>
  <si>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</si>
  <si>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</si>
  <si>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</si>
  <si>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</si>
  <si>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</si>
  <si>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</si>
  <si>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</si>
  <si>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</si>
  <si>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</si>
  <si>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</si>
  <si>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</si>
  <si>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</si>
  <si>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</si>
  <si>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</si>
  <si>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</si>
  <si>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</si>
  <si>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</si>
  <si>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</si>
  <si>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</si>
  <si>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</si>
  <si>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</si>
  <si>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</si>
  <si>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</si>
  <si>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</si>
  <si>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</si>
  <si>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</si>
  <si>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</si>
  <si>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</si>
  <si>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</si>
  <si>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</si>
  <si>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</si>
  <si>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</si>
  <si>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</si>
  <si>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</si>
  <si>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</si>
  <si>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</si>
  <si>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</si>
  <si>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</si>
  <si>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</si>
  <si>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</si>
  <si>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</si>
  <si>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</si>
  <si>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</si>
  <si>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</si>
  <si>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</si>
  <si>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</si>
  <si>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</si>
  <si>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</si>
  <si>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</si>
  <si>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</si>
  <si>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</si>
  <si>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</si>
  <si>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</si>
  <si>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</si>
  <si>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</si>
  <si>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</si>
  <si>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</si>
  <si>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</si>
  <si>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</si>
  <si>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</si>
  <si>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</si>
  <si>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</si>
  <si>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</si>
  <si>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</si>
  <si>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</si>
  <si>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</si>
  <si>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</si>
  <si>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</si>
  <si>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</si>
  <si>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</si>
  <si>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</si>
  <si>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</si>
  <si>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</si>
  <si>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</si>
  <si>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</si>
  <si>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</si>
  <si>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</si>
  <si>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</si>
  <si>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</si>
  <si>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</si>
  <si>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</si>
  <si>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</si>
  <si>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</si>
  <si>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</si>
  <si>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</si>
  <si>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</si>
  <si>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</si>
  <si>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</si>
  <si>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</si>
  <si>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</si>
  <si>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</si>
  <si>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</si>
  <si>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</si>
  <si>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</si>
  <si>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</si>
  <si>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</si>
  <si>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</si>
  <si>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</si>
  <si>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</si>
  <si>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</si>
  <si>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</si>
  <si>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</si>
  <si>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</si>
  <si>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</si>
  <si>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</si>
  <si>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</si>
  <si>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</si>
  <si>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</si>
  <si>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</si>
  <si>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</si>
  <si>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</si>
  <si>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</si>
  <si>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</si>
  <si>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</si>
  <si>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</si>
  <si>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</si>
  <si>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</si>
  <si>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</si>
  <si>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</si>
  <si>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</si>
  <si>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</si>
  <si>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</si>
  <si>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</si>
  <si>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</si>
  <si>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</si>
  <si>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</si>
  <si>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</si>
  <si>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</si>
  <si>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</si>
  <si>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</si>
  <si>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</si>
  <si>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</si>
  <si>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</si>
  <si>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</si>
  <si>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</si>
  <si>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</si>
  <si>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</si>
  <si>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</si>
  <si>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</si>
  <si>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</si>
  <si>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</si>
  <si>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</si>
  <si>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</si>
  <si>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</si>
  <si>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</si>
  <si>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</si>
  <si>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</si>
  <si>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</si>
  <si>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</si>
  <si>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</si>
  <si>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</si>
  <si>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</si>
  <si>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</si>
  <si>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</si>
  <si>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</si>
  <si>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</si>
  <si>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</si>
  <si>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</si>
  <si>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</si>
  <si>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</si>
  <si>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</si>
  <si>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</si>
  <si>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</si>
  <si>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</si>
  <si>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</si>
  <si>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</si>
  <si>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</si>
  <si>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</si>
  <si>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</si>
  <si>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</si>
  <si>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</si>
  <si>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</si>
  <si>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</si>
  <si>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</si>
  <si>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</si>
  <si>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</si>
  <si>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</si>
  <si>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</si>
  <si>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</si>
  <si>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</si>
  <si>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</si>
  <si>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</si>
  <si>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</si>
  <si>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</si>
  <si>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</si>
  <si>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</si>
  <si>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</si>
  <si>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</si>
  <si>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</si>
  <si>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</si>
  <si>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</si>
  <si>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</si>
  <si>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</si>
  <si>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</si>
  <si>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</si>
  <si>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</si>
  <si>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</si>
  <si>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</si>
  <si>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</si>
  <si>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</si>
  <si>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</si>
  <si>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</si>
  <si>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</si>
  <si>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</si>
  <si>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</si>
  <si>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</si>
  <si>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</si>
  <si>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</si>
  <si>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</si>
  <si>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</si>
  <si>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</si>
  <si>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</si>
  <si>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</si>
  <si>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</si>
  <si>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</si>
  <si>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</si>
  <si>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</si>
  <si>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</si>
  <si>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</si>
  <si>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</si>
  <si>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</si>
  <si>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</si>
  <si>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</si>
  <si>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</si>
  <si>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</si>
  <si>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</si>
  <si>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</si>
  <si>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</si>
  <si>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</si>
  <si>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</si>
  <si>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</si>
  <si>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</si>
  <si>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</si>
  <si>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</si>
  <si>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</si>
  <si>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</si>
  <si>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</si>
  <si>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</si>
  <si>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</si>
  <si>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</si>
  <si>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</si>
  <si>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</si>
  <si>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</si>
  <si>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</si>
  <si>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</si>
  <si>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</si>
  <si>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</si>
  <si>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</si>
  <si>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</si>
  <si>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</si>
  <si>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</si>
  <si>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</si>
  <si>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</si>
  <si>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</si>
  <si>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</si>
  <si>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</si>
  <si>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</si>
  <si>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</si>
  <si>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</si>
  <si>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</si>
  <si>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</si>
  <si>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</si>
  <si>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</si>
  <si>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</si>
  <si>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</si>
  <si>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</si>
  <si>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</si>
  <si>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</si>
  <si>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</si>
  <si>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</si>
  <si>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</si>
  <si>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</si>
  <si>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</si>
  <si>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</si>
  <si>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</si>
  <si>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</si>
  <si>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</si>
  <si>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</si>
  <si>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</si>
  <si>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</si>
  <si>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</si>
  <si>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</si>
  <si>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</si>
  <si>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</si>
  <si>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</si>
  <si>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</si>
  <si>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</si>
  <si>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</si>
  <si>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</si>
  <si>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</si>
  <si>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</si>
  <si>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</si>
  <si>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</si>
  <si>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</si>
  <si>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</si>
  <si>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</si>
  <si>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</si>
  <si>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</si>
  <si>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</si>
  <si>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</si>
  <si>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</si>
  <si>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</si>
  <si>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</si>
  <si>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</si>
  <si>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</si>
  <si>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</si>
  <si>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</si>
  <si>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</si>
  <si>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</si>
  <si>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</si>
  <si>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</si>
  <si>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</si>
  <si>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</si>
  <si>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</si>
  <si>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</si>
  <si>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</si>
  <si>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</si>
  <si>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</si>
  <si>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</si>
  <si>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</si>
  <si>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</si>
  <si>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</si>
  <si>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</si>
  <si>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</si>
  <si>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</si>
  <si>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</si>
  <si>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</si>
  <si>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</si>
  <si>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</si>
  <si>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</si>
  <si>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</si>
  <si>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</si>
  <si>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</si>
  <si>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</si>
  <si>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</si>
  <si>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</si>
  <si>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</si>
  <si>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</si>
  <si>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</si>
  <si>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</si>
  <si>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</si>
  <si>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</si>
  <si>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</si>
  <si>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</si>
  <si>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</si>
  <si>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</si>
  <si>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</si>
  <si>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</si>
  <si>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</si>
  <si>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</si>
  <si>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</si>
  <si>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</si>
  <si>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</si>
  <si>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</si>
  <si>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</si>
  <si>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</si>
  <si>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</si>
  <si>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</si>
  <si>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</si>
  <si>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</si>
  <si>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</si>
  <si>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</si>
  <si>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</si>
  <si>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</si>
  <si>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</si>
  <si>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</si>
  <si>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</si>
  <si>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</si>
  <si>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</si>
  <si>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</si>
  <si>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</si>
  <si>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</si>
  <si>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</si>
  <si>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</si>
  <si>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</si>
  <si>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</si>
  <si>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</si>
  <si>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</si>
  <si>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</si>
  <si>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</si>
  <si>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</si>
  <si>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</si>
  <si>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</si>
  <si>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</si>
  <si>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</si>
  <si>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</si>
  <si>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</si>
  <si>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</si>
  <si>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</si>
  <si>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</si>
  <si>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</si>
  <si>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</si>
  <si>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</si>
  <si>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</si>
  <si>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</si>
  <si>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</si>
  <si>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</si>
  <si>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</si>
  <si>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</si>
  <si>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</si>
  <si>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</si>
  <si>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</si>
  <si>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</si>
  <si>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</si>
  <si>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</si>
  <si>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</si>
  <si>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</si>
  <si>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</si>
  <si>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</si>
  <si>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</si>
  <si>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</si>
  <si>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</si>
  <si>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</si>
  <si>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</si>
  <si>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</si>
  <si>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</si>
  <si>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</si>
  <si>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</si>
  <si>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</si>
  <si>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</si>
  <si>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</si>
  <si>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</si>
  <si>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</si>
  <si>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</si>
  <si>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</si>
  <si>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</si>
  <si>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</si>
  <si>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</si>
  <si>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</si>
  <si>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</si>
  <si>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</si>
  <si>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</si>
  <si>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</si>
  <si>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</si>
  <si>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</si>
  <si>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</si>
  <si>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</si>
  <si>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</si>
  <si>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</si>
  <si>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</si>
  <si>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</si>
  <si>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</si>
  <si>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</si>
  <si>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</si>
  <si>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</si>
  <si>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</si>
  <si>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</si>
  <si>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</si>
  <si>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</si>
  <si>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</si>
  <si>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</si>
  <si>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</si>
  <si>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</si>
  <si>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</si>
  <si>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</si>
  <si>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</si>
  <si>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</si>
  <si>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</si>
  <si>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</si>
  <si>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</si>
  <si>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</si>
  <si>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</si>
  <si>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</si>
  <si>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</si>
  <si>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</si>
  <si>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</si>
  <si>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</si>
  <si>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</si>
  <si>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</si>
  <si>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</si>
  <si>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</si>
  <si>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</si>
  <si>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</si>
  <si>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</si>
  <si>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</si>
  <si>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</si>
  <si>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</si>
  <si>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</si>
  <si>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</si>
  <si>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</si>
  <si>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</si>
  <si>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</si>
  <si>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</si>
  <si>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</si>
  <si>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</si>
  <si>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</si>
  <si>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</si>
  <si>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</si>
  <si>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</si>
  <si>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</si>
  <si>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</si>
  <si>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</si>
  <si>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</si>
  <si>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</si>
  <si>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</si>
  <si>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</si>
  <si>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</si>
  <si>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</si>
  <si>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</si>
  <si>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</si>
  <si>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</si>
  <si>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</si>
  <si>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</si>
  <si>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</si>
  <si>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</si>
  <si>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</si>
  <si>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</si>
  <si>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</si>
  <si>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</si>
  <si>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</si>
  <si>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</si>
  <si>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</si>
  <si>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</si>
  <si>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</si>
  <si>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</si>
  <si>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</si>
  <si>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</si>
  <si>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</si>
  <si>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</si>
  <si>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</si>
  <si>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</si>
  <si>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</si>
  <si>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</si>
  <si>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</si>
  <si>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</si>
  <si>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</si>
  <si>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</si>
  <si>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</si>
  <si>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</si>
  <si>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</si>
  <si>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</si>
  <si>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</si>
  <si>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</si>
  <si>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</si>
  <si>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</si>
  <si>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</si>
  <si>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</si>
  <si>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</si>
  <si>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</si>
  <si>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</si>
  <si>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</si>
  <si>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</si>
  <si>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</si>
  <si>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</si>
  <si>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</si>
  <si>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</si>
  <si>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</si>
  <si>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</si>
  <si>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</si>
  <si>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</si>
  <si>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</si>
  <si>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</si>
  <si>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</si>
  <si>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</si>
  <si>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</si>
  <si>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</si>
  <si>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</si>
  <si>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</si>
  <si>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</si>
  <si>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</si>
  <si>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</si>
  <si>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</si>
  <si>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</si>
  <si>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</si>
  <si>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</si>
  <si>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</si>
  <si>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</si>
  <si>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</si>
  <si>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</si>
  <si>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</si>
  <si>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</si>
  <si>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</si>
  <si>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</si>
  <si>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</si>
  <si>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</si>
  <si>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</si>
  <si>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</si>
  <si>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</si>
  <si>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</si>
  <si>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</si>
  <si>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</si>
  <si>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</si>
  <si>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</si>
  <si>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</si>
  <si>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</si>
  <si>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</si>
  <si>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</si>
  <si>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</si>
  <si>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</si>
  <si>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</si>
  <si>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</si>
  <si>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</si>
  <si>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</si>
  <si>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</si>
  <si>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</si>
  <si>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</si>
  <si>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</si>
  <si>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</si>
  <si>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</si>
  <si>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</si>
  <si>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</si>
  <si>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</si>
  <si>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</si>
  <si>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</si>
  <si>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</si>
  <si>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</si>
  <si>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</si>
  <si>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</si>
  <si>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</si>
  <si>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</si>
  <si>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</si>
  <si>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</si>
  <si>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</si>
  <si>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</si>
  <si>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</si>
  <si>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</si>
  <si>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</si>
  <si>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</si>
  <si>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</si>
  <si>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</si>
  <si>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</si>
  <si>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</si>
  <si>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</si>
  <si>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</si>
  <si>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</si>
  <si>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</si>
  <si>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</si>
  <si>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</si>
  <si>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</si>
  <si>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</si>
  <si>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</si>
  <si>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</si>
  <si>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</si>
  <si>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</si>
  <si>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</si>
  <si>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</si>
  <si>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</si>
  <si>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</si>
  <si>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</si>
  <si>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</si>
  <si>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</si>
  <si>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</si>
  <si>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</si>
  <si>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</si>
  <si>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</si>
  <si>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</si>
  <si>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</si>
  <si>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</si>
  <si>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</si>
  <si>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</si>
  <si>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</si>
  <si>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</si>
  <si>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</si>
  <si>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</si>
  <si>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</si>
  <si>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</si>
  <si>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</si>
  <si>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</si>
  <si>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</si>
  <si>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</si>
  <si>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</si>
  <si>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</si>
  <si>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</si>
  <si>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</si>
  <si>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</si>
  <si>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</si>
  <si>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</si>
  <si>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</si>
  <si>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</si>
  <si>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</si>
  <si>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</si>
  <si>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</si>
  <si>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</si>
  <si>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</si>
  <si>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</si>
  <si>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</si>
  <si>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</si>
  <si>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</si>
  <si>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</si>
  <si>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</si>
  <si>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</si>
  <si>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</si>
  <si>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</si>
  <si>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</si>
  <si>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</si>
  <si>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</si>
  <si>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</si>
  <si>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</si>
  <si>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</si>
  <si>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</si>
  <si>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</si>
  <si>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</si>
  <si>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</si>
  <si>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</si>
  <si>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</si>
  <si>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</si>
  <si>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</si>
  <si>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</si>
  <si>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</si>
  <si>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</si>
  <si>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</si>
  <si>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</si>
  <si>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</si>
  <si>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</si>
  <si>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</si>
  <si>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</si>
  <si>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</si>
  <si>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</si>
  <si>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</si>
  <si>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</si>
  <si>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</si>
  <si>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</si>
  <si>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</si>
  <si>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</si>
  <si>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</si>
  <si>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</si>
  <si>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</si>
  <si>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</si>
  <si>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</si>
  <si>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</si>
  <si>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</si>
  <si>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</si>
  <si>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</si>
  <si>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</si>
  <si>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</si>
  <si>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</si>
  <si>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</si>
  <si>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</si>
  <si>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</si>
  <si>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</si>
  <si>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</si>
  <si>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</si>
  <si>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</si>
  <si>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</si>
  <si>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</si>
  <si>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</si>
  <si>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</si>
  <si>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</si>
  <si>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</si>
  <si>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</si>
  <si>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</si>
  <si>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</si>
  <si>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</si>
  <si>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</si>
  <si>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</si>
  <si>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</si>
  <si>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</si>
  <si>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</si>
  <si>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</si>
  <si>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</si>
  <si>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</si>
  <si>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</si>
  <si>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</si>
  <si>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</si>
  <si>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</si>
  <si>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</si>
  <si>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</si>
  <si>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</si>
  <si>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</si>
  <si>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</si>
  <si>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</si>
  <si>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</si>
  <si>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</si>
  <si>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</si>
  <si>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</si>
  <si>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</si>
  <si>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</si>
  <si>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</si>
  <si>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</si>
  <si>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</si>
  <si>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</si>
  <si>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</si>
  <si>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</si>
  <si>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</si>
  <si>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</si>
  <si>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</si>
  <si>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</si>
  <si>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</si>
  <si>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</si>
  <si>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</si>
  <si>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</si>
  <si>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</si>
  <si>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</si>
  <si>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</si>
  <si>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</si>
  <si>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</si>
  <si>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</si>
  <si>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</si>
  <si>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</si>
  <si>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</si>
  <si>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</si>
  <si>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</si>
  <si>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</si>
  <si>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</si>
  <si>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</si>
  <si>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</si>
  <si>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</si>
  <si>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</si>
  <si>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</si>
  <si>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</si>
  <si>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</si>
  <si>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</si>
  <si>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</si>
  <si>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</si>
  <si>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</si>
  <si>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</si>
  <si>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</si>
  <si>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</si>
  <si>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</si>
  <si>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</si>
  <si>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</si>
  <si>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</si>
  <si>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</si>
  <si>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</si>
  <si>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</si>
  <si>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</si>
  <si>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</si>
  <si>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</si>
  <si>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</si>
  <si>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</si>
  <si>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</si>
  <si>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</si>
  <si>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</si>
  <si>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</si>
  <si>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</si>
  <si>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</si>
  <si>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</si>
  <si>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</si>
  <si>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</si>
  <si>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</si>
  <si>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</si>
  <si>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</si>
  <si>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</si>
  <si>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</si>
  <si>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</si>
  <si>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</si>
  <si>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</si>
  <si>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</si>
  <si>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</si>
  <si>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</si>
  <si>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</si>
  <si>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</si>
  <si>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</si>
  <si>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</si>
  <si>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</si>
  <si>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</si>
  <si>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</si>
  <si>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</si>
  <si>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</si>
  <si>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</si>
  <si>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</si>
  <si>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</si>
  <si>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</si>
  <si>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</si>
  <si>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</si>
  <si>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</si>
  <si>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</si>
  <si>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</si>
  <si>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</si>
  <si>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</si>
  <si>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</si>
  <si>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</si>
  <si>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</si>
  <si>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</si>
  <si>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</si>
  <si>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</si>
  <si>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</si>
  <si>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</si>
  <si>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</si>
  <si>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</si>
  <si>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</si>
  <si>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</si>
  <si>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</si>
  <si>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</si>
  <si>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</si>
  <si>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</si>
  <si>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</si>
  <si>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</si>
  <si>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</si>
  <si>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</si>
  <si>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</si>
  <si>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</si>
  <si>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</si>
  <si>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</si>
  <si>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</si>
  <si>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</si>
  <si>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</si>
  <si>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</si>
  <si>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</si>
  <si>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</si>
  <si>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</si>
  <si>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</si>
  <si>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</si>
  <si>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</si>
  <si>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</si>
  <si>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</si>
  <si>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</si>
  <si>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</si>
  <si>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</si>
  <si>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</si>
  <si>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</si>
  <si>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</si>
  <si>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</si>
  <si>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</si>
  <si>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</si>
  <si>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</si>
  <si>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</si>
  <si>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</si>
  <si>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</si>
  <si>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</si>
  <si>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</si>
  <si>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</si>
  <si>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</si>
  <si>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</si>
  <si>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</si>
  <si>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</si>
  <si>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</si>
  <si>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</si>
  <si>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</si>
  <si>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</si>
  <si>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</si>
  <si>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</si>
  <si>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</si>
  <si>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</si>
  <si>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</si>
  <si>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</si>
  <si>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</si>
  <si>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</si>
  <si>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</si>
  <si>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</si>
  <si>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</si>
  <si>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</si>
  <si>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</si>
  <si>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</si>
  <si>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</si>
  <si>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</si>
  <si>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</si>
  <si>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</si>
  <si>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</si>
  <si>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</si>
  <si>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</si>
  <si>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</si>
  <si>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</si>
  <si>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</si>
  <si>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</si>
  <si>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</si>
  <si>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</si>
  <si>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</si>
  <si>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</si>
  <si>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</si>
  <si>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</si>
  <si>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</si>
  <si>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</si>
  <si>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</si>
  <si>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</si>
  <si>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</si>
  <si>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</si>
  <si>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</si>
  <si>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</si>
  <si>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</si>
  <si>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</si>
  <si>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</si>
  <si>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</si>
  <si>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</si>
  <si>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</si>
  <si>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</si>
  <si>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</si>
  <si>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</si>
  <si>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</si>
  <si>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</si>
  <si>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</si>
  <si>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</si>
  <si>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</si>
  <si>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</si>
  <si>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</si>
  <si>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</si>
  <si>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</si>
  <si>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</si>
  <si>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</si>
  <si>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</si>
  <si>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</si>
  <si>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</si>
  <si>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</si>
  <si>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</si>
  <si>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</si>
  <si>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</si>
  <si>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</si>
  <si>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</si>
  <si>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</si>
  <si>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</si>
  <si>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</si>
  <si>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</si>
  <si>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</si>
  <si>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</si>
  <si>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</si>
  <si>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</si>
  <si>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</si>
  <si>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</si>
  <si>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</si>
  <si>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</si>
  <si>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</si>
  <si>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P2350</t>
  </si>
  <si>
    <t>P2351</t>
  </si>
  <si>
    <t>P2352</t>
  </si>
  <si>
    <t>P2353</t>
  </si>
  <si>
    <t>P2354</t>
  </si>
  <si>
    <t>P2355</t>
  </si>
  <si>
    <t>P2356</t>
  </si>
  <si>
    <t>P2357</t>
  </si>
  <si>
    <t>P2358</t>
  </si>
  <si>
    <t>P2359</t>
  </si>
  <si>
    <t>P2360</t>
  </si>
  <si>
    <t>P2361</t>
  </si>
  <si>
    <t>P2362</t>
  </si>
  <si>
    <t>P2363</t>
  </si>
  <si>
    <t>P2364</t>
  </si>
  <si>
    <t>P2365</t>
  </si>
  <si>
    <t>P2366</t>
  </si>
  <si>
    <t>P2367</t>
  </si>
  <si>
    <t>P2368</t>
  </si>
  <si>
    <t>P2369</t>
  </si>
  <si>
    <t>P2370</t>
  </si>
  <si>
    <t>P2371</t>
  </si>
  <si>
    <t>P2372</t>
  </si>
  <si>
    <t>P2373</t>
  </si>
  <si>
    <t>P2374</t>
  </si>
  <si>
    <t>P2375</t>
  </si>
  <si>
    <t>P2376</t>
  </si>
  <si>
    <t>P2377</t>
  </si>
  <si>
    <t>P2378</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</si>
  <si>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</si>
  <si>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</si>
  <si>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</si>
  <si>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</si>
  <si>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</si>
  <si>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</si>
  <si>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</si>
  <si>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</si>
  <si>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</si>
  <si>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</si>
  <si>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</si>
  <si>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</si>
  <si>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</si>
  <si>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</si>
  <si>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</si>
  <si>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</si>
  <si>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</si>
  <si>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</si>
  <si>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</si>
  <si>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</si>
  <si>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</si>
  <si>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</si>
  <si>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</si>
  <si>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</si>
  <si>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</si>
  <si>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</si>
  <si>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</si>
  <si>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</si>
  <si>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</si>
  <si>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</si>
  <si>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</si>
  <si>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</si>
  <si>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</si>
  <si>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</si>
  <si>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</si>
  <si>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</si>
  <si>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</si>
  <si>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</si>
  <si>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</si>
  <si>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</si>
  <si>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</si>
  <si>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</si>
  <si>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</si>
  <si>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</si>
  <si>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</si>
  <si>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</si>
  <si>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</si>
  <si>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</si>
  <si>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</si>
  <si>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</si>
  <si>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</si>
  <si>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</si>
  <si>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</si>
  <si>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</si>
  <si>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</si>
  <si>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</si>
  <si>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</si>
  <si>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</si>
  <si>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</si>
  <si>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</si>
  <si>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</si>
  <si>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</si>
  <si>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</si>
  <si>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</si>
  <si>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</si>
  <si>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</si>
  <si>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</si>
  <si>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</si>
  <si>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</si>
  <si>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</si>
  <si>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</si>
  <si>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</si>
  <si>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</si>
  <si>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</si>
  <si>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</si>
  <si>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</si>
  <si>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</si>
  <si>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</si>
  <si>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</si>
  <si>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</si>
  <si>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</si>
  <si>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</si>
  <si>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</si>
  <si>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</si>
  <si>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</si>
  <si>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</si>
  <si>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</si>
  <si>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</si>
  <si>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</si>
  <si>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</si>
  <si>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</si>
  <si>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</si>
  <si>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</si>
  <si>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</si>
  <si>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</si>
  <si>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</si>
  <si>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</si>
  <si>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</si>
  <si>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</si>
  <si>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</si>
  <si>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</si>
  <si>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</si>
  <si>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</si>
  <si>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</si>
  <si>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</si>
  <si>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</si>
  <si>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</si>
  <si>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</si>
  <si>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</si>
  <si>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</si>
  <si>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</si>
  <si>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</si>
  <si>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</si>
  <si>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</si>
  <si>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</si>
  <si>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</si>
  <si>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</si>
  <si>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</si>
  <si>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</si>
  <si>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</si>
  <si>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</si>
  <si>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</si>
  <si>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</si>
  <si>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</si>
  <si>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</si>
  <si>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</si>
  <si>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</si>
  <si>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</si>
  <si>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</si>
  <si>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</si>
  <si>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</si>
  <si>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</si>
  <si>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</si>
  <si>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</si>
  <si>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</si>
  <si>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</si>
  <si>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</si>
  <si>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P2516</t>
  </si>
  <si>
    <t>P2517</t>
  </si>
  <si>
    <t>P2518</t>
  </si>
  <si>
    <t>P2519</t>
  </si>
  <si>
    <t>P2520</t>
  </si>
  <si>
    <t>P2521</t>
  </si>
  <si>
    <t>P2522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</si>
  <si>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</si>
  <si>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</si>
  <si>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</si>
  <si>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</si>
  <si>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</si>
  <si>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</si>
  <si>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</si>
  <si>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</si>
  <si>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</si>
  <si>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</si>
  <si>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</si>
  <si>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</si>
  <si>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</si>
  <si>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</si>
  <si>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</si>
  <si>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</si>
  <si>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</si>
  <si>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</si>
  <si>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</si>
  <si>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</si>
  <si>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</si>
  <si>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</si>
  <si>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</si>
  <si>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</si>
  <si>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</si>
  <si>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</si>
  <si>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</si>
  <si>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</si>
  <si>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</si>
  <si>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</si>
  <si>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</si>
  <si>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</si>
  <si>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</si>
  <si>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</si>
  <si>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</si>
  <si>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</si>
  <si>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</si>
  <si>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</si>
  <si>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</si>
  <si>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</si>
  <si>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</si>
  <si>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</si>
  <si>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</si>
  <si>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</si>
  <si>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</si>
  <si>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</si>
  <si>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</si>
  <si>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</si>
  <si>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</si>
  <si>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</si>
  <si>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</si>
  <si>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</si>
  <si>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</si>
  <si>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</si>
  <si>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</si>
  <si>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</si>
  <si>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</si>
  <si>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</si>
  <si>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</si>
  <si>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</si>
  <si>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</si>
  <si>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</si>
  <si>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</si>
  <si>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</si>
  <si>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</si>
  <si>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</si>
  <si>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</si>
  <si>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</si>
  <si>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</si>
  <si>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</si>
  <si>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P2593</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</si>
  <si>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</si>
  <si>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</si>
  <si>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</si>
  <si>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</si>
  <si>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</si>
  <si>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</si>
  <si>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</si>
  <si>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</si>
  <si>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</si>
  <si>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</si>
  <si>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</si>
  <si>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</si>
  <si>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</si>
  <si>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</si>
  <si>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</si>
  <si>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</si>
  <si>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</si>
  <si>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</si>
  <si>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</si>
  <si>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</si>
  <si>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</si>
  <si>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</si>
  <si>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</si>
  <si>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</si>
  <si>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</si>
  <si>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</si>
  <si>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</si>
  <si>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</si>
  <si>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</si>
  <si>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</si>
  <si>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</si>
  <si>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</si>
  <si>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</si>
  <si>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</si>
  <si>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</si>
  <si>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</si>
  <si>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</si>
  <si>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</si>
  <si>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</si>
  <si>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</si>
  <si>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</si>
  <si>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</si>
  <si>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</si>
  <si>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</si>
  <si>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</si>
  <si>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</si>
  <si>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</si>
  <si>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</si>
  <si>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</si>
  <si>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</si>
  <si>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</si>
  <si>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</si>
  <si>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</si>
  <si>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</si>
  <si>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</si>
  <si>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</si>
  <si>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</si>
  <si>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</si>
  <si>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</si>
  <si>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</si>
  <si>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</si>
  <si>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</si>
  <si>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</si>
  <si>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</si>
  <si>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</si>
  <si>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</si>
  <si>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</si>
  <si>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</si>
  <si>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</si>
  <si>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</si>
  <si>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</si>
  <si>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</si>
  <si>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</si>
  <si>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</si>
  <si>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</si>
  <si>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</si>
  <si>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</si>
  <si>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</si>
  <si>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</si>
  <si>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</si>
  <si>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</si>
  <si>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</si>
  <si>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</si>
  <si>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</si>
  <si>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</si>
  <si>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</si>
  <si>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</si>
  <si>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</si>
  <si>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</si>
  <si>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</si>
  <si>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</si>
  <si>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</si>
  <si>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</si>
  <si>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</si>
  <si>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</si>
  <si>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</si>
  <si>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</si>
  <si>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</si>
  <si>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</si>
  <si>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</si>
  <si>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</si>
  <si>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</si>
  <si>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</si>
  <si>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</si>
  <si>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</si>
  <si>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</si>
  <si>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</si>
  <si>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</si>
  <si>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</si>
  <si>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</si>
  <si>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</si>
  <si>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</si>
  <si>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</si>
  <si>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</si>
  <si>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</si>
  <si>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</si>
  <si>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</si>
  <si>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</si>
  <si>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</si>
  <si>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</si>
  <si>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</si>
  <si>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</si>
  <si>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</si>
  <si>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</si>
  <si>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</si>
  <si>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</si>
  <si>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</si>
  <si>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</si>
  <si>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</si>
  <si>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</si>
  <si>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</si>
  <si>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</si>
  <si>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</si>
  <si>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</si>
  <si>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</si>
  <si>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</si>
  <si>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</si>
  <si>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</si>
  <si>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</si>
  <si>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</si>
  <si>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</si>
  <si>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</si>
  <si>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</si>
  <si>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</si>
  <si>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P2738</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</si>
  <si>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</si>
  <si>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</si>
  <si>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</si>
  <si>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</si>
  <si>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</si>
  <si>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</si>
  <si>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</si>
  <si>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</si>
  <si>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</si>
  <si>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</si>
  <si>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</si>
  <si>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</si>
  <si>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</si>
  <si>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</si>
  <si>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</si>
  <si>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</si>
  <si>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</si>
  <si>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</si>
  <si>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</si>
  <si>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</si>
  <si>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</si>
  <si>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</si>
  <si>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</si>
  <si>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</si>
  <si>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</si>
  <si>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</si>
  <si>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</si>
  <si>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</si>
  <si>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</si>
  <si>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</si>
  <si>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</si>
  <si>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</si>
  <si>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</si>
  <si>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</si>
  <si>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</si>
  <si>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</si>
  <si>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</si>
  <si>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</si>
  <si>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</si>
  <si>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</si>
  <si>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</si>
  <si>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</si>
  <si>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</si>
  <si>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</si>
  <si>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</si>
  <si>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</si>
  <si>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</si>
  <si>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</si>
  <si>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</si>
  <si>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</si>
  <si>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</si>
  <si>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</si>
  <si>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</si>
  <si>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</si>
  <si>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</si>
  <si>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</si>
  <si>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</si>
  <si>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</si>
  <si>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</si>
  <si>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</si>
  <si>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</si>
  <si>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</si>
  <si>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</si>
  <si>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</si>
  <si>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</si>
  <si>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</si>
  <si>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</si>
  <si>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</si>
  <si>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</si>
  <si>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</si>
  <si>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</si>
  <si>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</si>
  <si>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</si>
  <si>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</si>
  <si>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</si>
  <si>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</si>
  <si>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</si>
  <si>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</si>
  <si>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</si>
  <si>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</si>
  <si>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</si>
  <si>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</si>
  <si>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</si>
  <si>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</si>
  <si>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</si>
  <si>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</si>
  <si>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</si>
  <si>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</si>
  <si>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</si>
  <si>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</si>
  <si>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</si>
  <si>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</si>
  <si>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</si>
  <si>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</si>
  <si>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</si>
  <si>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</si>
  <si>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</si>
  <si>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</si>
  <si>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</si>
  <si>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</si>
  <si>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</si>
  <si>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</si>
  <si>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</si>
  <si>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</si>
  <si>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</si>
  <si>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</si>
  <si>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</si>
  <si>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</si>
  <si>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</si>
  <si>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</si>
  <si>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P2849</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</si>
  <si>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</si>
  <si>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</si>
  <si>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</si>
  <si>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</si>
  <si>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</si>
  <si>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</si>
  <si>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</si>
  <si>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</si>
  <si>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</si>
  <si>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</si>
  <si>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</si>
  <si>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</si>
  <si>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</si>
  <si>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</si>
  <si>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</si>
  <si>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</si>
  <si>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</si>
  <si>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</si>
  <si>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</si>
  <si>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</si>
  <si>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</si>
  <si>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</si>
  <si>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</si>
  <si>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</si>
  <si>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</si>
  <si>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</si>
  <si>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</si>
  <si>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</si>
  <si>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</si>
  <si>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</si>
  <si>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</si>
  <si>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</si>
  <si>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</si>
  <si>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</si>
  <si>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</si>
  <si>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</si>
  <si>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</si>
  <si>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</si>
  <si>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</si>
  <si>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</si>
  <si>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</si>
  <si>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</si>
  <si>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</si>
  <si>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</si>
  <si>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</si>
  <si>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</si>
  <si>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</si>
  <si>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</si>
  <si>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</si>
  <si>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</si>
  <si>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</si>
  <si>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</si>
  <si>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</si>
  <si>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</si>
  <si>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</si>
  <si>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</si>
  <si>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</si>
  <si>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</si>
  <si>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</si>
  <si>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</si>
  <si>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</si>
  <si>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</si>
  <si>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</si>
  <si>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</si>
  <si>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</si>
  <si>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</si>
  <si>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</si>
  <si>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</si>
  <si>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</si>
  <si>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</si>
  <si>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</si>
  <si>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</si>
  <si>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</si>
  <si>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</si>
  <si>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</si>
  <si>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</si>
  <si>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</si>
  <si>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</si>
  <si>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</si>
  <si>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</si>
  <si>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</si>
  <si>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</si>
  <si>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</si>
  <si>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</si>
  <si>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</si>
  <si>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</si>
  <si>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</si>
  <si>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</si>
  <si>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</si>
  <si>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</si>
  <si>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</si>
  <si>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</si>
  <si>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</si>
  <si>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</si>
  <si>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</si>
  <si>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P2945</t>
  </si>
  <si>
    <t>P2946</t>
  </si>
  <si>
    <t>P2947</t>
  </si>
  <si>
    <t>P2948</t>
  </si>
  <si>
    <t>P2949</t>
  </si>
  <si>
    <t>P2950</t>
  </si>
  <si>
    <t>P2951</t>
  </si>
  <si>
    <t>P2952</t>
  </si>
  <si>
    <t>P2953</t>
  </si>
  <si>
    <t>P2954</t>
  </si>
  <si>
    <t>P2955</t>
  </si>
  <si>
    <t>P2956</t>
  </si>
  <si>
    <t>P2957</t>
  </si>
  <si>
    <t>P2958</t>
  </si>
  <si>
    <t>P2959</t>
  </si>
  <si>
    <t>P2960</t>
  </si>
  <si>
    <t>P2961</t>
  </si>
  <si>
    <t>P2962</t>
  </si>
  <si>
    <t>P2963</t>
  </si>
  <si>
    <t>P2964</t>
  </si>
  <si>
    <t>P2965</t>
  </si>
  <si>
    <t>P2966</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</si>
  <si>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</si>
  <si>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</si>
  <si>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</si>
  <si>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</si>
  <si>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</si>
  <si>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</si>
  <si>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</si>
  <si>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</si>
  <si>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</si>
  <si>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</si>
  <si>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</si>
  <si>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</si>
  <si>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</si>
  <si>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</si>
  <si>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</si>
  <si>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</si>
  <si>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</si>
  <si>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</si>
  <si>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</si>
  <si>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</si>
  <si>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</si>
  <si>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</si>
  <si>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</si>
  <si>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</si>
  <si>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</si>
  <si>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</si>
  <si>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</si>
  <si>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</si>
  <si>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</si>
  <si>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</si>
  <si>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</si>
  <si>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</si>
  <si>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</si>
  <si>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</si>
  <si>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Project-202</t>
  </si>
  <si>
    <t>Project-535</t>
  </si>
  <si>
    <t>Project-960</t>
  </si>
  <si>
    <t>Project-370</t>
  </si>
  <si>
    <t>Project-206</t>
  </si>
  <si>
    <t>Project-171</t>
  </si>
  <si>
    <t>Project-800</t>
  </si>
  <si>
    <t>Project-120</t>
  </si>
  <si>
    <t>Project-714</t>
  </si>
  <si>
    <t>Project-221</t>
  </si>
  <si>
    <t>Project-566</t>
  </si>
  <si>
    <t>Project-314</t>
  </si>
  <si>
    <t>Project-430</t>
  </si>
  <si>
    <t>Project-558</t>
  </si>
  <si>
    <t>Project-187</t>
  </si>
  <si>
    <t>Project-472</t>
  </si>
  <si>
    <t>Project-199</t>
  </si>
  <si>
    <t>Project-971</t>
  </si>
  <si>
    <t>Project-763</t>
  </si>
  <si>
    <t>Project-230</t>
  </si>
  <si>
    <t>Project-761</t>
  </si>
  <si>
    <t>Project-408</t>
  </si>
  <si>
    <t>Project-869</t>
  </si>
  <si>
    <t>Project-443</t>
  </si>
  <si>
    <t>Project-591</t>
  </si>
  <si>
    <t>Project-513</t>
  </si>
  <si>
    <t>Project-905</t>
  </si>
  <si>
    <t>Project-485</t>
  </si>
  <si>
    <t>Project-291</t>
  </si>
  <si>
    <t>Project-376</t>
  </si>
  <si>
    <t>Project-260</t>
  </si>
  <si>
    <t>Project-559</t>
  </si>
  <si>
    <t>Project-413</t>
  </si>
  <si>
    <t>Project-121</t>
  </si>
  <si>
    <t>Project-352</t>
  </si>
  <si>
    <t>Project-847</t>
  </si>
  <si>
    <t>Project-956</t>
  </si>
  <si>
    <t>Project-660</t>
  </si>
  <si>
    <t>Project-574</t>
  </si>
  <si>
    <t>Project-158</t>
  </si>
  <si>
    <t>Project-610</t>
  </si>
  <si>
    <t>Project-781</t>
  </si>
  <si>
    <t>Project-575</t>
  </si>
  <si>
    <t>Project-799</t>
  </si>
  <si>
    <t>Project-882</t>
  </si>
  <si>
    <t>Project-289</t>
  </si>
  <si>
    <t>Project-786</t>
  </si>
  <si>
    <t>Project-662</t>
  </si>
  <si>
    <t>Project-975</t>
  </si>
  <si>
    <t>Project-666</t>
  </si>
  <si>
    <t>Project-343</t>
  </si>
  <si>
    <t>Project-931</t>
  </si>
  <si>
    <t>Project-604</t>
  </si>
  <si>
    <t>Project-584</t>
  </si>
  <si>
    <t>Project-918</t>
  </si>
  <si>
    <t>Project-746</t>
  </si>
  <si>
    <t>Project-940</t>
  </si>
  <si>
    <t>Project-266</t>
  </si>
  <si>
    <t>Project-373</t>
  </si>
  <si>
    <t>Project-487</t>
  </si>
  <si>
    <t>Project-700</t>
  </si>
  <si>
    <t>Project-415</t>
  </si>
  <si>
    <t>Project-113</t>
  </si>
  <si>
    <t>Project-341</t>
  </si>
  <si>
    <t>Project-876</t>
  </si>
  <si>
    <t>Project-445</t>
  </si>
  <si>
    <t>Project-664</t>
  </si>
  <si>
    <t>Project-997</t>
  </si>
  <si>
    <t>Project-439</t>
  </si>
  <si>
    <t>Project-191</t>
  </si>
  <si>
    <t>Project-466</t>
  </si>
  <si>
    <t>Project-554</t>
  </si>
  <si>
    <t>Project-527</t>
  </si>
  <si>
    <t>Project-608</t>
  </si>
  <si>
    <t>Project-875</t>
  </si>
  <si>
    <t>Project-134</t>
  </si>
  <si>
    <t>Project-305</t>
  </si>
  <si>
    <t>Project-180</t>
  </si>
  <si>
    <t>Project-661</t>
  </si>
  <si>
    <t>Project-101</t>
  </si>
  <si>
    <t>Project-489</t>
  </si>
  <si>
    <t>Project-665</t>
  </si>
  <si>
    <t>Project-205</t>
  </si>
  <si>
    <t>Project-871</t>
  </si>
  <si>
    <t>Project-921</t>
  </si>
  <si>
    <t>Project-576</t>
  </si>
  <si>
    <t>Project-802</t>
  </si>
  <si>
    <t>Project-501</t>
  </si>
  <si>
    <t>Project-829</t>
  </si>
  <si>
    <t>Project-655</t>
  </si>
  <si>
    <t>Project-261</t>
  </si>
  <si>
    <t>Project-301</t>
  </si>
  <si>
    <t>Project-369</t>
  </si>
  <si>
    <t>Project-962</t>
  </si>
  <si>
    <t>Project-915</t>
  </si>
  <si>
    <t>Project-555</t>
  </si>
  <si>
    <t>Project-561</t>
  </si>
  <si>
    <t>Project-826</t>
  </si>
  <si>
    <t>Project-351</t>
  </si>
  <si>
    <t>Project-801</t>
  </si>
  <si>
    <t>Project-395</t>
  </si>
  <si>
    <t>Project-824</t>
  </si>
  <si>
    <t>Project-819</t>
  </si>
  <si>
    <t>Project-848</t>
  </si>
  <si>
    <t>Project-437</t>
  </si>
  <si>
    <t>Project-978</t>
  </si>
  <si>
    <t>Project-152</t>
  </si>
  <si>
    <t>Project-891</t>
  </si>
  <si>
    <t>Project-316</t>
  </si>
  <si>
    <t>Project-863</t>
  </si>
  <si>
    <t>Project-287</t>
  </si>
  <si>
    <t>Project-479</t>
  </si>
  <si>
    <t>Project-592</t>
  </si>
  <si>
    <t>Project-140</t>
  </si>
  <si>
    <t>Project-256</t>
  </si>
  <si>
    <t>Project-114</t>
  </si>
  <si>
    <t>Project-912</t>
  </si>
  <si>
    <t>Project-164</t>
  </si>
  <si>
    <t>Project-938</t>
  </si>
  <si>
    <t>Project-620</t>
  </si>
  <si>
    <t>Project-228</t>
  </si>
  <si>
    <t>Project-747</t>
  </si>
  <si>
    <t>Project-571</t>
  </si>
  <si>
    <t>Project-162</t>
  </si>
  <si>
    <t>Project-238</t>
  </si>
  <si>
    <t>Project-598</t>
  </si>
  <si>
    <t>Project-692</t>
  </si>
  <si>
    <t>Project-491</t>
  </si>
  <si>
    <t>Project-774</t>
  </si>
  <si>
    <t>Project-518</t>
  </si>
  <si>
    <t>Project-388</t>
  </si>
  <si>
    <t>Project-478</t>
  </si>
  <si>
    <t>Project-872</t>
  </si>
  <si>
    <t>Project-589</t>
  </si>
  <si>
    <t>Project-330</t>
  </si>
  <si>
    <t>Project-127</t>
  </si>
  <si>
    <t>Project-234</t>
  </si>
  <si>
    <t>Project-300</t>
  </si>
  <si>
    <t>Project-939</t>
  </si>
  <si>
    <t>Project-879</t>
  </si>
  <si>
    <t>Project-132</t>
  </si>
  <si>
    <t>Project-147</t>
  </si>
  <si>
    <t>Project-602</t>
  </si>
  <si>
    <t>Project-506</t>
  </si>
  <si>
    <t>Project-673</t>
  </si>
  <si>
    <t>Project-827</t>
  </si>
  <si>
    <t>Project-904</t>
  </si>
  <si>
    <t>Project-198</t>
  </si>
  <si>
    <t>Project-783</t>
  </si>
  <si>
    <t>Project-825</t>
  </si>
  <si>
    <t>Project-646</t>
  </si>
  <si>
    <t>Project-838</t>
  </si>
  <si>
    <t>Project-712</t>
  </si>
  <si>
    <t>Project-742</t>
  </si>
  <si>
    <t>Project-868</t>
  </si>
  <si>
    <t>Project-104</t>
  </si>
  <si>
    <t>Project-317</t>
  </si>
  <si>
    <t>Project-866</t>
  </si>
  <si>
    <t>Project-497</t>
  </si>
  <si>
    <t>Project-970</t>
  </si>
  <si>
    <t>Project-894</t>
  </si>
  <si>
    <t>Project-492</t>
  </si>
  <si>
    <t>Project-306</t>
  </si>
  <si>
    <t>Project-957</t>
  </si>
  <si>
    <t>Project-653</t>
  </si>
  <si>
    <t>Project-991</t>
  </si>
  <si>
    <t>Project-560</t>
  </si>
  <si>
    <t>Project-790</t>
  </si>
  <si>
    <t>Project-674</t>
  </si>
  <si>
    <t>Project-963</t>
  </si>
  <si>
    <t>Project-842</t>
  </si>
  <si>
    <t>Project-340</t>
  </si>
  <si>
    <t>Project-663</t>
  </si>
  <si>
    <t>Project-195</t>
  </si>
  <si>
    <t>Project-833</t>
  </si>
  <si>
    <t>Project-754</t>
  </si>
  <si>
    <t>Project-270</t>
  </si>
  <si>
    <t>Project-640</t>
  </si>
  <si>
    <t>Project-135</t>
  </si>
  <si>
    <t>Project-624</t>
  </si>
  <si>
    <t>Project-259</t>
  </si>
  <si>
    <t>Project-798</t>
  </si>
  <si>
    <t>Project-342</t>
  </si>
  <si>
    <t>Project-185</t>
  </si>
  <si>
    <t>Project-895</t>
  </si>
  <si>
    <t>Project-677</t>
  </si>
  <si>
    <t>Project-656</t>
  </si>
  <si>
    <t>Project-745</t>
  </si>
  <si>
    <t>Project-719</t>
  </si>
  <si>
    <t>Project-897</t>
  </si>
  <si>
    <t>Project-739</t>
  </si>
  <si>
    <t>Project-605</t>
  </si>
  <si>
    <t>Project-447</t>
  </si>
  <si>
    <t>Project-572</t>
  </si>
  <si>
    <t>Project-324</t>
  </si>
  <si>
    <t>Project-484</t>
  </si>
  <si>
    <t>Project-476</t>
  </si>
  <si>
    <t>Project-382</t>
  </si>
  <si>
    <t>Project-732</t>
  </si>
  <si>
    <t>Project-727</t>
  </si>
  <si>
    <t>Project-844</t>
  </si>
  <si>
    <t>Project-358</t>
  </si>
  <si>
    <t>Project-458</t>
  </si>
  <si>
    <t>Project-809</t>
  </si>
  <si>
    <t>Project-510</t>
  </si>
  <si>
    <t>Project-748</t>
  </si>
  <si>
    <t>Project-417</t>
  </si>
  <si>
    <t>Project-776</t>
  </si>
  <si>
    <t>Project-333</t>
  </si>
  <si>
    <t>Project-926</t>
  </si>
  <si>
    <t>Project-473</t>
  </si>
  <si>
    <t>Project-771</t>
  </si>
  <si>
    <t>Project-707</t>
  </si>
  <si>
    <t>Project-332</t>
  </si>
  <si>
    <t>Project-791</t>
  </si>
  <si>
    <t>Project-212</t>
  </si>
  <si>
    <t>Project-929</t>
  </si>
  <si>
    <t>Project-596</t>
  </si>
  <si>
    <t>Project-541</t>
  </si>
  <si>
    <t>Project-367</t>
  </si>
  <si>
    <t>Project-609</t>
  </si>
  <si>
    <t>Project-906</t>
  </si>
  <si>
    <t>Project-486</t>
  </si>
  <si>
    <t>Project-724</t>
  </si>
  <si>
    <t>Project-741</t>
  </si>
  <si>
    <t>Project-319</t>
  </si>
  <si>
    <t>Project-954</t>
  </si>
  <si>
    <t>Project-835</t>
  </si>
  <si>
    <t>Project-502</t>
  </si>
  <si>
    <t>Project-737</t>
  </si>
  <si>
    <t>Project-229</t>
  </si>
  <si>
    <t>Project-515</t>
  </si>
  <si>
    <t>Project-346</t>
  </si>
  <si>
    <t>Project-935</t>
  </si>
  <si>
    <t>Project-538</t>
  </si>
  <si>
    <t>Project-302</t>
  </si>
  <si>
    <t>Project-283</t>
  </si>
  <si>
    <t>Project-222</t>
  </si>
  <si>
    <t>Project-500</t>
  </si>
  <si>
    <t>Project-393</t>
  </si>
  <si>
    <t>Project-379</t>
  </si>
  <si>
    <t>Project-936</t>
  </si>
  <si>
    <t>Project-983</t>
  </si>
  <si>
    <t>Project-709</t>
  </si>
  <si>
    <t>Project-297</t>
  </si>
  <si>
    <t>Project-851</t>
  </si>
  <si>
    <t>Project-243</t>
  </si>
  <si>
    <t>Project-708</t>
  </si>
  <si>
    <t>Project-223</t>
  </si>
  <si>
    <t>Project-286</t>
  </si>
  <si>
    <t>Project-425</t>
  </si>
  <si>
    <t>Project-563</t>
  </si>
  <si>
    <t>Project-448</t>
  </si>
  <si>
    <t>Project-870</t>
  </si>
  <si>
    <t>Project-759</t>
  </si>
  <si>
    <t>Project-246</t>
  </si>
  <si>
    <t>Project-247</t>
  </si>
  <si>
    <t>Project-810</t>
  </si>
  <si>
    <t>Project-919</t>
  </si>
  <si>
    <t>Project-588</t>
  </si>
  <si>
    <t>Project-650</t>
  </si>
  <si>
    <t>Project-740</t>
  </si>
  <si>
    <t>Project-878</t>
  </si>
  <si>
    <t>Project-250</t>
  </si>
  <si>
    <t>Project-514</t>
  </si>
  <si>
    <t>Project-397</t>
  </si>
  <si>
    <t>Project-710</t>
  </si>
  <si>
    <t>Project-362</t>
  </si>
  <si>
    <t>Project-723</t>
  </si>
  <si>
    <t>Project-671</t>
  </si>
  <si>
    <t>Project-980</t>
  </si>
  <si>
    <t>Project-996</t>
  </si>
  <si>
    <t>Project-403</t>
  </si>
  <si>
    <t>Project-353</t>
  </si>
  <si>
    <t>Project-751</t>
  </si>
  <si>
    <t>Project-552</t>
  </si>
  <si>
    <t>Project-136</t>
  </si>
  <si>
    <t>Project-108</t>
  </si>
  <si>
    <t>Project-758</t>
  </si>
  <si>
    <t>Project-307</t>
  </si>
  <si>
    <t>Project-503</t>
  </si>
  <si>
    <t>Project-251</t>
  </si>
  <si>
    <t>Project-153</t>
  </si>
  <si>
    <t>Project-219</t>
  </si>
  <si>
    <t>Project-772</t>
  </si>
  <si>
    <t>Project-686</t>
  </si>
  <si>
    <t>Project-519</t>
  </si>
  <si>
    <t>Project-521</t>
  </si>
  <si>
    <t>Project-203</t>
  </si>
  <si>
    <t>Project-951</t>
  </si>
  <si>
    <t>Project-326</t>
  </si>
  <si>
    <t>Project-211</t>
  </si>
  <si>
    <t>Project-252</t>
  </si>
  <si>
    <t>Project-995</t>
  </si>
  <si>
    <t>Project-977</t>
  </si>
  <si>
    <t>Project-805</t>
  </si>
  <si>
    <t>Project-262</t>
  </si>
  <si>
    <t>Project-780</t>
  </si>
  <si>
    <t>Project-679</t>
  </si>
  <si>
    <t>Project-900</t>
  </si>
  <si>
    <t>Project-603</t>
  </si>
  <si>
    <t>Project-294</t>
  </si>
  <si>
    <t>Project-787</t>
  </si>
  <si>
    <t>Project-982</t>
  </si>
  <si>
    <t>Project-569</t>
  </si>
  <si>
    <t>Project-474</t>
  </si>
  <si>
    <t>Project-849</t>
  </si>
  <si>
    <t>Project-769</t>
  </si>
  <si>
    <t>Project-137</t>
  </si>
  <si>
    <t>Project-329</t>
  </si>
  <si>
    <t>Project-464</t>
  </si>
  <si>
    <t>Project-537</t>
  </si>
  <si>
    <t>Project-126</t>
  </si>
  <si>
    <t>Project-325</t>
  </si>
  <si>
    <t>Project-383</t>
  </si>
  <si>
    <t>Project-580</t>
  </si>
  <si>
    <t>Project-928</t>
  </si>
  <si>
    <t>Project-615</t>
  </si>
  <si>
    <t>Project-148</t>
  </si>
  <si>
    <t>Project-611</t>
  </si>
  <si>
    <t>Project-116</t>
  </si>
  <si>
    <t>Project-271</t>
  </si>
  <si>
    <t>Project-257</t>
  </si>
  <si>
    <t>Project-145</t>
  </si>
  <si>
    <t>Project-617</t>
  </si>
  <si>
    <t>Project-401</t>
  </si>
  <si>
    <t>Project-280</t>
  </si>
  <si>
    <t>Project-706</t>
  </si>
  <si>
    <t>Project-215</t>
  </si>
  <si>
    <t>Project-290</t>
  </si>
  <si>
    <t>Project-355</t>
  </si>
  <si>
    <t>Project-422</t>
  </si>
  <si>
    <t>Project-227</t>
  </si>
  <si>
    <t>Project-117</t>
  </si>
  <si>
    <t>Project-892</t>
  </si>
  <si>
    <t>Project-834</t>
  </si>
  <si>
    <t>Project-669</t>
  </si>
  <si>
    <t>Project-785</t>
  </si>
  <si>
    <t>Project-725</t>
  </si>
  <si>
    <t>Project-387</t>
  </si>
  <si>
    <t>Project-953</t>
  </si>
  <si>
    <t>Project-762</t>
  </si>
  <si>
    <t>Project-738</t>
  </si>
  <si>
    <t>Project-254</t>
  </si>
  <si>
    <t>Project-884</t>
  </si>
  <si>
    <t>Project-910</t>
  </si>
  <si>
    <t>Project-345</t>
  </si>
  <si>
    <t>Project-275</t>
  </si>
  <si>
    <t>Project-138</t>
  </si>
  <si>
    <t>Project-858</t>
  </si>
  <si>
    <t>Project-637</t>
  </si>
  <si>
    <t>Project-966</t>
  </si>
  <si>
    <t>Project-917</t>
  </si>
  <si>
    <t>Project-507</t>
  </si>
  <si>
    <t>Project-927</t>
  </si>
  <si>
    <t>Project-924</t>
  </si>
  <si>
    <t>Project-784</t>
  </si>
  <si>
    <t>Project-119</t>
  </si>
  <si>
    <t>Project-420</t>
  </si>
  <si>
    <t>Project-499</t>
  </si>
  <si>
    <t>Project-753</t>
  </si>
  <si>
    <t>Project-570</t>
  </si>
  <si>
    <t>Project-242</t>
  </si>
  <si>
    <t>Project-453</t>
  </si>
  <si>
    <t>Project-933</t>
  </si>
  <si>
    <t>Project-899</t>
  </si>
  <si>
    <t>Project-150</t>
  </si>
  <si>
    <t>Project-764</t>
  </si>
  <si>
    <t>Project-797</t>
  </si>
  <si>
    <t>Project-224</t>
  </si>
  <si>
    <t>Project-249</t>
  </si>
  <si>
    <t>Project-441</t>
  </si>
  <si>
    <t>Project-404</t>
  </si>
  <si>
    <t>Project-937</t>
  </si>
  <si>
    <t>Project-543</t>
  </si>
  <si>
    <t>Project-363</t>
  </si>
  <si>
    <t>Project-295</t>
  </si>
  <si>
    <t>Project-873</t>
  </si>
  <si>
    <t>Project-976</t>
  </si>
  <si>
    <t>Project-449</t>
  </si>
  <si>
    <t>Project-146</t>
  </si>
  <si>
    <t>Project-922</t>
  </si>
  <si>
    <t>Project-755</t>
  </si>
  <si>
    <t>Project-368</t>
  </si>
  <si>
    <t>Project-469</t>
  </si>
  <si>
    <t>Project-735</t>
  </si>
  <si>
    <t>Project-756</t>
  </si>
  <si>
    <t>Project-930</t>
  </si>
  <si>
    <t>Project-886</t>
  </si>
  <si>
    <t>Project-703</t>
  </si>
  <si>
    <t>Project-157</t>
  </si>
  <si>
    <t>Project-840</t>
  </si>
  <si>
    <t>Project-573</t>
  </si>
  <si>
    <t>Project-216</t>
  </si>
  <si>
    <t>Project-890</t>
  </si>
  <si>
    <t>Project-226</t>
  </si>
  <si>
    <t>Project-733</t>
  </si>
  <si>
    <t>Project-612</t>
  </si>
  <si>
    <t>Project-850</t>
  </si>
  <si>
    <t>Project-901</t>
  </si>
  <si>
    <t>Project-217</t>
  </si>
  <si>
    <t>Project-659</t>
  </si>
  <si>
    <t>Project-587</t>
  </si>
  <si>
    <t>Project-336</t>
  </si>
  <si>
    <t>Project-984</t>
  </si>
  <si>
    <t>Project-371</t>
  </si>
  <si>
    <t>Project-288</t>
  </si>
  <si>
    <t>Project-803</t>
  </si>
  <si>
    <t>Project-546</t>
  </si>
  <si>
    <t>Project-680</t>
  </si>
  <si>
    <t>Project-889</t>
  </si>
  <si>
    <t>Project-175</t>
  </si>
  <si>
    <t>Project-253</t>
  </si>
  <si>
    <t>Project-534</t>
  </si>
  <si>
    <t>Project-796</t>
  </si>
  <si>
    <t>Project-384</t>
  </si>
  <si>
    <t>Project-168</t>
  </si>
  <si>
    <t>Project-193</t>
  </si>
  <si>
    <t>Project-303</t>
  </si>
  <si>
    <t>Project-531</t>
  </si>
  <si>
    <t>Project-440</t>
  </si>
  <si>
    <t>Project-711</t>
  </si>
  <si>
    <t>Project-456</t>
  </si>
  <si>
    <t>Project-122</t>
  </si>
  <si>
    <t>Project-861</t>
  </si>
  <si>
    <t>Project-621</t>
  </si>
  <si>
    <t>Project-857</t>
  </si>
  <si>
    <t>Project-279</t>
  </si>
  <si>
    <t>Project-322</t>
  </si>
  <si>
    <t>Project-424</t>
  </si>
  <si>
    <t>Project-115</t>
  </si>
  <si>
    <t>Project-435</t>
  </si>
  <si>
    <t>Project-357</t>
  </si>
  <si>
    <t>Project-789</t>
  </si>
  <si>
    <t>Project-644</t>
  </si>
  <si>
    <t>Project-526</t>
  </si>
  <si>
    <t>Project-934</t>
  </si>
  <si>
    <t>Project-676</t>
  </si>
  <si>
    <t>Project-516</t>
  </si>
  <si>
    <t>Project-267</t>
  </si>
  <si>
    <t>Project-941</t>
  </si>
  <si>
    <t>Project-142</t>
  </si>
  <si>
    <t>Project-496</t>
  </si>
  <si>
    <t>Project-111</t>
  </si>
  <si>
    <t>Project-853</t>
  </si>
  <si>
    <t>Project-948</t>
  </si>
  <si>
    <t>Project-189</t>
  </si>
  <si>
    <t>Project-704</t>
  </si>
  <si>
    <t>Project-701</t>
  </si>
  <si>
    <t>Project-517</t>
  </si>
  <si>
    <t>Project-214</t>
  </si>
  <si>
    <t>Project-716</t>
  </si>
  <si>
    <t>Project-925</t>
  </si>
  <si>
    <t>Project-600</t>
  </si>
  <si>
    <t>Project-174</t>
  </si>
  <si>
    <t>Project-512</t>
  </si>
  <si>
    <t>Project-475</t>
  </si>
  <si>
    <t>Project-828</t>
  </si>
  <si>
    <t>Project-860</t>
  </si>
  <si>
    <t>Project-775</t>
  </si>
  <si>
    <t>Project-493</t>
  </si>
  <si>
    <t>Project-968</t>
  </si>
  <si>
    <t>Project-556</t>
  </si>
  <si>
    <t>Project-788</t>
  </si>
  <si>
    <t>Project-647</t>
  </si>
  <si>
    <t>Project-468</t>
  </si>
  <si>
    <t>Project-794</t>
  </si>
  <si>
    <t>Project-378</t>
  </si>
  <si>
    <t>Project-972</t>
  </si>
  <si>
    <t>Project-372</t>
  </si>
  <si>
    <t>Project-161</t>
  </si>
  <si>
    <t>Project-695</t>
  </si>
  <si>
    <t>Project-979</t>
  </si>
  <si>
    <t>Project-118</t>
  </si>
  <si>
    <t>Project-276</t>
  </si>
  <si>
    <t>Project-495</t>
  </si>
  <si>
    <t>Project-544</t>
  </si>
  <si>
    <t>Project-364</t>
  </si>
  <si>
    <t>Project-817</t>
  </si>
  <si>
    <t>Project-483</t>
  </si>
  <si>
    <t>Project-950</t>
  </si>
  <si>
    <t>Project-124</t>
  </si>
  <si>
    <t>Project-990</t>
  </si>
  <si>
    <t>Project-568</t>
  </si>
  <si>
    <t>Project-583</t>
  </si>
  <si>
    <t>Project-668</t>
  </si>
  <si>
    <t>Project-208</t>
  </si>
  <si>
    <t>Project-792</t>
  </si>
  <si>
    <t>Project-141</t>
  </si>
  <si>
    <t>Project-285</t>
  </si>
  <si>
    <t>Project-232</t>
  </si>
  <si>
    <t>Project-832</t>
  </si>
  <si>
    <t>Project-334</t>
  </si>
  <si>
    <t>Project-942</t>
  </si>
  <si>
    <t>Project-757</t>
  </si>
  <si>
    <t>Project-687</t>
  </si>
  <si>
    <t>Project-173</t>
  </si>
  <si>
    <t>Project-618</t>
  </si>
  <si>
    <t>Project-273</t>
  </si>
  <si>
    <t>Project-752</t>
  </si>
  <si>
    <t>Project-269</t>
  </si>
  <si>
    <t>Project-293</t>
  </si>
  <si>
    <t>Project-616</t>
  </si>
  <si>
    <t>Project-128</t>
  </si>
  <si>
    <t>Project-264</t>
  </si>
  <si>
    <t>Project-438</t>
  </si>
  <si>
    <t>Project-595</t>
  </si>
  <si>
    <t>Project-932</t>
  </si>
  <si>
    <t>Project-599</t>
  </si>
  <si>
    <t>Project-426</t>
  </si>
  <si>
    <t>Project-400</t>
  </si>
  <si>
    <t>Project-231</t>
  </si>
  <si>
    <t>Project-903</t>
  </si>
  <si>
    <t>Project-169</t>
  </si>
  <si>
    <t>Project-281</t>
  </si>
  <si>
    <t>Project-190</t>
  </si>
  <si>
    <t>Project-813</t>
  </si>
  <si>
    <t>Project-630</t>
  </si>
  <si>
    <t>Project-225</t>
  </si>
  <si>
    <t>Project-550</t>
  </si>
  <si>
    <t>Project-272</t>
  </si>
  <si>
    <t>Project-994</t>
  </si>
  <si>
    <t>Project-460</t>
  </si>
  <si>
    <t>Project-100</t>
  </si>
  <si>
    <t>Project-607</t>
  </si>
  <si>
    <t>Project-508</t>
  </si>
  <si>
    <t>Project-923</t>
  </si>
  <si>
    <t>Project-233</t>
  </si>
  <si>
    <t>Project-914</t>
  </si>
  <si>
    <t>Project-248</t>
  </si>
  <si>
    <t>Project-179</t>
  </si>
  <si>
    <t>Project-985</t>
  </si>
  <si>
    <t>Project-312</t>
  </si>
  <si>
    <t>Project-328</t>
  </si>
  <si>
    <t>Project-631</t>
  </si>
  <si>
    <t>Project-540</t>
  </si>
  <si>
    <t>Project-625</t>
  </si>
  <si>
    <t>Project-429</t>
  </si>
  <si>
    <t>Project-883</t>
  </si>
  <si>
    <t>Project-457</t>
  </si>
  <si>
    <t>Project-767</t>
  </si>
  <si>
    <t>Project-107</t>
  </si>
  <si>
    <t>Project-277</t>
  </si>
  <si>
    <t>Project-639</t>
  </si>
  <si>
    <t>Project-831</t>
  </si>
  <si>
    <t>Project-839</t>
  </si>
  <si>
    <t>Project-601</t>
  </si>
  <si>
    <t>Project-244</t>
  </si>
  <si>
    <t>Project-823</t>
  </si>
  <si>
    <t>Project-657</t>
  </si>
  <si>
    <t>Project-693</t>
  </si>
  <si>
    <t>Project-808</t>
  </si>
  <si>
    <t>Project-549</t>
  </si>
  <si>
    <t>Project-109</t>
  </si>
  <si>
    <t>Project-350</t>
  </si>
  <si>
    <t>Project-218</t>
  </si>
  <si>
    <t>Project-245</t>
  </si>
  <si>
    <t>Project-323</t>
  </si>
  <si>
    <t>Project-338</t>
  </si>
  <si>
    <t>Project-952</t>
  </si>
  <si>
    <t>Project-381</t>
  </si>
  <si>
    <t>Project-204</t>
  </si>
  <si>
    <t>Project-504</t>
  </si>
  <si>
    <t>Project-744</t>
  </si>
  <si>
    <t>Project-969</t>
  </si>
  <si>
    <t>Project-536</t>
  </si>
  <si>
    <t>Project-557</t>
  </si>
  <si>
    <t>Project-182</t>
  </si>
  <si>
    <t>Project-184</t>
  </si>
  <si>
    <t>Project-177</t>
  </si>
  <si>
    <t>Project-816</t>
  </si>
  <si>
    <t>Project-545</t>
  </si>
  <si>
    <t>Project-548</t>
  </si>
  <si>
    <t>Project-133</t>
  </si>
  <si>
    <t>Project-194</t>
  </si>
  <si>
    <t>Project-349</t>
  </si>
  <si>
    <t>Project-773</t>
  </si>
  <si>
    <t>Project-405</t>
  </si>
  <si>
    <t>Project-335</t>
  </si>
  <si>
    <t>Project-488</t>
  </si>
  <si>
    <t>Project-862</t>
  </si>
  <si>
    <t>Project-402</t>
  </si>
  <si>
    <t>Project-837</t>
  </si>
  <si>
    <t>Project-197</t>
  </si>
  <si>
    <t>Project-949</t>
  </si>
  <si>
    <t>Project-434</t>
  </si>
  <si>
    <t>Project-958</t>
  </si>
  <si>
    <t>Project-407</t>
  </si>
  <si>
    <t>Project-348</t>
  </si>
  <si>
    <t>Project-265</t>
  </si>
  <si>
    <t>Project-641</t>
  </si>
  <si>
    <t>Project-896</t>
  </si>
  <si>
    <t>Project-237</t>
  </si>
  <si>
    <t>Project-645</t>
  </si>
  <si>
    <t>Project-304</t>
  </si>
  <si>
    <t>Project-846</t>
  </si>
  <si>
    <t>Project-210</t>
  </si>
  <si>
    <t>Project-282</t>
  </si>
  <si>
    <t>Project-947</t>
  </si>
  <si>
    <t>Project-619</t>
  </si>
  <si>
    <t>Project-459</t>
  </si>
  <si>
    <t>Project-795</t>
  </si>
  <si>
    <t>Project-380</t>
  </si>
  <si>
    <t>Project-766</t>
  </si>
  <si>
    <t>Project-192</t>
  </si>
  <si>
    <t>Project-160</t>
  </si>
  <si>
    <t>Project-888</t>
  </si>
  <si>
    <t>Project-565</t>
  </si>
  <si>
    <t>Project-633</t>
  </si>
  <si>
    <t>Project-623</t>
  </si>
  <si>
    <t>Project-172</t>
  </si>
  <si>
    <t>Project-893</t>
  </si>
  <si>
    <t>Project-220</t>
  </si>
  <si>
    <t>Project-313</t>
  </si>
  <si>
    <t>Project-155</t>
  </si>
  <si>
    <t>Project-672</t>
  </si>
  <si>
    <t>Project-436</t>
  </si>
  <si>
    <t>Project-125</t>
  </si>
  <si>
    <t>Project-356</t>
  </si>
  <si>
    <t>Project-818</t>
  </si>
  <si>
    <t>Project-315</t>
  </si>
  <si>
    <t>Project-765</t>
  </si>
  <si>
    <t>Project-411</t>
  </si>
  <si>
    <t>Project-106</t>
  </si>
  <si>
    <t>Project-102</t>
  </si>
  <si>
    <t>Project-722</t>
  </si>
  <si>
    <t>Project-462</t>
  </si>
  <si>
    <t>Project-730</t>
  </si>
  <si>
    <t>Project-911</t>
  </si>
  <si>
    <t>Project-636</t>
  </si>
  <si>
    <t>Project-311</t>
  </si>
  <si>
    <t>Project-166</t>
  </si>
  <si>
    <t>Project-327</t>
  </si>
  <si>
    <t>Project-694</t>
  </si>
  <si>
    <t>Project-524</t>
  </si>
  <si>
    <t>Project-419</t>
  </si>
  <si>
    <t>Project-542</t>
  </si>
  <si>
    <t>Project-414</t>
  </si>
  <si>
    <t>Project-681</t>
  </si>
  <si>
    <t>Project-236</t>
  </si>
  <si>
    <t>Project-998</t>
  </si>
  <si>
    <t>Project-642</t>
  </si>
  <si>
    <t>Project-139</t>
  </si>
  <si>
    <t>Project-105</t>
  </si>
  <si>
    <t>Project-421</t>
  </si>
  <si>
    <t>Project-567</t>
  </si>
  <si>
    <t>Project-103</t>
  </si>
  <si>
    <t>Project-946</t>
  </si>
  <si>
    <t>Project-705</t>
  </si>
  <si>
    <t>Project-814</t>
  </si>
  <si>
    <t>Project-399</t>
  </si>
  <si>
    <t>Project-509</t>
  </si>
  <si>
    <t>Project-239</t>
  </si>
  <si>
    <t>Project-658</t>
  </si>
  <si>
    <t>Project-649</t>
  </si>
  <si>
    <t>Project-993</t>
  </si>
  <si>
    <t>Project-967</t>
  </si>
  <si>
    <t>Project-944</t>
  </si>
  <si>
    <t>Project-360</t>
  </si>
  <si>
    <t>Project-749</t>
  </si>
  <si>
    <t>Project-112</t>
  </si>
  <si>
    <t>Project-418</t>
  </si>
  <si>
    <t>Project-428</t>
  </si>
  <si>
    <t>Project-916</t>
  </si>
  <si>
    <t>Project-433</t>
  </si>
  <si>
    <t>Project-390</t>
  </si>
  <si>
    <t>Project-188</t>
  </si>
  <si>
    <t>Project-394</t>
  </si>
  <si>
    <t>Project-715</t>
  </si>
  <si>
    <t>Project-736</t>
  </si>
  <si>
    <t>Project-964</t>
  </si>
  <si>
    <t>Project-920</t>
  </si>
  <si>
    <t>Project-678</t>
  </si>
  <si>
    <t>Project-490</t>
  </si>
  <si>
    <t>Project-278</t>
  </si>
  <si>
    <t>Project-547</t>
  </si>
  <si>
    <t>Project-768</t>
  </si>
  <si>
    <t>Project-577</t>
  </si>
  <si>
    <t>Project-196</t>
  </si>
  <si>
    <t>Project-697</t>
  </si>
  <si>
    <t>Project-734</t>
  </si>
  <si>
    <t>Project-258</t>
  </si>
  <si>
    <t>Project-423</t>
  </si>
  <si>
    <t>Project-943</t>
  </si>
  <si>
    <t>Project-726</t>
  </si>
  <si>
    <t>Project-854</t>
  </si>
  <si>
    <t>Project-391</t>
  </si>
  <si>
    <t>Project-110</t>
  </si>
  <si>
    <t>Project-811</t>
  </si>
  <si>
    <t>Project-240</t>
  </si>
  <si>
    <t>Project-309</t>
  </si>
  <si>
    <t>Project-782</t>
  </si>
  <si>
    <t>Project-455</t>
  </si>
  <si>
    <t>Project-987</t>
  </si>
  <si>
    <t>Project-898</t>
  </si>
  <si>
    <t>Project-477</t>
  </si>
  <si>
    <t>Project-396</t>
  </si>
  <si>
    <t>Project-913</t>
  </si>
  <si>
    <t>Project-721</t>
  </si>
  <si>
    <t>Project-470</t>
  </si>
  <si>
    <t>Project-760</t>
  </si>
  <si>
    <t>Project-530</t>
  </si>
  <si>
    <t>Project-412</t>
  </si>
  <si>
    <t>Project-902</t>
  </si>
  <si>
    <t>Project-446</t>
  </si>
  <si>
    <t>Project-628</t>
  </si>
  <si>
    <t>Project-955</t>
  </si>
  <si>
    <t>Project-255</t>
  </si>
  <si>
    <t>Project-981</t>
  </si>
  <si>
    <t>Project-183</t>
  </si>
  <si>
    <t>Project-729</t>
  </si>
  <si>
    <t>Project-822</t>
  </si>
  <si>
    <t>Project-131</t>
  </si>
  <si>
    <t>Project-528</t>
  </si>
  <si>
    <t>Project-385</t>
  </si>
  <si>
    <t>Project-523</t>
  </si>
  <si>
    <t>Project-689</t>
  </si>
  <si>
    <t>Project-274</t>
  </si>
  <si>
    <t>Project-213</t>
  </si>
  <si>
    <t>Project-321</t>
  </si>
  <si>
    <t>Project-777</t>
  </si>
  <si>
    <t>Project-743</t>
  </si>
  <si>
    <t>Project-154</t>
  </si>
  <si>
    <t>Project-877</t>
  </si>
  <si>
    <t>Project-186</t>
  </si>
  <si>
    <t>Project-427</t>
  </si>
  <si>
    <t>Project-590</t>
  </si>
  <si>
    <t>Project-551</t>
  </si>
  <si>
    <t>Project-874</t>
  </si>
  <si>
    <t>Project-480</t>
  </si>
  <si>
    <t>Project-181</t>
  </si>
  <si>
    <t>Project-613</t>
  </si>
  <si>
    <t>Project-622</t>
  </si>
  <si>
    <t>Project-845</t>
  </si>
  <si>
    <t>Project-806</t>
  </si>
  <si>
    <t>Project-463</t>
  </si>
  <si>
    <t>Project-731</t>
  </si>
  <si>
    <t>Project-820</t>
  </si>
  <si>
    <t>Project-308</t>
  </si>
  <si>
    <t>Project-651</t>
  </si>
  <si>
    <t>Project-377</t>
  </si>
  <si>
    <t>Project-593</t>
  </si>
  <si>
    <t>Project-698</t>
  </si>
  <si>
    <t>Project-728</t>
  </si>
  <si>
    <t>Project-973</t>
  </si>
  <si>
    <t>Project-386</t>
  </si>
  <si>
    <t>Project-830</t>
  </si>
  <si>
    <t>Project-675</t>
  </si>
  <si>
    <t>Project-804</t>
  </si>
  <si>
    <t>Project-843</t>
  </si>
  <si>
    <t>Project-409</t>
  </si>
  <si>
    <t>Project-505</t>
  </si>
  <si>
    <t>Project-606</t>
  </si>
  <si>
    <t>Project-581</t>
  </si>
  <si>
    <t>Project-812</t>
  </si>
  <si>
    <t>Project-597</t>
  </si>
  <si>
    <t>Project-207</t>
  </si>
  <si>
    <t>Project-201</t>
  </si>
  <si>
    <t>Project-965</t>
  </si>
  <si>
    <t>Project-374</t>
  </si>
  <si>
    <t>Project-143</t>
  </si>
  <si>
    <t>Project-691</t>
  </si>
  <si>
    <t>Project-299</t>
  </si>
  <si>
    <t>Project-670</t>
  </si>
  <si>
    <t>Project-881</t>
  </si>
  <si>
    <t>Project-471</t>
  </si>
  <si>
    <t>Project-626</t>
  </si>
  <si>
    <t>Project-821</t>
  </si>
  <si>
    <t>Project-525</t>
  </si>
  <si>
    <t>Project-410</t>
  </si>
  <si>
    <t>Project-880</t>
  </si>
  <si>
    <t>Project-344</t>
  </si>
  <si>
    <t>Project-539</t>
  </si>
  <si>
    <t>Project-365</t>
  </si>
  <si>
    <t>Project-241</t>
  </si>
  <si>
    <t>Project-392</t>
  </si>
  <si>
    <t>Project-684</t>
  </si>
  <si>
    <t>Project-498</t>
  </si>
  <si>
    <t>Project-988</t>
  </si>
  <si>
    <t>Project-683</t>
  </si>
  <si>
    <t>Project-465</t>
  </si>
  <si>
    <t>Project-852</t>
  </si>
  <si>
    <t>Project-989</t>
  </si>
  <si>
    <t>Project-992</t>
  </si>
  <si>
    <t>Project-366</t>
  </si>
  <si>
    <t>Project-431</t>
  </si>
  <si>
    <t>Project-562</t>
  </si>
  <si>
    <t>Project-494</t>
  </si>
  <si>
    <t>Project-553</t>
  </si>
  <si>
    <t>Project-667</t>
  </si>
  <si>
    <t>Project-361</t>
  </si>
  <si>
    <t>Project-452</t>
  </si>
  <si>
    <t>Project-444</t>
  </si>
  <si>
    <t>Project-130</t>
  </si>
  <si>
    <t>Project-634</t>
  </si>
  <si>
    <t>Project-688</t>
  </si>
  <si>
    <t>Project-685</t>
  </si>
  <si>
    <t>Project-511</t>
  </si>
  <si>
    <t>Project-815</t>
  </si>
  <si>
    <t>Project-178</t>
  </si>
  <si>
    <t>Project-529</t>
  </si>
  <si>
    <t>Project-986</t>
  </si>
  <si>
    <t>Project-638</t>
  </si>
  <si>
    <t>Project-481</t>
  </si>
  <si>
    <t>Project-885</t>
  </si>
  <si>
    <t>Project-159</t>
  </si>
  <si>
    <t>Project-690</t>
  </si>
  <si>
    <t>Project-298</t>
  </si>
  <si>
    <t>Project-635</t>
  </si>
  <si>
    <t>Project-163</t>
  </si>
  <si>
    <t>Project-594</t>
  </si>
  <si>
    <t>Project-643</t>
  </si>
  <si>
    <t>Project-652</t>
  </si>
  <si>
    <t>Project-416</t>
  </si>
  <si>
    <t>Project-959</t>
  </si>
  <si>
    <t>Project-482</t>
  </si>
  <si>
    <t>Project-614</t>
  </si>
  <si>
    <t>Project-908</t>
  </si>
  <si>
    <t>Project-406</t>
  </si>
  <si>
    <t>Project-648</t>
  </si>
  <si>
    <t>Project-451</t>
  </si>
  <si>
    <t>Project-961</t>
  </si>
  <si>
    <t>Project-123</t>
  </si>
  <si>
    <t>Project-629</t>
  </si>
  <si>
    <t>Project-836</t>
  </si>
  <si>
    <t>Project-165</t>
  </si>
  <si>
    <t>Project-375</t>
  </si>
  <si>
    <t>Project-856</t>
  </si>
  <si>
    <t>Project-284</t>
  </si>
  <si>
    <t>Project-292</t>
  </si>
  <si>
    <t>Project-713</t>
  </si>
  <si>
    <t>Project-320</t>
  </si>
  <si>
    <t>Project-442</t>
  </si>
  <si>
    <t>Project-718</t>
  </si>
  <si>
    <t>Project-450</t>
  </si>
  <si>
    <t>Project-682</t>
  </si>
  <si>
    <t>Project-461</t>
  </si>
  <si>
    <t>Project-149</t>
  </si>
  <si>
    <t>Project-582</t>
  </si>
  <si>
    <t>Project-176</t>
  </si>
  <si>
    <t>Project-696</t>
  </si>
  <si>
    <t>Project-720</t>
  </si>
  <si>
    <t>Project-807</t>
  </si>
  <si>
    <t>Project-717</t>
  </si>
  <si>
    <t>Project-347</t>
  </si>
  <si>
    <t>Project-200</t>
  </si>
  <si>
    <t>Project-887</t>
  </si>
  <si>
    <t>Project-867</t>
  </si>
  <si>
    <t>Project-263</t>
  </si>
  <si>
    <t>Project-209</t>
  </si>
  <si>
    <t>Project-337</t>
  </si>
  <si>
    <t>Project-945</t>
  </si>
  <si>
    <t>Project-359</t>
  </si>
  <si>
    <t>Finance</t>
  </si>
  <si>
    <t>Operations</t>
  </si>
  <si>
    <t>Sales</t>
  </si>
  <si>
    <t>IT</t>
  </si>
  <si>
    <t>R&amp;D</t>
  </si>
  <si>
    <t>HR</t>
  </si>
  <si>
    <t>Procurement</t>
  </si>
  <si>
    <t>Marketing</t>
  </si>
  <si>
    <t>Sophia Davis</t>
  </si>
  <si>
    <t>Michael Brown</t>
  </si>
  <si>
    <t>Emma Johnson</t>
  </si>
  <si>
    <t>John Smith</t>
  </si>
  <si>
    <t>Olivia Miller</t>
  </si>
  <si>
    <t>Noah Jones</t>
  </si>
  <si>
    <t>Ava Taylor</t>
  </si>
  <si>
    <t>Liam Wilson</t>
  </si>
  <si>
    <t>Ongoing</t>
  </si>
  <si>
    <t>Delayed</t>
  </si>
  <si>
    <t>Completed</t>
  </si>
  <si>
    <t>Cancelled</t>
  </si>
  <si>
    <t>South</t>
  </si>
  <si>
    <t>West</t>
  </si>
  <si>
    <t>East</t>
  </si>
  <si>
    <t>Central</t>
  </si>
  <si>
    <t>North</t>
  </si>
  <si>
    <t>Q3</t>
  </si>
  <si>
    <t>Q1</t>
  </si>
  <si>
    <t>Q2</t>
  </si>
  <si>
    <t>Q4</t>
  </si>
  <si>
    <t>Work in progress</t>
  </si>
  <si>
    <t>Timeline extended</t>
  </si>
  <si>
    <t>Project delivered successfully</t>
  </si>
  <si>
    <t>Project cancelled</t>
  </si>
  <si>
    <t>Grand Total</t>
  </si>
  <si>
    <t>Total Allocated Budget (USD)</t>
  </si>
  <si>
    <t>Total Actual Spending (USD)</t>
  </si>
  <si>
    <t>Department Budget vs Actual Spending</t>
  </si>
  <si>
    <t>Sum of Variance (USD)</t>
  </si>
  <si>
    <t>Count of Project ID</t>
  </si>
  <si>
    <t>(All)</t>
  </si>
  <si>
    <t>Project Status by Department and Manager</t>
  </si>
  <si>
    <t>Status</t>
  </si>
  <si>
    <t>Average of ROI (%)</t>
  </si>
  <si>
    <t>ROI Trend by Quarter</t>
  </si>
  <si>
    <t>Variance Analysis by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</si>
</sst>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indexed="64"/>
      </top>
      <bottom style="thin">
        <color indexed="64"/>
      </bottom>
      <diagonal/>
    </border>
    <border>
      <left style="thin">
        <color indexed="64"/>
      </left>
      <right style="thin">
        <color indexed="64"/>
      </right>
      <top/>
      <bottom/>
      <diagonal/>
    </border>
    <border>
      <left style="thin">
        <color auto="1"/>
      </left>
      <right/>
      <top/>
      <bottom/>
      <diagonal/>
    </border>
  </borders>
  <cellStyleXfs count="1">
    <xf numFmtId="0" fontId="0" fillId="0" borderId="0"/>
  </cellStyleXfs>
  <cellXfs count="44">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2" xfId="0"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14" fontId="1" fillId="0" borderId="5" xfId="0" applyNumberFormat="1" applyFont="1" applyBorder="1" applyAlignment="1">
      <alignment horizontal="center" vertical="top"/>
    </xf>
    <xf numFmtId="0" fontId="1" fillId="0" borderId="6" xfId="0" applyFont="1" applyBorder="1" applyAlignment="1">
      <alignment horizontal="center" vertical="top"/>
    </xf>
    <xf numFmtId="0" fontId="0" fillId="0" borderId="7" xfId="0" applyBorder="1"/>
    <xf numFmtId="0" fontId="0" fillId="0" borderId="8" xfId="0" applyBorder="1"/>
    <xf numFmtId="14" fontId="0" fillId="0" borderId="8" xfId="0" applyNumberFormat="1" applyBorder="1"/>
    <xf numFmtId="0" fontId="0" fillId="0" borderId="9" xfId="0" applyBorder="1"/>
    <xf numFmtId="0" fontId="0" fillId="0" borderId="0" xfId="0" pivotButton="1"/>
    <xf numFmtId="0" fontId="0" fillId="0" borderId="1" xfId="0" applyNumberFormat="1" applyBorder="1"/>
    <xf numFmtId="0" fontId="1" fillId="0" borderId="1" xfId="0" applyFont="1" applyBorder="1" applyAlignment="1">
      <alignment horizontal="left"/>
    </xf>
    <xf numFmtId="0" fontId="0" fillId="4" borderId="0" xfId="0" applyFill="1"/>
    <xf numFmtId="0" fontId="0" fillId="4" borderId="8" xfId="0" applyFill="1" applyBorder="1"/>
    <xf numFmtId="0" fontId="0" fillId="4" borderId="0" xfId="0" applyFill="1" applyAlignment="1">
      <alignment horizontal="left"/>
    </xf>
    <xf numFmtId="0" fontId="0" fillId="4" borderId="0" xfId="0" applyNumberFormat="1" applyFill="1"/>
    <xf numFmtId="0" fontId="0" fillId="5" borderId="8" xfId="0" applyFill="1" applyBorder="1"/>
    <xf numFmtId="0" fontId="0" fillId="5" borderId="0" xfId="0" applyFill="1" applyAlignment="1">
      <alignment horizontal="left"/>
    </xf>
    <xf numFmtId="0" fontId="0" fillId="5" borderId="0" xfId="0" applyNumberFormat="1" applyFill="1"/>
    <xf numFmtId="0" fontId="0" fillId="2" borderId="1" xfId="0" applyFill="1" applyBorder="1"/>
    <xf numFmtId="0" fontId="1" fillId="6" borderId="1" xfId="0" applyNumberFormat="1" applyFont="1" applyFill="1" applyBorder="1"/>
    <xf numFmtId="0" fontId="0" fillId="4" borderId="7" xfId="0" applyFill="1" applyBorder="1"/>
    <xf numFmtId="0" fontId="0" fillId="0" borderId="11" xfId="0" applyNumberFormat="1" applyBorder="1"/>
    <xf numFmtId="0" fontId="0" fillId="7" borderId="1" xfId="0" applyFill="1" applyBorder="1"/>
    <xf numFmtId="0" fontId="0" fillId="7" borderId="1" xfId="0" applyFill="1" applyBorder="1" applyAlignment="1">
      <alignment horizontal="left"/>
    </xf>
    <xf numFmtId="0" fontId="0" fillId="7" borderId="1" xfId="0" applyNumberFormat="1" applyFill="1" applyBorder="1"/>
    <xf numFmtId="0" fontId="0" fillId="9" borderId="5" xfId="0" applyFill="1" applyBorder="1"/>
    <xf numFmtId="0" fontId="0" fillId="9" borderId="1" xfId="0" applyFill="1" applyBorder="1"/>
    <xf numFmtId="0" fontId="0" fillId="9" borderId="5" xfId="0" applyFill="1" applyBorder="1" applyAlignment="1">
      <alignment horizontal="left"/>
    </xf>
    <xf numFmtId="0" fontId="0" fillId="9" borderId="5" xfId="0" applyNumberFormat="1" applyFill="1" applyBorder="1"/>
    <xf numFmtId="0" fontId="0" fillId="2" borderId="4" xfId="0" applyFill="1" applyBorder="1"/>
    <xf numFmtId="0" fontId="0" fillId="0" borderId="12" xfId="0" applyBorder="1" applyAlignment="1">
      <alignment horizontal="left"/>
    </xf>
    <xf numFmtId="0" fontId="2" fillId="2" borderId="1" xfId="0" applyFont="1" applyFill="1" applyBorder="1" applyAlignment="1">
      <alignment horizontal="center"/>
    </xf>
    <xf numFmtId="0" fontId="2" fillId="3" borderId="3" xfId="0" applyFont="1" applyFill="1" applyBorder="1" applyAlignment="1">
      <alignment horizontal="center"/>
    </xf>
    <xf numFmtId="0" fontId="2" fillId="3" borderId="10" xfId="0" applyFont="1" applyFill="1" applyBorder="1" applyAlignment="1">
      <alignment horizontal="center"/>
    </xf>
    <xf numFmtId="0" fontId="2" fillId="3" borderId="2" xfId="0" applyFont="1" applyFill="1" applyBorder="1" applyAlignment="1">
      <alignment horizontal="center"/>
    </xf>
    <xf numFmtId="0" fontId="2" fillId="10" borderId="1" xfId="0" applyFont="1" applyFill="1" applyBorder="1" applyAlignment="1">
      <alignment horizontal="center"/>
    </xf>
    <xf numFmtId="0" fontId="2" fillId="8" borderId="1" xfId="0" applyFont="1" applyFill="1" applyBorder="1" applyAlignment="1">
      <alignment horizontal="center"/>
    </xf>
    <xf numFmtId="0" fontId="0" fillId="8" borderId="1" xfId="0" applyFill="1" applyBorder="1" applyAlignment="1">
      <alignment horizontal="center"/>
    </xf>
  </cellXfs>
  <cellStyles count="1">
    <cellStyle name="Normal" xfId="0" builtinId="0"/>
  </cellStyles>
  <dxfs count="13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ill>
        <patternFill patternType="solid">
          <bgColor rgb="FFFF5001"/>
        </patternFill>
      </fill>
    </dxf>
    <dxf>
      <fill>
        <patternFill patternType="solid">
          <bgColor rgb="FFFF5001"/>
        </patternFill>
      </fill>
    </dxf>
    <dxf>
      <fill>
        <patternFill>
          <bgColor theme="9" tint="0.79998168889431442"/>
        </patternFill>
      </fill>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ill>
        <patternFill patternType="solid">
          <bgColor rgb="FFFF5001"/>
        </patternFill>
      </fill>
    </dxf>
    <dxf>
      <fill>
        <patternFill patternType="solid">
          <bgColor rgb="FFFF5001"/>
        </patternFill>
      </fill>
    </dxf>
    <dxf>
      <fill>
        <patternFill>
          <bgColor theme="9" tint="0.79998168889431442"/>
        </patternFill>
      </fill>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ill>
        <patternFill patternType="solid">
          <bgColor rgb="FFFF5001"/>
        </patternFill>
      </fill>
    </dxf>
    <dxf>
      <fill>
        <patternFill patternType="solid">
          <bgColor rgb="FFFF5001"/>
        </patternFill>
      </fill>
    </dxf>
    <dxf>
      <fill>
        <patternFill>
          <bgColor theme="9" tint="0.79998168889431442"/>
        </patternFill>
      </fill>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fill>
        <patternFill>
          <bgColor theme="9" tint="0.79998168889431442"/>
        </patternFill>
      </fill>
    </dxf>
    <dxf>
      <fill>
        <patternFill patternType="solid">
          <bgColor rgb="FFFF5001"/>
        </patternFill>
      </fill>
    </dxf>
    <dxf>
      <fill>
        <patternFill patternType="solid">
          <bgColor rgb="FFFF5001"/>
        </patternFill>
      </fill>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59999389629810485"/>
        </patternFill>
      </fill>
    </dxf>
    <dxf>
      <fill>
        <patternFill>
          <bgColor theme="6" tint="0.59999389629810485"/>
        </patternFill>
      </fill>
    </dxf>
    <dxf>
      <font>
        <b/>
      </font>
    </dxf>
    <dxf>
      <fill>
        <patternFill>
          <bgColor theme="6" tint="0.59999389629810485"/>
        </patternFill>
      </fill>
    </dxf>
    <dxf>
      <fill>
        <patternFill>
          <bgColor theme="6" tint="0.59999389629810485"/>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fill>
        <patternFill>
          <bgColor theme="9" tint="0.79998168889431442"/>
        </patternFill>
      </fill>
    </dxf>
    <dxf>
      <fill>
        <patternFill patternType="solid">
          <bgColor rgb="FFFF5001"/>
        </patternFill>
      </fill>
    </dxf>
    <dxf>
      <fill>
        <patternFill patternType="solid">
          <bgColor rgb="FFFF5001"/>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patternType="solid">
          <bgColor theme="4" tint="0.79998168889431442"/>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tint="0.79998168889431442"/>
        </patternFill>
      </fill>
    </dxf>
    <dxf>
      <fill>
        <patternFill>
          <bgColor theme="0"/>
        </patternFill>
      </fill>
    </dxf>
    <dxf>
      <font>
        <b/>
      </font>
    </dxf>
    <dxf>
      <fill>
        <patternFill>
          <bgColor theme="9" tint="0.79998168889431442"/>
        </patternFill>
      </fill>
    </dxf>
    <dxf>
      <fill>
        <patternFill>
          <bgColor theme="5" tint="0.79998168889431442"/>
        </patternFill>
      </fill>
    </dxf>
    <dxf>
      <border>
        <vertical style="thin">
          <color indexed="64"/>
        </vertical>
        <horizontal style="thin">
          <color indexed="64"/>
        </horizontal>
      </border>
    </dxf>
    <dxf>
      <fill>
        <patternFill>
          <bgColor theme="0"/>
        </patternFill>
      </fill>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bottom style="thin">
          <color indexed="64"/>
        </bottom>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fill>
        <patternFill>
          <bgColor theme="9" tint="0.79998168889431442"/>
        </patternFill>
      </fill>
    </dxf>
    <dxf>
      <fill>
        <patternFill patternType="solid">
          <bgColor rgb="FFFF5001"/>
        </patternFill>
      </fill>
    </dxf>
    <dxf>
      <fill>
        <patternFill patternType="solid">
          <bgColor rgb="FFFF5001"/>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9" formatCode="dd/mm/yyyy"/>
      <border diagonalUp="0" diagonalDown="0">
        <left style="thin">
          <color auto="1"/>
        </left>
        <right style="thin">
          <color auto="1"/>
        </right>
        <top style="thin">
          <color auto="1"/>
        </top>
        <bottom style="thin">
          <color auto="1"/>
        </bottom>
        <vertical/>
        <horizontal/>
      </border>
    </dxf>
    <dxf>
      <numFmt numFmtId="19" formatCode="dd/mm/yy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50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1/relationships/timelineCache" Target="timelineCaches/timelineCache2.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[Financial_Transaction_Dashboard.xlsx]Insights!PivotTable1</c:name>
    <c:fmtId val="2"/>
  </c:pivotSource>
  <c:chart>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47383362793936"/>
          <c:y val="0.13323855351414407"/>
          <c:w val="0.468328887460496"/>
          <c:h val="0.69718977836103824"/>
        </c:manualLayout>
      </c:layout>
      <c:barChart>
        <c:barDir val="col"/>
        <c:grouping val="clustered"/>
        <c:varyColors val="0"/>
        <c:ser>
          <c:idx val="0"/>
          <c:order val="0"/>
          <c:tx>
            <c:strRef>
              <c:f>Insights!$C$3</c:f>
              <c:strCache>
                <c:ptCount val="1"/>
                <c:pt idx="0">
                  <c:v>Total Allocated Budget (USD)</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Insights!$B$4:$B$7</c:f>
              <c:strCache>
                <c:ptCount val="3"/>
                <c:pt idx="0">
                  <c:v>Finance</c:v>
                </c:pt>
                <c:pt idx="1">
                  <c:v>IT</c:v>
                </c:pt>
                <c:pt idx="2">
                  <c:v>Operations</c:v>
                </c:pt>
              </c:strCache>
            </c:strRef>
          </c:cat>
          <c:val>
            <c:numRef>
              <c:f>Insights!$C$4:$C$7</c:f>
              <c:numCache>
                <c:formatCode>General</c:formatCode>
                <c:ptCount val="3"/>
                <c:pt idx="0">
                  <c:v>212184227</c:v>
                </c:pt>
                <c:pt idx="1">
                  <c:v>203030089</c:v>
                </c:pt>
                <c:pt idx="2">
                  <c:v>203060067</c:v>
                </c:pt>
              </c:numCache>
            </c:numRef>
          </c:val>
          <c:extLst>
            <c:ext xmlns:c16="http://schemas.microsoft.com/office/drawing/2014/chart" uri="{C3380CC4-5D6E-409C-BE32-E72D297353CC}">
              <c16:uniqueId val="{00000000-DC27-40E3-A8A8-8C44CAB6D905}"/>
            </c:ext>
          </c:extLst>
        </c:ser>
        <c:ser>
          <c:idx val="1"/>
          <c:order val="1"/>
          <c:tx>
            <c:strRef>
              <c:f>Insights!$D$3</c:f>
              <c:strCache>
                <c:ptCount val="1"/>
                <c:pt idx="0">
                  <c:v>Total Actual Spending (USD)</c:v>
                </c:pt>
              </c:strCache>
            </c:strRef>
          </c:tx>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Insights!$B$4:$B$7</c:f>
              <c:strCache>
                <c:ptCount val="3"/>
                <c:pt idx="0">
                  <c:v>Finance</c:v>
                </c:pt>
                <c:pt idx="1">
                  <c:v>IT</c:v>
                </c:pt>
                <c:pt idx="2">
                  <c:v>Operations</c:v>
                </c:pt>
              </c:strCache>
            </c:strRef>
          </c:cat>
          <c:val>
            <c:numRef>
              <c:f>Insights!$D$4:$D$7</c:f>
              <c:numCache>
                <c:formatCode>General</c:formatCode>
                <c:ptCount val="3"/>
                <c:pt idx="0">
                  <c:v>246024790</c:v>
                </c:pt>
                <c:pt idx="1">
                  <c:v>244383827</c:v>
                </c:pt>
                <c:pt idx="2">
                  <c:v>251037690</c:v>
                </c:pt>
              </c:numCache>
            </c:numRef>
          </c:val>
          <c:extLst>
            <c:ext xmlns:c16="http://schemas.microsoft.com/office/drawing/2014/chart" uri="{C3380CC4-5D6E-409C-BE32-E72D297353CC}">
              <c16:uniqueId val="{00000001-DC27-40E3-A8A8-8C44CAB6D905}"/>
            </c:ext>
          </c:extLst>
        </c:ser>
        <c:ser>
          <c:idx val="2"/>
          <c:order val="2"/>
          <c:tx>
            <c:strRef>
              <c:f>Insights!$E$3</c:f>
              <c:strCache>
                <c:ptCount val="1"/>
                <c:pt idx="0">
                  <c:v>Sum of Variance (USD)</c:v>
                </c:pt>
              </c:strCache>
            </c:strRef>
          </c:tx>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Insights!$B$4:$B$7</c:f>
              <c:strCache>
                <c:ptCount val="3"/>
                <c:pt idx="0">
                  <c:v>Finance</c:v>
                </c:pt>
                <c:pt idx="1">
                  <c:v>IT</c:v>
                </c:pt>
                <c:pt idx="2">
                  <c:v>Operations</c:v>
                </c:pt>
              </c:strCache>
            </c:strRef>
          </c:cat>
          <c:val>
            <c:numRef>
              <c:f>Insights!$E$4:$E$7</c:f>
              <c:numCache>
                <c:formatCode>General</c:formatCode>
                <c:ptCount val="3"/>
                <c:pt idx="0">
                  <c:v>-33840563</c:v>
                </c:pt>
                <c:pt idx="1">
                  <c:v>-41353738</c:v>
                </c:pt>
                <c:pt idx="2">
                  <c:v>-47977623</c:v>
                </c:pt>
              </c:numCache>
            </c:numRef>
          </c:val>
          <c:extLst>
            <c:ext xmlns:c16="http://schemas.microsoft.com/office/drawing/2014/chart" uri="{C3380CC4-5D6E-409C-BE32-E72D297353CC}">
              <c16:uniqueId val="{00000002-DC27-40E3-A8A8-8C44CAB6D905}"/>
            </c:ext>
          </c:extLst>
        </c:ser>
        <c:dLbls>
          <c:dLblPos val="inEnd"/>
          <c:showLegendKey val="0"/>
          <c:showVal val="1"/>
          <c:showCatName val="0"/>
          <c:showSerName val="0"/>
          <c:showPercent val="0"/>
          <c:showBubbleSize val="0"/>
        </c:dLbls>
        <c:gapWidth val="100"/>
        <c:axId val="664862208"/>
        <c:axId val="664864288"/>
      </c:barChart>
      <c:catAx>
        <c:axId val="66486220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4864288"/>
        <c:crosses val="autoZero"/>
        <c:auto val="1"/>
        <c:lblAlgn val="ctr"/>
        <c:lblOffset val="100"/>
        <c:noMultiLvlLbl val="0"/>
      </c:catAx>
      <c:valAx>
        <c:axId val="664864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486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[Financial_Transaction_Dashboard.xlsx]Insights!PivotTable2</c:name>
    <c:fmtId val="3"/>
  </c:pivotSource>
  <c:chart>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Insights!$C$19:$C$20</c:f>
              <c:strCache>
                <c:ptCount val="1"/>
                <c:pt idx="0">
                  <c:v>Cancelled</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Insights!$B$21:$B$29</c:f>
              <c:strCache>
                <c:ptCount val="8"/>
                <c:pt idx="0">
                  <c:v>Finance</c:v>
                </c:pt>
                <c:pt idx="1">
                  <c:v>HR</c:v>
                </c:pt>
                <c:pt idx="2">
                  <c:v>IT</c:v>
                </c:pt>
                <c:pt idx="3">
                  <c:v>Marketing</c:v>
                </c:pt>
                <c:pt idx="4">
                  <c:v>Operations</c:v>
                </c:pt>
                <c:pt idx="5">
                  <c:v>Procurement</c:v>
                </c:pt>
                <c:pt idx="6">
                  <c:v>R&amp;D</c:v>
                </c:pt>
                <c:pt idx="7">
                  <c:v>Sales</c:v>
                </c:pt>
              </c:strCache>
            </c:strRef>
          </c:cat>
          <c:val>
            <c:numRef>
              <c:f>Insights!$C$21:$C$29</c:f>
              <c:numCache>
                <c:formatCode>General</c:formatCode>
                <c:ptCount val="8"/>
                <c:pt idx="0">
                  <c:v>15</c:v>
                </c:pt>
                <c:pt idx="1">
                  <c:v>13</c:v>
                </c:pt>
                <c:pt idx="2">
                  <c:v>20</c:v>
                </c:pt>
                <c:pt idx="3">
                  <c:v>11</c:v>
                </c:pt>
                <c:pt idx="4">
                  <c:v>19</c:v>
                </c:pt>
                <c:pt idx="5">
                  <c:v>15</c:v>
                </c:pt>
                <c:pt idx="6">
                  <c:v>13</c:v>
                </c:pt>
                <c:pt idx="7">
                  <c:v>16</c:v>
                </c:pt>
              </c:numCache>
            </c:numRef>
          </c:val>
          <c:extLst>
            <c:ext xmlns:c16="http://schemas.microsoft.com/office/drawing/2014/chart" uri="{C3380CC4-5D6E-409C-BE32-E72D297353CC}">
              <c16:uniqueId val="{00000000-634F-41A4-8CE7-FD5BDAB01D6E}"/>
            </c:ext>
          </c:extLst>
        </c:ser>
        <c:ser>
          <c:idx val="1"/>
          <c:order val="1"/>
          <c:tx>
            <c:strRef>
              <c:f>Insights!$D$19:$D$20</c:f>
              <c:strCache>
                <c:ptCount val="1"/>
                <c:pt idx="0">
                  <c:v>Completed</c:v>
                </c:pt>
              </c:strCache>
            </c:strRef>
          </c:tx>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Insights!$B$21:$B$29</c:f>
              <c:strCache>
                <c:ptCount val="8"/>
                <c:pt idx="0">
                  <c:v>Finance</c:v>
                </c:pt>
                <c:pt idx="1">
                  <c:v>HR</c:v>
                </c:pt>
                <c:pt idx="2">
                  <c:v>IT</c:v>
                </c:pt>
                <c:pt idx="3">
                  <c:v>Marketing</c:v>
                </c:pt>
                <c:pt idx="4">
                  <c:v>Operations</c:v>
                </c:pt>
                <c:pt idx="5">
                  <c:v>Procurement</c:v>
                </c:pt>
                <c:pt idx="6">
                  <c:v>R&amp;D</c:v>
                </c:pt>
                <c:pt idx="7">
                  <c:v>Sales</c:v>
                </c:pt>
              </c:strCache>
            </c:strRef>
          </c:cat>
          <c:val>
            <c:numRef>
              <c:f>Insights!$D$21:$D$29</c:f>
              <c:numCache>
                <c:formatCode>General</c:formatCode>
                <c:ptCount val="8"/>
                <c:pt idx="0">
                  <c:v>108</c:v>
                </c:pt>
                <c:pt idx="1">
                  <c:v>77</c:v>
                </c:pt>
                <c:pt idx="2">
                  <c:v>101</c:v>
                </c:pt>
                <c:pt idx="3">
                  <c:v>93</c:v>
                </c:pt>
                <c:pt idx="4">
                  <c:v>93</c:v>
                </c:pt>
                <c:pt idx="5">
                  <c:v>88</c:v>
                </c:pt>
                <c:pt idx="6">
                  <c:v>93</c:v>
                </c:pt>
                <c:pt idx="7">
                  <c:v>91</c:v>
                </c:pt>
              </c:numCache>
            </c:numRef>
          </c:val>
          <c:extLst>
            <c:ext xmlns:c16="http://schemas.microsoft.com/office/drawing/2014/chart" uri="{C3380CC4-5D6E-409C-BE32-E72D297353CC}">
              <c16:uniqueId val="{00000001-0DCD-45B1-BC8E-C021DFE8EED4}"/>
            </c:ext>
          </c:extLst>
        </c:ser>
        <c:ser>
          <c:idx val="2"/>
          <c:order val="2"/>
          <c:tx>
            <c:strRef>
              <c:f>Insights!$E$19:$E$20</c:f>
              <c:strCache>
                <c:ptCount val="1"/>
                <c:pt idx="0">
                  <c:v>Delayed</c:v>
                </c:pt>
              </c:strCache>
            </c:strRef>
          </c:tx>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Insights!$B$21:$B$29</c:f>
              <c:strCache>
                <c:ptCount val="8"/>
                <c:pt idx="0">
                  <c:v>Finance</c:v>
                </c:pt>
                <c:pt idx="1">
                  <c:v>HR</c:v>
                </c:pt>
                <c:pt idx="2">
                  <c:v>IT</c:v>
                </c:pt>
                <c:pt idx="3">
                  <c:v>Marketing</c:v>
                </c:pt>
                <c:pt idx="4">
                  <c:v>Operations</c:v>
                </c:pt>
                <c:pt idx="5">
                  <c:v>Procurement</c:v>
                </c:pt>
                <c:pt idx="6">
                  <c:v>R&amp;D</c:v>
                </c:pt>
                <c:pt idx="7">
                  <c:v>Sales</c:v>
                </c:pt>
              </c:strCache>
            </c:strRef>
          </c:cat>
          <c:val>
            <c:numRef>
              <c:f>Insights!$E$21:$E$29</c:f>
              <c:numCache>
                <c:formatCode>General</c:formatCode>
                <c:ptCount val="8"/>
                <c:pt idx="0">
                  <c:v>63</c:v>
                </c:pt>
                <c:pt idx="1">
                  <c:v>68</c:v>
                </c:pt>
                <c:pt idx="2">
                  <c:v>69</c:v>
                </c:pt>
                <c:pt idx="3">
                  <c:v>56</c:v>
                </c:pt>
                <c:pt idx="4">
                  <c:v>60</c:v>
                </c:pt>
                <c:pt idx="5">
                  <c:v>46</c:v>
                </c:pt>
                <c:pt idx="6">
                  <c:v>53</c:v>
                </c:pt>
                <c:pt idx="7">
                  <c:v>66</c:v>
                </c:pt>
              </c:numCache>
            </c:numRef>
          </c:val>
          <c:extLst>
            <c:ext xmlns:c16="http://schemas.microsoft.com/office/drawing/2014/chart" uri="{C3380CC4-5D6E-409C-BE32-E72D297353CC}">
              <c16:uniqueId val="{00000002-0DCD-45B1-BC8E-C021DFE8EED4}"/>
            </c:ext>
          </c:extLst>
        </c:ser>
        <c:ser>
          <c:idx val="3"/>
          <c:order val="3"/>
          <c:tx>
            <c:strRef>
              <c:f>Insights!$F$19:$F$20</c:f>
              <c:strCache>
                <c:ptCount val="1"/>
                <c:pt idx="0">
                  <c:v>Ongoing</c:v>
                </c:pt>
              </c:strCache>
            </c:strRef>
          </c:tx>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Insights!$B$21:$B$29</c:f>
              <c:strCache>
                <c:ptCount val="8"/>
                <c:pt idx="0">
                  <c:v>Finance</c:v>
                </c:pt>
                <c:pt idx="1">
                  <c:v>HR</c:v>
                </c:pt>
                <c:pt idx="2">
                  <c:v>IT</c:v>
                </c:pt>
                <c:pt idx="3">
                  <c:v>Marketing</c:v>
                </c:pt>
                <c:pt idx="4">
                  <c:v>Operations</c:v>
                </c:pt>
                <c:pt idx="5">
                  <c:v>Procurement</c:v>
                </c:pt>
                <c:pt idx="6">
                  <c:v>R&amp;D</c:v>
                </c:pt>
                <c:pt idx="7">
                  <c:v>Sales</c:v>
                </c:pt>
              </c:strCache>
            </c:strRef>
          </c:cat>
          <c:val>
            <c:numRef>
              <c:f>Insights!$F$21:$F$29</c:f>
              <c:numCache>
                <c:formatCode>General</c:formatCode>
                <c:ptCount val="8"/>
                <c:pt idx="0">
                  <c:v>211</c:v>
                </c:pt>
                <c:pt idx="1">
                  <c:v>191</c:v>
                </c:pt>
                <c:pt idx="2">
                  <c:v>204</c:v>
                </c:pt>
                <c:pt idx="3">
                  <c:v>221</c:v>
                </c:pt>
                <c:pt idx="4">
                  <c:v>218</c:v>
                </c:pt>
                <c:pt idx="5">
                  <c:v>215</c:v>
                </c:pt>
                <c:pt idx="6">
                  <c:v>213</c:v>
                </c:pt>
                <c:pt idx="7">
                  <c:v>180</c:v>
                </c:pt>
              </c:numCache>
            </c:numRef>
          </c:val>
          <c:extLst>
            <c:ext xmlns:c16="http://schemas.microsoft.com/office/drawing/2014/chart" uri="{C3380CC4-5D6E-409C-BE32-E72D297353CC}">
              <c16:uniqueId val="{00000003-0DCD-45B1-BC8E-C021DFE8EED4}"/>
            </c:ext>
          </c:extLst>
        </c:ser>
        <c:dLbls>
          <c:showLegendKey val="0"/>
          <c:showVal val="0"/>
          <c:showCatName val="0"/>
          <c:showSerName val="0"/>
          <c:showPercent val="0"/>
          <c:showBubbleSize val="0"/>
        </c:dLbls>
        <c:gapWidth val="150"/>
        <c:overlap val="100"/>
        <c:axId val="656748064"/>
        <c:axId val="656741408"/>
      </c:barChart>
      <c:valAx>
        <c:axId val="6567414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748064"/>
        <c:crosses val="autoZero"/>
        <c:crossBetween val="between"/>
      </c:valAx>
      <c:catAx>
        <c:axId val="656748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7414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[Financial_Transaction_Dashboard.xlsx]Insights!PivotTable4</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ROI Trend by Quarter</a:t>
            </a:r>
          </a:p>
        </c:rich>
      </c:tx>
      <c:layout>
        <c:manualLayout>
          <c:xMode val="edge"/>
          <c:yMode val="edge"/>
          <c:x val="0.1319830116709752"/>
          <c:y val="0.15280013843085388"/>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21909707847326"/>
          <c:y val="0.24981962500215035"/>
          <c:w val="0.68425545640917718"/>
          <c:h val="0.50965105694502555"/>
        </c:manualLayout>
      </c:layout>
      <c:lineChart>
        <c:grouping val="standard"/>
        <c:varyColors val="0"/>
        <c:ser>
          <c:idx val="0"/>
          <c:order val="0"/>
          <c:tx>
            <c:strRef>
              <c:f>Insights!$I$8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Insights!$H$9:$H$13</c:f>
              <c:strCache>
                <c:ptCount val="4"/>
                <c:pt idx="0">
                  <c:v>Q1</c:v>
                </c:pt>
                <c:pt idx="1">
                  <c:v>Q2</c:v>
                </c:pt>
                <c:pt idx="2">
                  <c:v>Q3</c:v>
                </c:pt>
                <c:pt idx="3">
                  <c:v>Q4</c:v>
                </c:pt>
              </c:strCache>
            </c:strRef>
          </c:cat>
          <c:val>
            <c:numRef>
              <c:f>Insights!$I$9:$I$13</c:f>
              <c:numCache>
                <c:formatCode>General</c:formatCode>
                <c:ptCount val="4"/>
                <c:pt idx="0">
                  <c:v>56.815704960202929</c:v>
                </c:pt>
                <c:pt idx="1">
                  <c:v>53.777720738221845</c:v>
                </c:pt>
                <c:pt idx="2">
                  <c:v>79.859889859909515</c:v>
                </c:pt>
                <c:pt idx="3">
                  <c:v>52.793768097771405</c:v>
                </c:pt>
              </c:numCache>
            </c:numRef>
          </c:val>
          <c:smooth val="0"/>
          <c:extLst>
            <c:ext xmlns:c16="http://schemas.microsoft.com/office/drawing/2014/chart" uri="{C3380CC4-5D6E-409C-BE32-E72D297353CC}">
              <c16:uniqueId val="{00000002-00A1-4B95-95F7-4E6592B68B19}"/>
            </c:ext>
          </c:extLst>
        </c:ser>
        <c:dLbls>
          <c:dLblPos val="ctr"/>
          <c:showLegendKey val="0"/>
          <c:showVal val="1"/>
          <c:showCatName val="0"/>
          <c:showSerName val="0"/>
          <c:showPercent val="0"/>
          <c:showBubbleSize val="0"/>
        </c:dLbls>
        <c:marker val="1"/>
        <c:smooth val="0"/>
        <c:axId val="656739328"/>
        <c:axId val="656735168"/>
      </c:lineChart>
      <c:catAx>
        <c:axId val="6567393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6735168"/>
        <c:crosses val="autoZero"/>
        <c:auto val="1"/>
        <c:lblAlgn val="ctr"/>
        <c:lblOffset val="100"/>
        <c:noMultiLvlLbl val="0"/>
      </c:catAx>
      <c:valAx>
        <c:axId val="6567351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673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[Financial_Transaction_Dashboard.xlsx]Insights!PivotTable5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Variance Analysis by Manager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4"/>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5"/>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6"/>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7"/>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8"/>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835581741093547E-3"/>
          <c:y val="0.31367855059784194"/>
          <c:w val="0.72062029746281719"/>
          <c:h val="0.66317330125400986"/>
        </c:manualLayout>
      </c:layout>
      <c:pie3DChart>
        <c:varyColors val="1"/>
        <c:ser>
          <c:idx val="0"/>
          <c:order val="0"/>
          <c:tx>
            <c:strRef>
              <c:f>Insights!$J$17</c:f>
              <c:strCache>
                <c:ptCount val="1"/>
                <c:pt idx="0">
                  <c:v>Total</c:v>
                </c:pt>
              </c:strCache>
            </c:strRef>
          </c:tx>
          <c:dPt>
            <c:idx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1-3FA7-455B-BEAC-8AD1519AA90D}"/>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3-3FA7-455B-BEAC-8AD1519AA90D}"/>
              </c:ext>
            </c:extLst>
          </c:dPt>
          <c:dPt>
            <c:idx val="2"/>
            <c:bubble3D val="0"/>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5-3FA7-455B-BEAC-8AD1519AA90D}"/>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7-3FA7-455B-BEAC-8AD1519AA90D}"/>
              </c:ext>
            </c:extLst>
          </c:dPt>
          <c:dPt>
            <c:idx val="4"/>
            <c:bubble3D val="0"/>
            <c:spPr>
              <a:gradFill rotWithShape="1">
                <a:gsLst>
                  <a:gs pos="0">
                    <a:schemeClr val="accent5"/>
                  </a:gs>
                  <a:gs pos="100000">
                    <a:schemeClr val="accent5">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9-3FA7-455B-BEAC-8AD1519AA90D}"/>
              </c:ext>
            </c:extLst>
          </c:dPt>
          <c:dPt>
            <c:idx val="5"/>
            <c:bubble3D val="0"/>
            <c:spPr>
              <a:gradFill rotWithShape="1">
                <a:gsLst>
                  <a:gs pos="0">
                    <a:schemeClr val="accent6"/>
                  </a:gs>
                  <a:gs pos="100000">
                    <a:schemeClr val="accent6">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B-3FA7-455B-BEAC-8AD1519AA90D}"/>
              </c:ext>
            </c:extLst>
          </c:dPt>
          <c:dPt>
            <c:idx val="6"/>
            <c:bubble3D val="0"/>
            <c:spPr>
              <a:gradFill rotWithShape="1">
                <a:gsLst>
                  <a:gs pos="0">
                    <a:schemeClr val="accent1">
                      <a:lumMod val="60000"/>
                    </a:schemeClr>
                  </a:gs>
                  <a:gs pos="100000">
                    <a:schemeClr val="accent1">
                      <a:lumMod val="60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D-3FA7-455B-BEAC-8AD1519AA90D}"/>
              </c:ext>
            </c:extLst>
          </c:dPt>
          <c:dPt>
            <c:idx val="7"/>
            <c:bubble3D val="0"/>
            <c:spPr>
              <a:gradFill rotWithShape="1">
                <a:gsLst>
                  <a:gs pos="0">
                    <a:schemeClr val="accent2">
                      <a:lumMod val="60000"/>
                    </a:schemeClr>
                  </a:gs>
                  <a:gs pos="100000">
                    <a:schemeClr val="accent2">
                      <a:lumMod val="60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F-3FA7-455B-BEAC-8AD1519AA9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Insights!$I$18:$I$26</c:f>
              <c:strCache>
                <c:ptCount val="8"/>
                <c:pt idx="0">
                  <c:v>Ava Taylor</c:v>
                </c:pt>
                <c:pt idx="1">
                  <c:v>Emma Johnson</c:v>
                </c:pt>
                <c:pt idx="2">
                  <c:v>John Smith</c:v>
                </c:pt>
                <c:pt idx="3">
                  <c:v>Liam Wilson</c:v>
                </c:pt>
                <c:pt idx="4">
                  <c:v>Michael Brown</c:v>
                </c:pt>
                <c:pt idx="5">
                  <c:v>Noah Jones</c:v>
                </c:pt>
                <c:pt idx="6">
                  <c:v>Olivia Miller</c:v>
                </c:pt>
                <c:pt idx="7">
                  <c:v>Sophia Davis</c:v>
                </c:pt>
              </c:strCache>
            </c:strRef>
          </c:cat>
          <c:val>
            <c:numRef>
              <c:f>Insights!$J$18:$J$26</c:f>
              <c:numCache>
                <c:formatCode>General</c:formatCode>
                <c:ptCount val="8"/>
                <c:pt idx="0">
                  <c:v>-42211974</c:v>
                </c:pt>
                <c:pt idx="1">
                  <c:v>-34987403</c:v>
                </c:pt>
                <c:pt idx="2">
                  <c:v>-31105045</c:v>
                </c:pt>
                <c:pt idx="3">
                  <c:v>-41404522</c:v>
                </c:pt>
                <c:pt idx="4">
                  <c:v>-18918392</c:v>
                </c:pt>
                <c:pt idx="5">
                  <c:v>-41299150</c:v>
                </c:pt>
                <c:pt idx="6">
                  <c:v>-53937268</c:v>
                </c:pt>
                <c:pt idx="7">
                  <c:v>-27989794</c:v>
                </c:pt>
              </c:numCache>
            </c:numRef>
          </c:val>
          <c:extLst>
            <c:ext xmlns:c16="http://schemas.microsoft.com/office/drawing/2014/chart" uri="{C3380CC4-5D6E-409C-BE32-E72D297353CC}">
              <c16:uniqueId val="{00000000-5287-4472-84AE-2ED1C80410DE}"/>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371353755605724"/>
          <c:y val="0.24456984543598712"/>
          <c:w val="0.22556858714339029"/>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[Financial_Transaction_Dashboard.xlsx]Insights!PivotTable1</c:name>
    <c:fmtId val="6"/>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Department Budget vs Actual Spending</a:t>
            </a:r>
          </a:p>
        </c:rich>
      </c:tx>
      <c:layout>
        <c:manualLayout>
          <c:xMode val="edge"/>
          <c:yMode val="edge"/>
          <c:x val="0.29903464769606503"/>
          <c:y val="0.11788387643585659"/>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47383362793936"/>
          <c:y val="0.13323855351414407"/>
          <c:w val="0.468328887460496"/>
          <c:h val="0.69718977836103824"/>
        </c:manualLayout>
      </c:layout>
      <c:barChart>
        <c:barDir val="col"/>
        <c:grouping val="clustered"/>
        <c:varyColors val="0"/>
        <c:ser>
          <c:idx val="0"/>
          <c:order val="0"/>
          <c:tx>
            <c:strRef>
              <c:f>Insights!$C$3</c:f>
              <c:strCache>
                <c:ptCount val="1"/>
                <c:pt idx="0">
                  <c:v>Total Allocated Budget (USD)</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Insights!$B$4:$B$7</c:f>
              <c:strCache>
                <c:ptCount val="3"/>
                <c:pt idx="0">
                  <c:v>Finance</c:v>
                </c:pt>
                <c:pt idx="1">
                  <c:v>IT</c:v>
                </c:pt>
                <c:pt idx="2">
                  <c:v>Operations</c:v>
                </c:pt>
              </c:strCache>
            </c:strRef>
          </c:cat>
          <c:val>
            <c:numRef>
              <c:f>Insights!$C$4:$C$7</c:f>
              <c:numCache>
                <c:formatCode>General</c:formatCode>
                <c:ptCount val="3"/>
                <c:pt idx="0">
                  <c:v>212184227</c:v>
                </c:pt>
                <c:pt idx="1">
                  <c:v>203030089</c:v>
                </c:pt>
                <c:pt idx="2">
                  <c:v>203060067</c:v>
                </c:pt>
              </c:numCache>
            </c:numRef>
          </c:val>
          <c:extLst>
            <c:ext xmlns:c16="http://schemas.microsoft.com/office/drawing/2014/chart" uri="{C3380CC4-5D6E-409C-BE32-E72D297353CC}">
              <c16:uniqueId val="{00000000-D785-45CD-A162-1CD470CE12A5}"/>
            </c:ext>
          </c:extLst>
        </c:ser>
        <c:ser>
          <c:idx val="1"/>
          <c:order val="1"/>
          <c:tx>
            <c:strRef>
              <c:f>Insights!$D$3</c:f>
              <c:strCache>
                <c:ptCount val="1"/>
                <c:pt idx="0">
                  <c:v>Total Actual Spending (USD)</c:v>
                </c:pt>
              </c:strCache>
            </c:strRef>
          </c:tx>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Insights!$B$4:$B$7</c:f>
              <c:strCache>
                <c:ptCount val="3"/>
                <c:pt idx="0">
                  <c:v>Finance</c:v>
                </c:pt>
                <c:pt idx="1">
                  <c:v>IT</c:v>
                </c:pt>
                <c:pt idx="2">
                  <c:v>Operations</c:v>
                </c:pt>
              </c:strCache>
            </c:strRef>
          </c:cat>
          <c:val>
            <c:numRef>
              <c:f>Insights!$D$4:$D$7</c:f>
              <c:numCache>
                <c:formatCode>General</c:formatCode>
                <c:ptCount val="3"/>
                <c:pt idx="0">
                  <c:v>246024790</c:v>
                </c:pt>
                <c:pt idx="1">
                  <c:v>244383827</c:v>
                </c:pt>
                <c:pt idx="2">
                  <c:v>251037690</c:v>
                </c:pt>
              </c:numCache>
            </c:numRef>
          </c:val>
          <c:extLst>
            <c:ext xmlns:c16="http://schemas.microsoft.com/office/drawing/2014/chart" uri="{C3380CC4-5D6E-409C-BE32-E72D297353CC}">
              <c16:uniqueId val="{00000001-D785-45CD-A162-1CD470CE12A5}"/>
            </c:ext>
          </c:extLst>
        </c:ser>
        <c:ser>
          <c:idx val="2"/>
          <c:order val="2"/>
          <c:tx>
            <c:strRef>
              <c:f>Insights!$E$3</c:f>
              <c:strCache>
                <c:ptCount val="1"/>
                <c:pt idx="0">
                  <c:v>Sum of Variance (USD)</c:v>
                </c:pt>
              </c:strCache>
            </c:strRef>
          </c:tx>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Insights!$B$4:$B$7</c:f>
              <c:strCache>
                <c:ptCount val="3"/>
                <c:pt idx="0">
                  <c:v>Finance</c:v>
                </c:pt>
                <c:pt idx="1">
                  <c:v>IT</c:v>
                </c:pt>
                <c:pt idx="2">
                  <c:v>Operations</c:v>
                </c:pt>
              </c:strCache>
            </c:strRef>
          </c:cat>
          <c:val>
            <c:numRef>
              <c:f>Insights!$E$4:$E$7</c:f>
              <c:numCache>
                <c:formatCode>General</c:formatCode>
                <c:ptCount val="3"/>
                <c:pt idx="0">
                  <c:v>-33840563</c:v>
                </c:pt>
                <c:pt idx="1">
                  <c:v>-41353738</c:v>
                </c:pt>
                <c:pt idx="2">
                  <c:v>-47977623</c:v>
                </c:pt>
              </c:numCache>
            </c:numRef>
          </c:val>
          <c:extLst>
            <c:ext xmlns:c16="http://schemas.microsoft.com/office/drawing/2014/chart" uri="{C3380CC4-5D6E-409C-BE32-E72D297353CC}">
              <c16:uniqueId val="{00000002-D785-45CD-A162-1CD470CE12A5}"/>
            </c:ext>
          </c:extLst>
        </c:ser>
        <c:dLbls>
          <c:showLegendKey val="0"/>
          <c:showVal val="0"/>
          <c:showCatName val="0"/>
          <c:showSerName val="0"/>
          <c:showPercent val="0"/>
          <c:showBubbleSize val="0"/>
        </c:dLbls>
        <c:gapWidth val="100"/>
        <c:axId val="664862208"/>
        <c:axId val="664864288"/>
      </c:barChart>
      <c:catAx>
        <c:axId val="664862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4864288"/>
        <c:crosses val="autoZero"/>
        <c:auto val="1"/>
        <c:lblAlgn val="ctr"/>
        <c:lblOffset val="100"/>
        <c:noMultiLvlLbl val="0"/>
      </c:catAx>
      <c:valAx>
        <c:axId val="664864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486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[Financial_Transaction_Dashboard.xlsx]Insights!PivotTable2</c:name>
    <c:fmtId val="7"/>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Project Status by Department and Manager</a:t>
            </a:r>
          </a:p>
        </c:rich>
      </c:tx>
      <c:layout>
        <c:manualLayout>
          <c:xMode val="edge"/>
          <c:yMode val="edge"/>
          <c:x val="0.26727529241400605"/>
          <c:y val="4.9809934797643902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Insights!$C$19:$C$20</c:f>
              <c:strCache>
                <c:ptCount val="1"/>
                <c:pt idx="0">
                  <c:v>Cancelled</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Insights!$B$21:$B$29</c:f>
              <c:strCache>
                <c:ptCount val="8"/>
                <c:pt idx="0">
                  <c:v>Finance</c:v>
                </c:pt>
                <c:pt idx="1">
                  <c:v>HR</c:v>
                </c:pt>
                <c:pt idx="2">
                  <c:v>IT</c:v>
                </c:pt>
                <c:pt idx="3">
                  <c:v>Marketing</c:v>
                </c:pt>
                <c:pt idx="4">
                  <c:v>Operations</c:v>
                </c:pt>
                <c:pt idx="5">
                  <c:v>Procurement</c:v>
                </c:pt>
                <c:pt idx="6">
                  <c:v>R&amp;D</c:v>
                </c:pt>
                <c:pt idx="7">
                  <c:v>Sales</c:v>
                </c:pt>
              </c:strCache>
            </c:strRef>
          </c:cat>
          <c:val>
            <c:numRef>
              <c:f>Insights!$C$21:$C$29</c:f>
              <c:numCache>
                <c:formatCode>General</c:formatCode>
                <c:ptCount val="8"/>
                <c:pt idx="0">
                  <c:v>15</c:v>
                </c:pt>
                <c:pt idx="1">
                  <c:v>13</c:v>
                </c:pt>
                <c:pt idx="2">
                  <c:v>20</c:v>
                </c:pt>
                <c:pt idx="3">
                  <c:v>11</c:v>
                </c:pt>
                <c:pt idx="4">
                  <c:v>19</c:v>
                </c:pt>
                <c:pt idx="5">
                  <c:v>15</c:v>
                </c:pt>
                <c:pt idx="6">
                  <c:v>13</c:v>
                </c:pt>
                <c:pt idx="7">
                  <c:v>16</c:v>
                </c:pt>
              </c:numCache>
            </c:numRef>
          </c:val>
          <c:extLst>
            <c:ext xmlns:c16="http://schemas.microsoft.com/office/drawing/2014/chart" uri="{C3380CC4-5D6E-409C-BE32-E72D297353CC}">
              <c16:uniqueId val="{00000000-822D-4E78-A51F-19D21FA29AD3}"/>
            </c:ext>
          </c:extLst>
        </c:ser>
        <c:ser>
          <c:idx val="1"/>
          <c:order val="1"/>
          <c:tx>
            <c:strRef>
              <c:f>Insights!$D$19:$D$20</c:f>
              <c:strCache>
                <c:ptCount val="1"/>
                <c:pt idx="0">
                  <c:v>Completed</c:v>
                </c:pt>
              </c:strCache>
            </c:strRef>
          </c:tx>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Insights!$B$21:$B$29</c:f>
              <c:strCache>
                <c:ptCount val="8"/>
                <c:pt idx="0">
                  <c:v>Finance</c:v>
                </c:pt>
                <c:pt idx="1">
                  <c:v>HR</c:v>
                </c:pt>
                <c:pt idx="2">
                  <c:v>IT</c:v>
                </c:pt>
                <c:pt idx="3">
                  <c:v>Marketing</c:v>
                </c:pt>
                <c:pt idx="4">
                  <c:v>Operations</c:v>
                </c:pt>
                <c:pt idx="5">
                  <c:v>Procurement</c:v>
                </c:pt>
                <c:pt idx="6">
                  <c:v>R&amp;D</c:v>
                </c:pt>
                <c:pt idx="7">
                  <c:v>Sales</c:v>
                </c:pt>
              </c:strCache>
            </c:strRef>
          </c:cat>
          <c:val>
            <c:numRef>
              <c:f>Insights!$D$21:$D$29</c:f>
              <c:numCache>
                <c:formatCode>General</c:formatCode>
                <c:ptCount val="8"/>
                <c:pt idx="0">
                  <c:v>108</c:v>
                </c:pt>
                <c:pt idx="1">
                  <c:v>77</c:v>
                </c:pt>
                <c:pt idx="2">
                  <c:v>101</c:v>
                </c:pt>
                <c:pt idx="3">
                  <c:v>93</c:v>
                </c:pt>
                <c:pt idx="4">
                  <c:v>93</c:v>
                </c:pt>
                <c:pt idx="5">
                  <c:v>88</c:v>
                </c:pt>
                <c:pt idx="6">
                  <c:v>93</c:v>
                </c:pt>
                <c:pt idx="7">
                  <c:v>91</c:v>
                </c:pt>
              </c:numCache>
            </c:numRef>
          </c:val>
          <c:extLst>
            <c:ext xmlns:c16="http://schemas.microsoft.com/office/drawing/2014/chart" uri="{C3380CC4-5D6E-409C-BE32-E72D297353CC}">
              <c16:uniqueId val="{00000001-1A90-4F2A-8486-C12593411EC9}"/>
            </c:ext>
          </c:extLst>
        </c:ser>
        <c:ser>
          <c:idx val="2"/>
          <c:order val="2"/>
          <c:tx>
            <c:strRef>
              <c:f>Insights!$E$19:$E$20</c:f>
              <c:strCache>
                <c:ptCount val="1"/>
                <c:pt idx="0">
                  <c:v>Delayed</c:v>
                </c:pt>
              </c:strCache>
            </c:strRef>
          </c:tx>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Insights!$B$21:$B$29</c:f>
              <c:strCache>
                <c:ptCount val="8"/>
                <c:pt idx="0">
                  <c:v>Finance</c:v>
                </c:pt>
                <c:pt idx="1">
                  <c:v>HR</c:v>
                </c:pt>
                <c:pt idx="2">
                  <c:v>IT</c:v>
                </c:pt>
                <c:pt idx="3">
                  <c:v>Marketing</c:v>
                </c:pt>
                <c:pt idx="4">
                  <c:v>Operations</c:v>
                </c:pt>
                <c:pt idx="5">
                  <c:v>Procurement</c:v>
                </c:pt>
                <c:pt idx="6">
                  <c:v>R&amp;D</c:v>
                </c:pt>
                <c:pt idx="7">
                  <c:v>Sales</c:v>
                </c:pt>
              </c:strCache>
            </c:strRef>
          </c:cat>
          <c:val>
            <c:numRef>
              <c:f>Insights!$E$21:$E$29</c:f>
              <c:numCache>
                <c:formatCode>General</c:formatCode>
                <c:ptCount val="8"/>
                <c:pt idx="0">
                  <c:v>63</c:v>
                </c:pt>
                <c:pt idx="1">
                  <c:v>68</c:v>
                </c:pt>
                <c:pt idx="2">
                  <c:v>69</c:v>
                </c:pt>
                <c:pt idx="3">
                  <c:v>56</c:v>
                </c:pt>
                <c:pt idx="4">
                  <c:v>60</c:v>
                </c:pt>
                <c:pt idx="5">
                  <c:v>46</c:v>
                </c:pt>
                <c:pt idx="6">
                  <c:v>53</c:v>
                </c:pt>
                <c:pt idx="7">
                  <c:v>66</c:v>
                </c:pt>
              </c:numCache>
            </c:numRef>
          </c:val>
          <c:extLst>
            <c:ext xmlns:c16="http://schemas.microsoft.com/office/drawing/2014/chart" uri="{C3380CC4-5D6E-409C-BE32-E72D297353CC}">
              <c16:uniqueId val="{00000002-1A90-4F2A-8486-C12593411EC9}"/>
            </c:ext>
          </c:extLst>
        </c:ser>
        <c:ser>
          <c:idx val="3"/>
          <c:order val="3"/>
          <c:tx>
            <c:strRef>
              <c:f>Insights!$F$19:$F$20</c:f>
              <c:strCache>
                <c:ptCount val="1"/>
                <c:pt idx="0">
                  <c:v>Ongoing</c:v>
                </c:pt>
              </c:strCache>
            </c:strRef>
          </c:tx>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Insights!$B$21:$B$29</c:f>
              <c:strCache>
                <c:ptCount val="8"/>
                <c:pt idx="0">
                  <c:v>Finance</c:v>
                </c:pt>
                <c:pt idx="1">
                  <c:v>HR</c:v>
                </c:pt>
                <c:pt idx="2">
                  <c:v>IT</c:v>
                </c:pt>
                <c:pt idx="3">
                  <c:v>Marketing</c:v>
                </c:pt>
                <c:pt idx="4">
                  <c:v>Operations</c:v>
                </c:pt>
                <c:pt idx="5">
                  <c:v>Procurement</c:v>
                </c:pt>
                <c:pt idx="6">
                  <c:v>R&amp;D</c:v>
                </c:pt>
                <c:pt idx="7">
                  <c:v>Sales</c:v>
                </c:pt>
              </c:strCache>
            </c:strRef>
          </c:cat>
          <c:val>
            <c:numRef>
              <c:f>Insights!$F$21:$F$29</c:f>
              <c:numCache>
                <c:formatCode>General</c:formatCode>
                <c:ptCount val="8"/>
                <c:pt idx="0">
                  <c:v>211</c:v>
                </c:pt>
                <c:pt idx="1">
                  <c:v>191</c:v>
                </c:pt>
                <c:pt idx="2">
                  <c:v>204</c:v>
                </c:pt>
                <c:pt idx="3">
                  <c:v>221</c:v>
                </c:pt>
                <c:pt idx="4">
                  <c:v>218</c:v>
                </c:pt>
                <c:pt idx="5">
                  <c:v>215</c:v>
                </c:pt>
                <c:pt idx="6">
                  <c:v>213</c:v>
                </c:pt>
                <c:pt idx="7">
                  <c:v>180</c:v>
                </c:pt>
              </c:numCache>
            </c:numRef>
          </c:val>
          <c:extLst>
            <c:ext xmlns:c16="http://schemas.microsoft.com/office/drawing/2014/chart" uri="{C3380CC4-5D6E-409C-BE32-E72D297353CC}">
              <c16:uniqueId val="{00000003-1A90-4F2A-8486-C12593411EC9}"/>
            </c:ext>
          </c:extLst>
        </c:ser>
        <c:dLbls>
          <c:showLegendKey val="0"/>
          <c:showVal val="0"/>
          <c:showCatName val="0"/>
          <c:showSerName val="0"/>
          <c:showPercent val="0"/>
          <c:showBubbleSize val="0"/>
        </c:dLbls>
        <c:gapWidth val="150"/>
        <c:overlap val="100"/>
        <c:axId val="656748064"/>
        <c:axId val="656741408"/>
      </c:barChart>
      <c:valAx>
        <c:axId val="65674140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748064"/>
        <c:crosses val="autoZero"/>
        <c:crossBetween val="between"/>
      </c:valAx>
      <c:catAx>
        <c:axId val="656748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7414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[Financial_Transaction_Dashboard.xlsx]Insights!PivotTable4</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ROI Trend by Quarter</a:t>
            </a:r>
          </a:p>
        </c:rich>
      </c:tx>
      <c:layout>
        <c:manualLayout>
          <c:xMode val="edge"/>
          <c:yMode val="edge"/>
          <c:x val="0.30284638200712716"/>
          <c:y val="0.1292200974878140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1127541984084"/>
          <c:y val="0.25934345706786649"/>
          <c:w val="0.68425545640917718"/>
          <c:h val="0.50965105694502555"/>
        </c:manualLayout>
      </c:layout>
      <c:lineChart>
        <c:grouping val="standard"/>
        <c:varyColors val="0"/>
        <c:ser>
          <c:idx val="0"/>
          <c:order val="0"/>
          <c:tx>
            <c:strRef>
              <c:f>Insights!$I$8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Insights!$H$9:$H$13</c:f>
              <c:strCache>
                <c:ptCount val="4"/>
                <c:pt idx="0">
                  <c:v>Q1</c:v>
                </c:pt>
                <c:pt idx="1">
                  <c:v>Q2</c:v>
                </c:pt>
                <c:pt idx="2">
                  <c:v>Q3</c:v>
                </c:pt>
                <c:pt idx="3">
                  <c:v>Q4</c:v>
                </c:pt>
              </c:strCache>
            </c:strRef>
          </c:cat>
          <c:val>
            <c:numRef>
              <c:f>Insights!$I$9:$I$13</c:f>
              <c:numCache>
                <c:formatCode>General</c:formatCode>
                <c:ptCount val="4"/>
                <c:pt idx="0">
                  <c:v>56.815704960202929</c:v>
                </c:pt>
                <c:pt idx="1">
                  <c:v>53.777720738221845</c:v>
                </c:pt>
                <c:pt idx="2">
                  <c:v>79.859889859909515</c:v>
                </c:pt>
                <c:pt idx="3">
                  <c:v>52.793768097771405</c:v>
                </c:pt>
              </c:numCache>
            </c:numRef>
          </c:val>
          <c:smooth val="0"/>
          <c:extLst>
            <c:ext xmlns:c16="http://schemas.microsoft.com/office/drawing/2014/chart" uri="{C3380CC4-5D6E-409C-BE32-E72D297353CC}">
              <c16:uniqueId val="{00000002-0C5D-4CFD-8A45-97A22C56F503}"/>
            </c:ext>
          </c:extLst>
        </c:ser>
        <c:dLbls>
          <c:dLblPos val="ctr"/>
          <c:showLegendKey val="0"/>
          <c:showVal val="1"/>
          <c:showCatName val="0"/>
          <c:showSerName val="0"/>
          <c:showPercent val="0"/>
          <c:showBubbleSize val="0"/>
        </c:dLbls>
        <c:marker val="1"/>
        <c:smooth val="0"/>
        <c:axId val="656739328"/>
        <c:axId val="656735168"/>
      </c:lineChart>
      <c:catAx>
        <c:axId val="6567393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6735168"/>
        <c:crosses val="autoZero"/>
        <c:auto val="1"/>
        <c:lblAlgn val="ctr"/>
        <c:lblOffset val="100"/>
        <c:noMultiLvlLbl val="0"/>
      </c:catAx>
      <c:valAx>
        <c:axId val="6567351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673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[Financial_Transaction_Dashboard.xlsx]Insights!PivotTable5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Variance Analysis by Manager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1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1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14"/>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15"/>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16"/>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17"/>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
        <c:idx val="18"/>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726038366225575E-2"/>
          <c:y val="0.24643371281358395"/>
          <c:w val="0.75918787011127731"/>
          <c:h val="0.69664591089293759"/>
        </c:manualLayout>
      </c:layout>
      <c:pie3DChart>
        <c:varyColors val="1"/>
        <c:ser>
          <c:idx val="0"/>
          <c:order val="0"/>
          <c:tx>
            <c:strRef>
              <c:f>Insights!$J$17</c:f>
              <c:strCache>
                <c:ptCount val="1"/>
                <c:pt idx="0">
                  <c:v>Total</c:v>
                </c:pt>
              </c:strCache>
            </c:strRef>
          </c:tx>
          <c:dPt>
            <c:idx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1-D03E-40FD-A589-4B9F93A66C5D}"/>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3-D03E-40FD-A589-4B9F93A66C5D}"/>
              </c:ext>
            </c:extLst>
          </c:dPt>
          <c:dPt>
            <c:idx val="2"/>
            <c:bubble3D val="0"/>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5-D03E-40FD-A589-4B9F93A66C5D}"/>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7-D03E-40FD-A589-4B9F93A66C5D}"/>
              </c:ext>
            </c:extLst>
          </c:dPt>
          <c:dPt>
            <c:idx val="4"/>
            <c:bubble3D val="0"/>
            <c:spPr>
              <a:gradFill rotWithShape="1">
                <a:gsLst>
                  <a:gs pos="0">
                    <a:schemeClr val="accent5"/>
                  </a:gs>
                  <a:gs pos="100000">
                    <a:schemeClr val="accent5">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9-D03E-40FD-A589-4B9F93A66C5D}"/>
              </c:ext>
            </c:extLst>
          </c:dPt>
          <c:dPt>
            <c:idx val="5"/>
            <c:bubble3D val="0"/>
            <c:spPr>
              <a:gradFill rotWithShape="1">
                <a:gsLst>
                  <a:gs pos="0">
                    <a:schemeClr val="accent6"/>
                  </a:gs>
                  <a:gs pos="100000">
                    <a:schemeClr val="accent6">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B-D03E-40FD-A589-4B9F93A66C5D}"/>
              </c:ext>
            </c:extLst>
          </c:dPt>
          <c:dPt>
            <c:idx val="6"/>
            <c:bubble3D val="0"/>
            <c:spPr>
              <a:gradFill rotWithShape="1">
                <a:gsLst>
                  <a:gs pos="0">
                    <a:schemeClr val="accent1">
                      <a:lumMod val="60000"/>
                    </a:schemeClr>
                  </a:gs>
                  <a:gs pos="100000">
                    <a:schemeClr val="accent1">
                      <a:lumMod val="60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D-D03E-40FD-A589-4B9F93A66C5D}"/>
              </c:ext>
            </c:extLst>
          </c:dPt>
          <c:dPt>
            <c:idx val="7"/>
            <c:bubble3D val="0"/>
            <c:spPr>
              <a:gradFill rotWithShape="1">
                <a:gsLst>
                  <a:gs pos="0">
                    <a:schemeClr val="accent2">
                      <a:lumMod val="60000"/>
                    </a:schemeClr>
                  </a:gs>
                  <a:gs pos="100000">
                    <a:schemeClr val="accent2">
                      <a:lumMod val="60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F-D03E-40FD-A589-4B9F93A66C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Insights!$I$18:$I$26</c:f>
              <c:strCache>
                <c:ptCount val="8"/>
                <c:pt idx="0">
                  <c:v>Ava Taylor</c:v>
                </c:pt>
                <c:pt idx="1">
                  <c:v>Emma Johnson</c:v>
                </c:pt>
                <c:pt idx="2">
                  <c:v>John Smith</c:v>
                </c:pt>
                <c:pt idx="3">
                  <c:v>Liam Wilson</c:v>
                </c:pt>
                <c:pt idx="4">
                  <c:v>Michael Brown</c:v>
                </c:pt>
                <c:pt idx="5">
                  <c:v>Noah Jones</c:v>
                </c:pt>
                <c:pt idx="6">
                  <c:v>Olivia Miller</c:v>
                </c:pt>
                <c:pt idx="7">
                  <c:v>Sophia Davis</c:v>
                </c:pt>
              </c:strCache>
            </c:strRef>
          </c:cat>
          <c:val>
            <c:numRef>
              <c:f>Insights!$J$18:$J$26</c:f>
              <c:numCache>
                <c:formatCode>General</c:formatCode>
                <c:ptCount val="8"/>
                <c:pt idx="0">
                  <c:v>-42211974</c:v>
                </c:pt>
                <c:pt idx="1">
                  <c:v>-34987403</c:v>
                </c:pt>
                <c:pt idx="2">
                  <c:v>-31105045</c:v>
                </c:pt>
                <c:pt idx="3">
                  <c:v>-41404522</c:v>
                </c:pt>
                <c:pt idx="4">
                  <c:v>-18918392</c:v>
                </c:pt>
                <c:pt idx="5">
                  <c:v>-41299150</c:v>
                </c:pt>
                <c:pt idx="6">
                  <c:v>-53937268</c:v>
                </c:pt>
                <c:pt idx="7">
                  <c:v>-27989794</c:v>
                </c:pt>
              </c:numCache>
            </c:numRef>
          </c:val>
          <c:extLst>
            <c:ext xmlns:c16="http://schemas.microsoft.com/office/drawing/2014/chart" uri="{C3380CC4-5D6E-409C-BE32-E72D297353CC}">
              <c16:uniqueId val="{00000010-D03E-40FD-A589-4B9F93A66C5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85725</xdr:rowOff>
    </xdr:from>
    <xdr:to>
      <xdr:col>6</xdr:col>
      <xdr:colOff>1381125</xdr:colOff>
      <xdr:row>64</xdr:row>
      <xdr:rowOff>66675</xdr:rowOff>
    </xdr:to>
    <xdr:graphicFrame macro="">
      <xdr:nvGraphicFramePr>
        <xdr:cNvPr id="4" name="Chart 3">
          <a:extLst>
            <a:ext uri="{FF2B5EF4-FFF2-40B4-BE49-F238E27FC236}">
              <a16:creationId xmlns:a16="http://schemas.microsoft.com/office/drawing/2014/main" id="{4B8A18B6-27A0-41DF-84BB-8483146A2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34</xdr:row>
      <xdr:rowOff>71437</xdr:rowOff>
    </xdr:from>
    <xdr:to>
      <xdr:col>5</xdr:col>
      <xdr:colOff>419100</xdr:colOff>
      <xdr:row>49</xdr:row>
      <xdr:rowOff>4762</xdr:rowOff>
    </xdr:to>
    <xdr:graphicFrame macro="">
      <xdr:nvGraphicFramePr>
        <xdr:cNvPr id="5" name="Chart 4">
          <a:extLst>
            <a:ext uri="{FF2B5EF4-FFF2-40B4-BE49-F238E27FC236}">
              <a16:creationId xmlns:a16="http://schemas.microsoft.com/office/drawing/2014/main" id="{A8E02272-E56A-4E9B-ADF7-ADDFBADD4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1552575</xdr:colOff>
      <xdr:row>49</xdr:row>
      <xdr:rowOff>4761</xdr:rowOff>
    </xdr:from>
    <xdr:to>
      <xdr:col>9</xdr:col>
      <xdr:colOff>1371600</xdr:colOff>
      <xdr:row>64</xdr:row>
      <xdr:rowOff>85724</xdr:rowOff>
    </xdr:to>
    <xdr:graphicFrame macro="">
      <xdr:nvGraphicFramePr>
        <xdr:cNvPr id="7" name="Chart 6">
          <a:extLst>
            <a:ext uri="{FF2B5EF4-FFF2-40B4-BE49-F238E27FC236}">
              <a16:creationId xmlns:a16="http://schemas.microsoft.com/office/drawing/2014/main" id="{621E6E55-9CF1-43F7-A037-6C6789468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28575</xdr:colOff>
      <xdr:row>34</xdr:row>
      <xdr:rowOff>23812</xdr:rowOff>
    </xdr:from>
    <xdr:to>
      <xdr:col>9</xdr:col>
      <xdr:colOff>180975</xdr:colOff>
      <xdr:row>48</xdr:row>
      <xdr:rowOff>100012</xdr:rowOff>
    </xdr:to>
    <xdr:graphicFrame macro="">
      <xdr:nvGraphicFramePr>
        <xdr:cNvPr id="8" name="Chart 7">
          <a:extLst>
            <a:ext uri="{FF2B5EF4-FFF2-40B4-BE49-F238E27FC236}">
              <a16:creationId xmlns:a16="http://schemas.microsoft.com/office/drawing/2014/main" id="{596D9D9B-F0BD-4F3A-9918-5375AF809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352425</xdr:colOff>
      <xdr:row>34</xdr:row>
      <xdr:rowOff>28575</xdr:rowOff>
    </xdr:from>
    <xdr:to>
      <xdr:col>10</xdr:col>
      <xdr:colOff>759399</xdr:colOff>
      <xdr:row>47</xdr:row>
      <xdr:rowOff>76200</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ED0107B2-6401-47F1-B1DB-014279DA77D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321214" y="6706101"/>
              <a:ext cx="183281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866775</xdr:colOff>
      <xdr:row>33</xdr:row>
      <xdr:rowOff>142875</xdr:rowOff>
    </xdr:from>
    <xdr:to>
      <xdr:col>11</xdr:col>
      <xdr:colOff>1285876</xdr:colOff>
      <xdr:row>47</xdr:row>
      <xdr:rowOff>0</xdr:rowOff>
    </xdr:to>
    <mc:AlternateContent xmlns:mc="http://schemas.openxmlformats.org/markup-compatibility/2006" xmlns:a14="http://schemas.microsoft.com/office/drawing/2010/main">
      <mc:Choice Requires="a14">
        <xdr:graphicFrame macro="">
          <xdr:nvGraphicFramePr>
            <xdr:cNvPr id="10" name="Project Status">
              <a:extLst>
                <a:ext uri="{FF2B5EF4-FFF2-40B4-BE49-F238E27FC236}">
                  <a16:creationId xmlns:a16="http://schemas.microsoft.com/office/drawing/2014/main" id="{724C7460-B6C0-4C5C-8EA7-CFE92098FBFE}"/>
                </a:ext>
              </a:extLst>
            </xdr:cNvPr>
            <xdr:cNvGraphicFramePr/>
          </xdr:nvGraphicFramePr>
          <xdr:xfrm>
            <a:off x="0" y="0"/>
            <a:ext cx="0" cy="0"/>
          </xdr:xfrm>
          <a:graphic>
            <a:graphicData uri="http://schemas.microsoft.com/office/drawing/2010/slicer">
              <sle:slicer xmlns:sle="http://schemas.microsoft.com/office/drawing/2010/slicer" name="Project Status"/>
            </a:graphicData>
          </a:graphic>
        </xdr:graphicFrame>
      </mc:Choice>
      <mc:Fallback xmlns="">
        <xdr:sp macro="" textlink="">
          <xdr:nvSpPr>
            <xdr:cNvPr id="0" name=""/>
            <xdr:cNvSpPr>
              <a:spLocks noTextEdit="1"/>
            </xdr:cNvSpPr>
          </xdr:nvSpPr>
          <xdr:spPr>
            <a:xfrm>
              <a:off x="13249275" y="6629901"/>
              <a:ext cx="183281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xdr:colOff>
      <xdr:row>41</xdr:row>
      <xdr:rowOff>47625</xdr:rowOff>
    </xdr:from>
    <xdr:to>
      <xdr:col>13</xdr:col>
      <xdr:colOff>847723</xdr:colOff>
      <xdr:row>50</xdr:row>
      <xdr:rowOff>180974</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C49E1BDB-06A3-49C3-A709-96E67B6DCE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28971" y="8058651"/>
              <a:ext cx="1580649" cy="1847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66675</xdr:colOff>
      <xdr:row>33</xdr:row>
      <xdr:rowOff>0</xdr:rowOff>
    </xdr:from>
    <xdr:to>
      <xdr:col>14</xdr:col>
      <xdr:colOff>114298</xdr:colOff>
      <xdr:row>40</xdr:row>
      <xdr:rowOff>142875</xdr:rowOff>
    </xdr:to>
    <mc:AlternateContent xmlns:mc="http://schemas.openxmlformats.org/markup-compatibility/2006" xmlns:a14="http://schemas.microsoft.com/office/drawing/2010/main">
      <mc:Choice Requires="a14">
        <xdr:graphicFrame macro="">
          <xdr:nvGraphicFramePr>
            <xdr:cNvPr id="15" name="Quarter">
              <a:extLst>
                <a:ext uri="{FF2B5EF4-FFF2-40B4-BE49-F238E27FC236}">
                  <a16:creationId xmlns:a16="http://schemas.microsoft.com/office/drawing/2014/main" id="{4E75A6E2-5B39-4EBD-8C68-3E1D4DC4269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5276596" y="6487026"/>
              <a:ext cx="1752099"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114300</xdr:colOff>
      <xdr:row>42</xdr:row>
      <xdr:rowOff>85725</xdr:rowOff>
    </xdr:from>
    <xdr:to>
      <xdr:col>16</xdr:col>
      <xdr:colOff>1300163</xdr:colOff>
      <xdr:row>49</xdr:row>
      <xdr:rowOff>123825</xdr:rowOff>
    </xdr:to>
    <mc:AlternateContent xmlns:mc="http://schemas.openxmlformats.org/markup-compatibility/2006" xmlns:tsle="http://schemas.microsoft.com/office/drawing/2012/timeslicer">
      <mc:Choice Requires="tsle">
        <xdr:graphicFrame macro="">
          <xdr:nvGraphicFramePr>
            <xdr:cNvPr id="17" name="Start Date">
              <a:extLst>
                <a:ext uri="{FF2B5EF4-FFF2-40B4-BE49-F238E27FC236}">
                  <a16:creationId xmlns:a16="http://schemas.microsoft.com/office/drawing/2014/main" id="{E598598F-4F0B-4B30-9CC0-9F16B7B9DEB8}"/>
                </a:ext>
              </a:extLst>
            </xdr:cNvPr>
            <xdr:cNvGraphicFramePr/>
          </xdr:nvGraphicFramePr>
          <xdr:xfrm>
            <a:off x="0" y="0"/>
            <a:ext cx="0" cy="0"/>
          </xdr:xfrm>
          <a:graphic>
            <a:graphicData uri="http://schemas.microsoft.com/office/drawing/2012/timeslicer">
              <tsle:timeslicer name="Start Date"/>
            </a:graphicData>
          </a:graphic>
        </xdr:graphicFrame>
      </mc:Choice>
      <mc:Fallback xmlns="">
        <xdr:sp macro="" textlink="">
          <xdr:nvSpPr>
            <xdr:cNvPr id="0" name=""/>
            <xdr:cNvSpPr>
              <a:spLocks noTextEdit="1"/>
            </xdr:cNvSpPr>
          </xdr:nvSpPr>
          <xdr:spPr>
            <a:xfrm>
              <a:off x="17028695" y="8287251"/>
              <a:ext cx="333149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138113</xdr:colOff>
      <xdr:row>33</xdr:row>
      <xdr:rowOff>61913</xdr:rowOff>
    </xdr:from>
    <xdr:to>
      <xdr:col>16</xdr:col>
      <xdr:colOff>1333501</xdr:colOff>
      <xdr:row>40</xdr:row>
      <xdr:rowOff>100013</xdr:rowOff>
    </xdr:to>
    <mc:AlternateContent xmlns:mc="http://schemas.openxmlformats.org/markup-compatibility/2006" xmlns:tsle="http://schemas.microsoft.com/office/drawing/2012/timeslicer">
      <mc:Choice Requires="tsle">
        <xdr:graphicFrame macro="">
          <xdr:nvGraphicFramePr>
            <xdr:cNvPr id="18" name="End Date">
              <a:extLst>
                <a:ext uri="{FF2B5EF4-FFF2-40B4-BE49-F238E27FC236}">
                  <a16:creationId xmlns:a16="http://schemas.microsoft.com/office/drawing/2014/main" id="{4F53A2AF-8669-4B27-AADB-A3AB19C7F097}"/>
                </a:ext>
              </a:extLst>
            </xdr:cNvPr>
            <xdr:cNvGraphicFramePr/>
          </xdr:nvGraphicFramePr>
          <xdr:xfrm>
            <a:off x="0" y="0"/>
            <a:ext cx="0" cy="0"/>
          </xdr:xfrm>
          <a:graphic>
            <a:graphicData uri="http://schemas.microsoft.com/office/drawing/2012/timeslicer">
              <tsle:timeslicer name="End Date"/>
            </a:graphicData>
          </a:graphic>
        </xdr:graphicFrame>
      </mc:Choice>
      <mc:Fallback xmlns="">
        <xdr:sp macro="" textlink="">
          <xdr:nvSpPr>
            <xdr:cNvPr id="0" name=""/>
            <xdr:cNvSpPr>
              <a:spLocks noTextEdit="1"/>
            </xdr:cNvSpPr>
          </xdr:nvSpPr>
          <xdr:spPr>
            <a:xfrm>
              <a:off x="17052508" y="6548939"/>
              <a:ext cx="3341019"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768928</xdr:colOff>
      <xdr:row>50</xdr:row>
      <xdr:rowOff>6063</xdr:rowOff>
    </xdr:from>
    <xdr:to>
      <xdr:col>11</xdr:col>
      <xdr:colOff>1192069</xdr:colOff>
      <xdr:row>56</xdr:row>
      <xdr:rowOff>36081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2DE6FCB-5181-43BF-AEE9-70B94C37315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572005" y="9970678"/>
              <a:ext cx="1827467" cy="1202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66675</xdr:colOff>
      <xdr:row>0</xdr:row>
      <xdr:rowOff>142873</xdr:rowOff>
    </xdr:from>
    <xdr:to>
      <xdr:col>21</xdr:col>
      <xdr:colOff>285749</xdr:colOff>
      <xdr:row>40</xdr:row>
      <xdr:rowOff>19050</xdr:rowOff>
    </xdr:to>
    <xdr:sp macro="" textlink="">
      <xdr:nvSpPr>
        <xdr:cNvPr id="3" name="Rectangle 2">
          <a:extLst>
            <a:ext uri="{FF2B5EF4-FFF2-40B4-BE49-F238E27FC236}">
              <a16:creationId xmlns:a16="http://schemas.microsoft.com/office/drawing/2014/main" id="{842A815C-ED49-410F-84AB-99A1FD66771F}"/>
            </a:ext>
          </a:extLst>
        </xdr:cNvPr>
        <xdr:cNvSpPr/>
      </xdr:nvSpPr>
      <xdr:spPr>
        <a:xfrm>
          <a:off x="676275" y="142873"/>
          <a:ext cx="12411074" cy="7496177"/>
        </a:xfrm>
        <a:prstGeom prst="rect">
          <a:avLst/>
        </a:prstGeom>
        <a:gradFill flip="none" rotWithShape="1">
          <a:gsLst>
            <a:gs pos="0">
              <a:schemeClr val="bg1">
                <a:lumMod val="95000"/>
                <a:shade val="30000"/>
                <a:satMod val="115000"/>
              </a:schemeClr>
            </a:gs>
            <a:gs pos="50000">
              <a:schemeClr val="bg1">
                <a:lumMod val="95000"/>
                <a:shade val="67500"/>
                <a:satMod val="115000"/>
              </a:schemeClr>
            </a:gs>
            <a:gs pos="100000">
              <a:schemeClr val="bg1">
                <a:lumMod val="95000"/>
                <a:shade val="100000"/>
                <a:satMod val="115000"/>
              </a:schemeClr>
            </a:gs>
          </a:gsLst>
          <a:path path="circle">
            <a:fillToRect l="50000" t="50000" r="50000" b="50000"/>
          </a:path>
          <a:tileRec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533400</xdr:colOff>
      <xdr:row>1</xdr:row>
      <xdr:rowOff>38100</xdr:rowOff>
    </xdr:from>
    <xdr:to>
      <xdr:col>16</xdr:col>
      <xdr:colOff>161924</xdr:colOff>
      <xdr:row>3</xdr:row>
      <xdr:rowOff>66675</xdr:rowOff>
    </xdr:to>
    <xdr:sp macro="" textlink="">
      <xdr:nvSpPr>
        <xdr:cNvPr id="6" name="TextBox 5">
          <a:extLst>
            <a:ext uri="{FF2B5EF4-FFF2-40B4-BE49-F238E27FC236}">
              <a16:creationId xmlns:a16="http://schemas.microsoft.com/office/drawing/2014/main" id="{CAA7F06F-9E99-4CAF-892A-467F82B7C2E2}"/>
            </a:ext>
          </a:extLst>
        </xdr:cNvPr>
        <xdr:cNvSpPr txBox="1"/>
      </xdr:nvSpPr>
      <xdr:spPr>
        <a:xfrm>
          <a:off x="4191000" y="228600"/>
          <a:ext cx="5724524" cy="409575"/>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ctr"/>
        <a:lstStyle/>
        <a:p>
          <a:pPr algn="ctr"/>
          <a:r>
            <a:rPr lang="en-IN" sz="2400" b="1">
              <a:latin typeface="Berlin Sans FB Demi" panose="020E0802020502020306" pitchFamily="34" charset="0"/>
            </a:rPr>
            <a:t>Financial Transaction Analysis</a:t>
          </a:r>
        </a:p>
      </xdr:txBody>
    </xdr:sp>
    <xdr:clientData/>
  </xdr:twoCellAnchor>
  <xdr:twoCellAnchor>
    <xdr:from>
      <xdr:col>13</xdr:col>
      <xdr:colOff>388328</xdr:colOff>
      <xdr:row>11</xdr:row>
      <xdr:rowOff>124461</xdr:rowOff>
    </xdr:from>
    <xdr:to>
      <xdr:col>21</xdr:col>
      <xdr:colOff>207353</xdr:colOff>
      <xdr:row>25</xdr:row>
      <xdr:rowOff>148670</xdr:rowOff>
    </xdr:to>
    <xdr:graphicFrame macro="">
      <xdr:nvGraphicFramePr>
        <xdr:cNvPr id="7" name="Chart 6">
          <a:extLst>
            <a:ext uri="{FF2B5EF4-FFF2-40B4-BE49-F238E27FC236}">
              <a16:creationId xmlns:a16="http://schemas.microsoft.com/office/drawing/2014/main" id="{2D762B0B-0E7D-42F5-BADA-E1A7C4CAE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565638</xdr:colOff>
      <xdr:row>25</xdr:row>
      <xdr:rowOff>153543</xdr:rowOff>
    </xdr:from>
    <xdr:to>
      <xdr:col>13</xdr:col>
      <xdr:colOff>384663</xdr:colOff>
      <xdr:row>39</xdr:row>
      <xdr:rowOff>178777</xdr:rowOff>
    </xdr:to>
    <xdr:graphicFrame macro="">
      <xdr:nvGraphicFramePr>
        <xdr:cNvPr id="8" name="Chart 7">
          <a:extLst>
            <a:ext uri="{FF2B5EF4-FFF2-40B4-BE49-F238E27FC236}">
              <a16:creationId xmlns:a16="http://schemas.microsoft.com/office/drawing/2014/main" id="{307DBB54-35F3-4CC2-8FA3-D510A651F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511067</xdr:colOff>
      <xdr:row>11</xdr:row>
      <xdr:rowOff>109970</xdr:rowOff>
    </xdr:from>
    <xdr:to>
      <xdr:col>13</xdr:col>
      <xdr:colOff>374939</xdr:colOff>
      <xdr:row>25</xdr:row>
      <xdr:rowOff>109970</xdr:rowOff>
    </xdr:to>
    <xdr:graphicFrame macro="">
      <xdr:nvGraphicFramePr>
        <xdr:cNvPr id="9" name="Chart 8">
          <a:extLst>
            <a:ext uri="{FF2B5EF4-FFF2-40B4-BE49-F238E27FC236}">
              <a16:creationId xmlns:a16="http://schemas.microsoft.com/office/drawing/2014/main" id="{9E8D17C9-B889-47A6-8E03-DAED99E10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410307</xdr:colOff>
      <xdr:row>25</xdr:row>
      <xdr:rowOff>180975</xdr:rowOff>
    </xdr:from>
    <xdr:to>
      <xdr:col>21</xdr:col>
      <xdr:colOff>210282</xdr:colOff>
      <xdr:row>39</xdr:row>
      <xdr:rowOff>171450</xdr:rowOff>
    </xdr:to>
    <xdr:graphicFrame macro="">
      <xdr:nvGraphicFramePr>
        <xdr:cNvPr id="10" name="Chart 9">
          <a:extLst>
            <a:ext uri="{FF2B5EF4-FFF2-40B4-BE49-F238E27FC236}">
              <a16:creationId xmlns:a16="http://schemas.microsoft.com/office/drawing/2014/main" id="{A2F8B430-0961-4F08-9823-0F57F982F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xdr:colOff>
      <xdr:row>5</xdr:row>
      <xdr:rowOff>1</xdr:rowOff>
    </xdr:from>
    <xdr:to>
      <xdr:col>10</xdr:col>
      <xdr:colOff>304800</xdr:colOff>
      <xdr:row>11</xdr:row>
      <xdr:rowOff>19051</xdr:rowOff>
    </xdr:to>
    <xdr:sp macro="" textlink="">
      <xdr:nvSpPr>
        <xdr:cNvPr id="11" name="Rectangle: Rounded Corners 10">
          <a:extLst>
            <a:ext uri="{FF2B5EF4-FFF2-40B4-BE49-F238E27FC236}">
              <a16:creationId xmlns:a16="http://schemas.microsoft.com/office/drawing/2014/main" id="{E003578D-1C4F-4215-BD62-C13517B78305}"/>
            </a:ext>
          </a:extLst>
        </xdr:cNvPr>
        <xdr:cNvSpPr/>
      </xdr:nvSpPr>
      <xdr:spPr>
        <a:xfrm>
          <a:off x="3650456" y="942579"/>
          <a:ext cx="2706688" cy="115014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295275</xdr:colOff>
      <xdr:row>5</xdr:row>
      <xdr:rowOff>0</xdr:rowOff>
    </xdr:from>
    <xdr:to>
      <xdr:col>15</xdr:col>
      <xdr:colOff>581025</xdr:colOff>
      <xdr:row>10</xdr:row>
      <xdr:rowOff>180975</xdr:rowOff>
    </xdr:to>
    <xdr:sp macro="" textlink="">
      <xdr:nvSpPr>
        <xdr:cNvPr id="12" name="Rectangle: Rounded Corners 11">
          <a:extLst>
            <a:ext uri="{FF2B5EF4-FFF2-40B4-BE49-F238E27FC236}">
              <a16:creationId xmlns:a16="http://schemas.microsoft.com/office/drawing/2014/main" id="{B8716136-7AB8-4D45-85E9-811C07D739C4}"/>
            </a:ext>
          </a:extLst>
        </xdr:cNvPr>
        <xdr:cNvSpPr/>
      </xdr:nvSpPr>
      <xdr:spPr>
        <a:xfrm>
          <a:off x="7000875" y="952500"/>
          <a:ext cx="2724150" cy="113347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352425</xdr:colOff>
      <xdr:row>5</xdr:row>
      <xdr:rowOff>69454</xdr:rowOff>
    </xdr:from>
    <xdr:to>
      <xdr:col>21</xdr:col>
      <xdr:colOff>28575</xdr:colOff>
      <xdr:row>10</xdr:row>
      <xdr:rowOff>180976</xdr:rowOff>
    </xdr:to>
    <xdr:sp macro="" textlink="">
      <xdr:nvSpPr>
        <xdr:cNvPr id="13" name="Rectangle: Rounded Corners 12">
          <a:extLst>
            <a:ext uri="{FF2B5EF4-FFF2-40B4-BE49-F238E27FC236}">
              <a16:creationId xmlns:a16="http://schemas.microsoft.com/office/drawing/2014/main" id="{0E42CBA1-933C-41EB-8E5E-7D5099770761}"/>
            </a:ext>
          </a:extLst>
        </xdr:cNvPr>
        <xdr:cNvSpPr/>
      </xdr:nvSpPr>
      <xdr:spPr>
        <a:xfrm>
          <a:off x="10036175" y="1012032"/>
          <a:ext cx="2702322" cy="1054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152400</xdr:colOff>
      <xdr:row>5</xdr:row>
      <xdr:rowOff>123825</xdr:rowOff>
    </xdr:from>
    <xdr:to>
      <xdr:col>10</xdr:col>
      <xdr:colOff>209550</xdr:colOff>
      <xdr:row>8</xdr:row>
      <xdr:rowOff>47626</xdr:rowOff>
    </xdr:to>
    <xdr:sp macro="" textlink="">
      <xdr:nvSpPr>
        <xdr:cNvPr id="14" name="TextBox 13">
          <a:extLst>
            <a:ext uri="{FF2B5EF4-FFF2-40B4-BE49-F238E27FC236}">
              <a16:creationId xmlns:a16="http://schemas.microsoft.com/office/drawing/2014/main" id="{1E13E17A-B107-4CD4-B285-B33E3F13F53A}"/>
            </a:ext>
          </a:extLst>
        </xdr:cNvPr>
        <xdr:cNvSpPr txBox="1"/>
      </xdr:nvSpPr>
      <xdr:spPr>
        <a:xfrm>
          <a:off x="3810000" y="1076325"/>
          <a:ext cx="2495550" cy="495301"/>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US" sz="1400" b="1">
              <a:solidFill>
                <a:schemeClr val="tx1"/>
              </a:solidFill>
              <a:latin typeface="Berlin Sans FB Demi" panose="020E0802020502020306" pitchFamily="34" charset="0"/>
            </a:rPr>
            <a:t> </a:t>
          </a:r>
          <a:r>
            <a:rPr lang="en-IN" sz="1400" b="1" i="0" u="none" strike="noStrike">
              <a:solidFill>
                <a:schemeClr val="tx1"/>
              </a:solidFill>
              <a:effectLst/>
              <a:latin typeface="Berlin Sans FB Demi" panose="020E0802020502020306" pitchFamily="34" charset="0"/>
              <a:ea typeface="+mn-ea"/>
              <a:cs typeface="+mn-cs"/>
            </a:rPr>
            <a:t>Total Allocated Budget (USD)</a:t>
          </a:r>
          <a:r>
            <a:rPr lang="en-IN" sz="1400" b="1">
              <a:solidFill>
                <a:schemeClr val="tx1"/>
              </a:solidFill>
              <a:latin typeface="Berlin Sans FB Demi" panose="020E0802020502020306" pitchFamily="34" charset="0"/>
            </a:rPr>
            <a:t> </a:t>
          </a:r>
          <a:endParaRPr lang="en-US" sz="1400" b="1">
            <a:solidFill>
              <a:schemeClr val="tx1"/>
            </a:solidFill>
            <a:latin typeface="Berlin Sans FB Demi" panose="020E0802020502020306" pitchFamily="34" charset="0"/>
          </a:endParaRPr>
        </a:p>
      </xdr:txBody>
    </xdr:sp>
    <xdr:clientData/>
  </xdr:twoCellAnchor>
  <xdr:twoCellAnchor>
    <xdr:from>
      <xdr:col>11</xdr:col>
      <xdr:colOff>390526</xdr:colOff>
      <xdr:row>5</xdr:row>
      <xdr:rowOff>66676</xdr:rowOff>
    </xdr:from>
    <xdr:to>
      <xdr:col>15</xdr:col>
      <xdr:colOff>495300</xdr:colOff>
      <xdr:row>8</xdr:row>
      <xdr:rowOff>28575</xdr:rowOff>
    </xdr:to>
    <xdr:sp macro="" textlink="">
      <xdr:nvSpPr>
        <xdr:cNvPr id="16" name="TextBox 15">
          <a:extLst>
            <a:ext uri="{FF2B5EF4-FFF2-40B4-BE49-F238E27FC236}">
              <a16:creationId xmlns:a16="http://schemas.microsoft.com/office/drawing/2014/main" id="{77372F82-FE83-48D8-B861-3CD2F68642E0}"/>
            </a:ext>
          </a:extLst>
        </xdr:cNvPr>
        <xdr:cNvSpPr txBox="1"/>
      </xdr:nvSpPr>
      <xdr:spPr>
        <a:xfrm>
          <a:off x="7096126" y="1019176"/>
          <a:ext cx="2543174" cy="533399"/>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Berlin Sans FB Demi" panose="020E0802020502020306" pitchFamily="34" charset="0"/>
              <a:ea typeface="+mn-ea"/>
              <a:cs typeface="+mn-cs"/>
            </a:rPr>
            <a:t>Total Actual </a:t>
          </a:r>
          <a:r>
            <a:rPr lang="en-IN" sz="1400" b="1">
              <a:solidFill>
                <a:schemeClr val="tx1"/>
              </a:solidFill>
              <a:latin typeface="Berlin Sans FB Demi" panose="020E0802020502020306" pitchFamily="34" charset="0"/>
              <a:ea typeface="+mn-ea"/>
              <a:cs typeface="+mn-cs"/>
            </a:rPr>
            <a:t>Spending</a:t>
          </a:r>
          <a:r>
            <a:rPr lang="en-IN" sz="1400" b="1" i="0" u="none" strike="noStrike">
              <a:solidFill>
                <a:schemeClr val="dk1"/>
              </a:solidFill>
              <a:effectLst/>
              <a:latin typeface="Berlin Sans FB Demi" panose="020E0802020502020306" pitchFamily="34" charset="0"/>
              <a:ea typeface="+mn-ea"/>
              <a:cs typeface="+mn-cs"/>
            </a:rPr>
            <a:t> (</a:t>
          </a:r>
          <a:r>
            <a:rPr lang="en-IN" sz="1400" b="1">
              <a:solidFill>
                <a:schemeClr val="tx1"/>
              </a:solidFill>
              <a:latin typeface="Berlin Sans FB Demi" panose="020E0802020502020306" pitchFamily="34" charset="0"/>
              <a:ea typeface="+mn-ea"/>
              <a:cs typeface="+mn-cs"/>
            </a:rPr>
            <a:t>USD</a:t>
          </a:r>
          <a:r>
            <a:rPr lang="en-IN" sz="1400" b="1" i="0" u="none" strike="noStrike">
              <a:solidFill>
                <a:schemeClr val="dk1"/>
              </a:solidFill>
              <a:effectLst/>
              <a:latin typeface="Berlin Sans FB Demi" panose="020E0802020502020306" pitchFamily="34" charset="0"/>
              <a:ea typeface="+mn-ea"/>
              <a:cs typeface="+mn-cs"/>
            </a:rPr>
            <a:t>)</a:t>
          </a:r>
          <a:r>
            <a:rPr lang="en-IN" sz="1400" b="1">
              <a:latin typeface="Berlin Sans FB Demi" panose="020E0802020502020306" pitchFamily="34" charset="0"/>
            </a:rPr>
            <a:t> </a:t>
          </a:r>
          <a:endParaRPr lang="en-IN" sz="1400" b="1">
            <a:solidFill>
              <a:schemeClr val="tx1"/>
            </a:solidFill>
            <a:latin typeface="Berlin Sans FB Demi" panose="020E0802020502020306" pitchFamily="34" charset="0"/>
            <a:ea typeface="+mn-ea"/>
            <a:cs typeface="+mn-cs"/>
          </a:endParaRPr>
        </a:p>
      </xdr:txBody>
    </xdr:sp>
    <xdr:clientData/>
  </xdr:twoCellAnchor>
  <xdr:twoCellAnchor>
    <xdr:from>
      <xdr:col>16</xdr:col>
      <xdr:colOff>457199</xdr:colOff>
      <xdr:row>5</xdr:row>
      <xdr:rowOff>152400</xdr:rowOff>
    </xdr:from>
    <xdr:to>
      <xdr:col>20</xdr:col>
      <xdr:colOff>561974</xdr:colOff>
      <xdr:row>8</xdr:row>
      <xdr:rowOff>85725</xdr:rowOff>
    </xdr:to>
    <xdr:sp macro="" textlink="">
      <xdr:nvSpPr>
        <xdr:cNvPr id="17" name="TextBox 16">
          <a:extLst>
            <a:ext uri="{FF2B5EF4-FFF2-40B4-BE49-F238E27FC236}">
              <a16:creationId xmlns:a16="http://schemas.microsoft.com/office/drawing/2014/main" id="{DBBB820F-83DA-4E42-80C9-49E5108DB7A7}"/>
            </a:ext>
          </a:extLst>
        </xdr:cNvPr>
        <xdr:cNvSpPr txBox="1"/>
      </xdr:nvSpPr>
      <xdr:spPr>
        <a:xfrm>
          <a:off x="10210799" y="1104900"/>
          <a:ext cx="2543175" cy="504825"/>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IN" sz="1400" b="0" i="0" u="none" strike="noStrike">
              <a:solidFill>
                <a:schemeClr val="dk1"/>
              </a:solidFill>
              <a:effectLst/>
              <a:latin typeface="Berlin Sans FB Demi" panose="020E0802020502020306" pitchFamily="34" charset="0"/>
              <a:ea typeface="+mn-ea"/>
              <a:cs typeface="+mn-cs"/>
            </a:rPr>
            <a:t>Average of ROI (%)</a:t>
          </a:r>
          <a:r>
            <a:rPr lang="en-IN" sz="1400" b="0">
              <a:latin typeface="Berlin Sans FB Demi" panose="020E0802020502020306" pitchFamily="34" charset="0"/>
            </a:rPr>
            <a:t> </a:t>
          </a:r>
        </a:p>
      </xdr:txBody>
    </xdr:sp>
    <xdr:clientData/>
  </xdr:twoCellAnchor>
  <xdr:twoCellAnchor>
    <xdr:from>
      <xdr:col>6</xdr:col>
      <xdr:colOff>171449</xdr:colOff>
      <xdr:row>8</xdr:row>
      <xdr:rowOff>114299</xdr:rowOff>
    </xdr:from>
    <xdr:to>
      <xdr:col>10</xdr:col>
      <xdr:colOff>200024</xdr:colOff>
      <xdr:row>10</xdr:row>
      <xdr:rowOff>123824</xdr:rowOff>
    </xdr:to>
    <xdr:sp macro="" textlink="Insights!$G$4">
      <xdr:nvSpPr>
        <xdr:cNvPr id="18" name="TextBox 17">
          <a:extLst>
            <a:ext uri="{FF2B5EF4-FFF2-40B4-BE49-F238E27FC236}">
              <a16:creationId xmlns:a16="http://schemas.microsoft.com/office/drawing/2014/main" id="{C471CDB8-6DFF-4E69-BD1E-8EE52B2EAAE4}"/>
            </a:ext>
          </a:extLst>
        </xdr:cNvPr>
        <xdr:cNvSpPr txBox="1"/>
      </xdr:nvSpPr>
      <xdr:spPr>
        <a:xfrm>
          <a:off x="3829049" y="1638299"/>
          <a:ext cx="2466975" cy="390525"/>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EAD0F0DB-DF65-448F-AA49-0B231C8BBB31}" type="TxLink">
            <a:rPr lang="en-US" sz="1800" b="0" i="0" u="none" strike="noStrike" cap="none" spc="0">
              <a:ln>
                <a:noFill/>
              </a:ln>
              <a:solidFill>
                <a:schemeClr val="tx1"/>
              </a:solidFill>
              <a:effectLst/>
              <a:latin typeface="Berlin Sans FB Demi" panose="020E0802020502020306" pitchFamily="34" charset="0"/>
              <a:ea typeface="Calibri"/>
              <a:cs typeface="Calibri"/>
            </a:rPr>
            <a:pPr algn="ctr"/>
            <a:t>1558847775</a:t>
          </a:fld>
          <a:endParaRPr lang="en-IN" sz="1800" b="0" cap="none" spc="0">
            <a:ln>
              <a:noFill/>
            </a:ln>
            <a:solidFill>
              <a:schemeClr val="tx1"/>
            </a:solidFill>
            <a:effectLst/>
            <a:latin typeface="Berlin Sans FB Demi" panose="020E0802020502020306" pitchFamily="34" charset="0"/>
          </a:endParaRPr>
        </a:p>
      </xdr:txBody>
    </xdr:sp>
    <xdr:clientData/>
  </xdr:twoCellAnchor>
  <xdr:twoCellAnchor>
    <xdr:from>
      <xdr:col>11</xdr:col>
      <xdr:colOff>381001</xdr:colOff>
      <xdr:row>8</xdr:row>
      <xdr:rowOff>95250</xdr:rowOff>
    </xdr:from>
    <xdr:to>
      <xdr:col>15</xdr:col>
      <xdr:colOff>485775</xdr:colOff>
      <xdr:row>10</xdr:row>
      <xdr:rowOff>85725</xdr:rowOff>
    </xdr:to>
    <xdr:sp macro="" textlink="Insights!$H$4">
      <xdr:nvSpPr>
        <xdr:cNvPr id="19" name="TextBox 18">
          <a:extLst>
            <a:ext uri="{FF2B5EF4-FFF2-40B4-BE49-F238E27FC236}">
              <a16:creationId xmlns:a16="http://schemas.microsoft.com/office/drawing/2014/main" id="{67169073-480F-4BC2-8098-F2A6C3B57BBE}"/>
            </a:ext>
          </a:extLst>
        </xdr:cNvPr>
        <xdr:cNvSpPr txBox="1"/>
      </xdr:nvSpPr>
      <xdr:spPr>
        <a:xfrm>
          <a:off x="7086601" y="1619250"/>
          <a:ext cx="2543174" cy="371475"/>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C1151AC9-5F67-4E9E-8665-456C3A27B7BF}" type="TxLink">
            <a:rPr lang="en-US" sz="1800" b="1" i="0" u="none" strike="noStrike">
              <a:solidFill>
                <a:srgbClr val="000000"/>
              </a:solidFill>
              <a:latin typeface="Berlin Sans FB Demi" panose="020E0802020502020306" pitchFamily="34" charset="0"/>
              <a:ea typeface="Calibri"/>
              <a:cs typeface="Calibri"/>
            </a:rPr>
            <a:pPr algn="ctr"/>
            <a:t>1850701323</a:t>
          </a:fld>
          <a:endParaRPr lang="en-IN" sz="1800" b="1">
            <a:latin typeface="Berlin Sans FB Demi" panose="020E0802020502020306" pitchFamily="34" charset="0"/>
          </a:endParaRPr>
        </a:p>
      </xdr:txBody>
    </xdr:sp>
    <xdr:clientData/>
  </xdr:twoCellAnchor>
  <xdr:twoCellAnchor>
    <xdr:from>
      <xdr:col>16</xdr:col>
      <xdr:colOff>485775</xdr:colOff>
      <xdr:row>8</xdr:row>
      <xdr:rowOff>152400</xdr:rowOff>
    </xdr:from>
    <xdr:to>
      <xdr:col>20</xdr:col>
      <xdr:colOff>523875</xdr:colOff>
      <xdr:row>10</xdr:row>
      <xdr:rowOff>114300</xdr:rowOff>
    </xdr:to>
    <xdr:sp macro="" textlink="Insights!$I$4">
      <xdr:nvSpPr>
        <xdr:cNvPr id="20" name="TextBox 19">
          <a:extLst>
            <a:ext uri="{FF2B5EF4-FFF2-40B4-BE49-F238E27FC236}">
              <a16:creationId xmlns:a16="http://schemas.microsoft.com/office/drawing/2014/main" id="{BA320FAC-EC3A-4FCA-A973-F7193455E4FC}"/>
            </a:ext>
          </a:extLst>
        </xdr:cNvPr>
        <xdr:cNvSpPr txBox="1"/>
      </xdr:nvSpPr>
      <xdr:spPr>
        <a:xfrm>
          <a:off x="10239375" y="1676400"/>
          <a:ext cx="2476500" cy="34290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E88A3008-5EC0-421D-A418-FB29405C366C}" type="TxLink">
            <a:rPr lang="en-US" sz="1800" b="1" i="0" u="none" strike="noStrike">
              <a:solidFill>
                <a:srgbClr val="000000"/>
              </a:solidFill>
              <a:latin typeface="Berlin Sans FB Demi" panose="020E0802020502020306" pitchFamily="34" charset="0"/>
              <a:ea typeface="Calibri"/>
              <a:cs typeface="Calibri"/>
            </a:rPr>
            <a:pPr algn="ctr"/>
            <a:t>61.26218805</a:t>
          </a:fld>
          <a:endParaRPr lang="en-IN" sz="1800" b="1">
            <a:latin typeface="Berlin Sans FB Demi" panose="020E0802020502020306" pitchFamily="34" charset="0"/>
          </a:endParaRPr>
        </a:p>
      </xdr:txBody>
    </xdr:sp>
    <xdr:clientData/>
  </xdr:twoCellAnchor>
  <xdr:twoCellAnchor editAs="oneCell">
    <xdr:from>
      <xdr:col>1</xdr:col>
      <xdr:colOff>323056</xdr:colOff>
      <xdr:row>10</xdr:row>
      <xdr:rowOff>104005</xdr:rowOff>
    </xdr:from>
    <xdr:to>
      <xdr:col>5</xdr:col>
      <xdr:colOff>486171</xdr:colOff>
      <xdr:row>24</xdr:row>
      <xdr:rowOff>44824</xdr:rowOff>
    </xdr:to>
    <mc:AlternateContent xmlns:mc="http://schemas.openxmlformats.org/markup-compatibility/2006" xmlns:a14="http://schemas.microsoft.com/office/drawing/2010/main">
      <mc:Choice Requires="a14">
        <xdr:graphicFrame macro="">
          <xdr:nvGraphicFramePr>
            <xdr:cNvPr id="21" name="Department 1">
              <a:extLst>
                <a:ext uri="{FF2B5EF4-FFF2-40B4-BE49-F238E27FC236}">
                  <a16:creationId xmlns:a16="http://schemas.microsoft.com/office/drawing/2014/main" id="{CDE73EB3-B7BE-4D24-ABF8-417FCC7381A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28174" y="2009005"/>
              <a:ext cx="2583585" cy="2607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323054</xdr:colOff>
      <xdr:row>24</xdr:row>
      <xdr:rowOff>79374</xdr:rowOff>
    </xdr:from>
    <xdr:to>
      <xdr:col>5</xdr:col>
      <xdr:colOff>496093</xdr:colOff>
      <xdr:row>32</xdr:row>
      <xdr:rowOff>99218</xdr:rowOff>
    </xdr:to>
    <mc:AlternateContent xmlns:mc="http://schemas.openxmlformats.org/markup-compatibility/2006" xmlns:a14="http://schemas.microsoft.com/office/drawing/2010/main">
      <mc:Choice Requires="a14">
        <xdr:graphicFrame macro="">
          <xdr:nvGraphicFramePr>
            <xdr:cNvPr id="22" name="Project Status 1">
              <a:extLst>
                <a:ext uri="{FF2B5EF4-FFF2-40B4-BE49-F238E27FC236}">
                  <a16:creationId xmlns:a16="http://schemas.microsoft.com/office/drawing/2014/main" id="{6127DB59-5A0E-4257-A2E6-9983C4E20FCE}"/>
                </a:ext>
              </a:extLst>
            </xdr:cNvPr>
            <xdr:cNvGraphicFramePr/>
          </xdr:nvGraphicFramePr>
          <xdr:xfrm>
            <a:off x="0" y="0"/>
            <a:ext cx="0" cy="0"/>
          </xdr:xfrm>
          <a:graphic>
            <a:graphicData uri="http://schemas.microsoft.com/office/drawing/2010/slicer">
              <sle:slicer xmlns:sle="http://schemas.microsoft.com/office/drawing/2010/slicer" name="Project Status 1"/>
            </a:graphicData>
          </a:graphic>
        </xdr:graphicFrame>
      </mc:Choice>
      <mc:Fallback xmlns="">
        <xdr:sp macro="" textlink="">
          <xdr:nvSpPr>
            <xdr:cNvPr id="0" name=""/>
            <xdr:cNvSpPr>
              <a:spLocks noTextEdit="1"/>
            </xdr:cNvSpPr>
          </xdr:nvSpPr>
          <xdr:spPr>
            <a:xfrm>
              <a:off x="928288" y="4603749"/>
              <a:ext cx="2593977" cy="1527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303212</xdr:colOff>
      <xdr:row>32</xdr:row>
      <xdr:rowOff>168672</xdr:rowOff>
    </xdr:from>
    <xdr:to>
      <xdr:col>5</xdr:col>
      <xdr:colOff>496093</xdr:colOff>
      <xdr:row>39</xdr:row>
      <xdr:rowOff>79375</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DC10DF6F-F506-4332-9600-256DADF8019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08446" y="6201172"/>
              <a:ext cx="2613819" cy="1230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347266</xdr:colOff>
      <xdr:row>5</xdr:row>
      <xdr:rowOff>109141</xdr:rowOff>
    </xdr:from>
    <xdr:to>
      <xdr:col>5</xdr:col>
      <xdr:colOff>466329</xdr:colOff>
      <xdr:row>10</xdr:row>
      <xdr:rowOff>89298</xdr:rowOff>
    </xdr:to>
    <mc:AlternateContent xmlns:mc="http://schemas.openxmlformats.org/markup-compatibility/2006" xmlns:a14="http://schemas.microsoft.com/office/drawing/2010/main">
      <mc:Choice Requires="a14">
        <xdr:graphicFrame macro="">
          <xdr:nvGraphicFramePr>
            <xdr:cNvPr id="26" name="Quarter 2">
              <a:extLst>
                <a:ext uri="{FF2B5EF4-FFF2-40B4-BE49-F238E27FC236}">
                  <a16:creationId xmlns:a16="http://schemas.microsoft.com/office/drawing/2014/main" id="{331BC41F-CD32-4B6F-9623-71B9C2897C73}"/>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952500" y="1051719"/>
              <a:ext cx="2540001" cy="922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333143</xdr:colOff>
      <xdr:row>1</xdr:row>
      <xdr:rowOff>146318</xdr:rowOff>
    </xdr:from>
    <xdr:to>
      <xdr:col>5</xdr:col>
      <xdr:colOff>437212</xdr:colOff>
      <xdr:row>5</xdr:row>
      <xdr:rowOff>62459</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AA8DFB7A-1DDE-4001-AD73-8D5CA3A1421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38261" y="336818"/>
              <a:ext cx="2524539" cy="678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7.501294444446" createdVersion="7" refreshedVersion="7" minRefreshableVersion="3" recordCount="3000" xr:uid="{C90C11A7-9916-4745-97B3-183B69353394}">
  <cacheSource type="worksheet">
    <worksheetSource name="Table1"/>
  </cacheSource>
  <cacheFields count="15">
    <cacheField name="Project ID" numFmtId="0">
      <sharedItems/>
    </cacheField>
    <cacheField name="Project Name" numFmtId="0">
      <sharedItems/>
    </cacheField>
    <cacheField name="Department" numFmtId="0">
      <sharedItems count="8">
        <s v="Finance"/>
        <s v="Operations"/>
        <s v="Sales"/>
        <s v="IT"/>
        <s v="R&amp;D"/>
        <s v="HR"/>
        <s v="Procurement"/>
        <s v="Marketing"/>
      </sharedItems>
    </cacheField>
    <cacheField name="Manager Name" numFmtId="0">
      <sharedItems count="8">
        <s v="Sophia Davis"/>
        <s v="Michael Brown"/>
        <s v="Emma Johnson"/>
        <s v="John Smith"/>
        <s v="Olivia Miller"/>
        <s v="Noah Jones"/>
        <s v="Ava Taylor"/>
        <s v="Liam Wilson"/>
      </sharedItems>
    </cacheField>
    <cacheField name="Start Date" numFmtId="14">
      <sharedItems containsSemiMixedTypes="0" containsNonDate="0" containsDate="1" containsString="0" minDate="2023-01-01T00:00:00" maxDate="2025-01-01T00:00:00" count="714">
        <d v="2023-10-05T00:00:00"/>
        <d v="2024-11-04T00:00:00"/>
        <d v="2024-03-14T00:00:00"/>
        <d v="2023-06-06T00:00:00"/>
        <d v="2024-02-26T00:00:00"/>
        <d v="2023-09-08T00:00:00"/>
        <d v="2024-08-31T00:00:00"/>
        <d v="2024-06-13T00:00:00"/>
        <d v="2023-11-23T00:00:00"/>
        <d v="2023-04-07T00:00:00"/>
        <d v="2024-05-27T00:00:00"/>
        <d v="2023-08-04T00:00:00"/>
        <d v="2023-05-12T00:00:00"/>
        <d v="2023-09-17T00:00:00"/>
        <d v="2023-05-05T00:00:00"/>
        <d v="2023-03-23T00:00:00"/>
        <d v="2023-10-10T00:00:00"/>
        <d v="2024-11-13T00:00:00"/>
        <d v="2023-02-28T00:00:00"/>
        <d v="2024-06-27T00:00:00"/>
        <d v="2023-06-10T00:00:00"/>
        <d v="2023-10-11T00:00:00"/>
        <d v="2023-04-16T00:00:00"/>
        <d v="2023-04-15T00:00:00"/>
        <d v="2023-08-16T00:00:00"/>
        <d v="2024-11-30T00:00:00"/>
        <d v="2024-08-04T00:00:00"/>
        <d v="2023-11-14T00:00:00"/>
        <d v="2024-04-08T00:00:00"/>
        <d v="2024-08-21T00:00:00"/>
        <d v="2024-04-16T00:00:00"/>
        <d v="2023-02-25T00:00:00"/>
        <d v="2024-09-16T00:00:00"/>
        <d v="2023-01-13T00:00:00"/>
        <d v="2024-03-15T00:00:00"/>
        <d v="2023-01-18T00:00:00"/>
        <d v="2024-11-24T00:00:00"/>
        <d v="2023-04-23T00:00:00"/>
        <d v="2023-08-17T00:00:00"/>
        <d v="2023-06-20T00:00:00"/>
        <d v="2023-10-22T00:00:00"/>
        <d v="2023-07-08T00:00:00"/>
        <d v="2024-03-01T00:00:00"/>
        <d v="2023-03-20T00:00:00"/>
        <d v="2024-10-19T00:00:00"/>
        <d v="2023-07-01T00:00:00"/>
        <d v="2024-05-13T00:00:00"/>
        <d v="2024-12-08T00:00:00"/>
        <d v="2023-03-12T00:00:00"/>
        <d v="2023-09-05T00:00:00"/>
        <d v="2023-05-26T00:00:00"/>
        <d v="2024-09-09T00:00:00"/>
        <d v="2023-10-23T00:00:00"/>
        <d v="2024-04-14T00:00:00"/>
        <d v="2024-05-20T00:00:00"/>
        <d v="2023-07-12T00:00:00"/>
        <d v="2023-03-09T00:00:00"/>
        <d v="2024-05-08T00:00:00"/>
        <d v="2023-02-21T00:00:00"/>
        <d v="2023-12-29T00:00:00"/>
        <d v="2024-04-18T00:00:00"/>
        <d v="2024-06-04T00:00:00"/>
        <d v="2024-03-06T00:00:00"/>
        <d v="2023-10-25T00:00:00"/>
        <d v="2024-03-10T00:00:00"/>
        <d v="2024-11-26T00:00:00"/>
        <d v="2024-11-21T00:00:00"/>
        <d v="2023-07-17T00:00:00"/>
        <d v="2023-05-08T00:00:00"/>
        <d v="2024-06-15T00:00:00"/>
        <d v="2024-02-15T00:00:00"/>
        <d v="2023-03-06T00:00:00"/>
        <d v="2023-08-29T00:00:00"/>
        <d v="2024-01-04T00:00:00"/>
        <d v="2024-06-19T00:00:00"/>
        <d v="2024-01-19T00:00:00"/>
        <d v="2023-03-24T00:00:00"/>
        <d v="2024-11-27T00:00:00"/>
        <d v="2024-09-02T00:00:00"/>
        <d v="2024-07-27T00:00:00"/>
        <d v="2023-10-13T00:00:00"/>
        <d v="2024-06-17T00:00:00"/>
        <d v="2024-04-03T00:00:00"/>
        <d v="2023-07-31T00:00:00"/>
        <d v="2023-05-06T00:00:00"/>
        <d v="2024-02-17T00:00:00"/>
        <d v="2024-02-29T00:00:00"/>
        <d v="2024-07-07T00:00:00"/>
        <d v="2024-09-01T00:00:00"/>
        <d v="2024-06-26T00:00:00"/>
        <d v="2023-06-07T00:00:00"/>
        <d v="2023-04-22T00:00:00"/>
        <d v="2024-02-06T00:00:00"/>
        <d v="2023-05-02T00:00:00"/>
        <d v="2023-09-30T00:00:00"/>
        <d v="2023-10-21T00:00:00"/>
        <d v="2024-02-02T00:00:00"/>
        <d v="2024-04-15T00:00:00"/>
        <d v="2023-07-26T00:00:00"/>
        <d v="2023-04-20T00:00:00"/>
        <d v="2024-07-21T00:00:00"/>
        <d v="2024-07-22T00:00:00"/>
        <d v="2024-04-26T00:00:00"/>
        <d v="2023-04-24T00:00:00"/>
        <d v="2024-04-21T00:00:00"/>
        <d v="2024-12-10T00:00:00"/>
        <d v="2023-11-17T00:00:00"/>
        <d v="2023-06-28T00:00:00"/>
        <d v="2023-08-07T00:00:00"/>
        <d v="2024-06-11T00:00:00"/>
        <d v="2024-05-06T00:00:00"/>
        <d v="2023-03-02T00:00:00"/>
        <d v="2023-02-23T00:00:00"/>
        <d v="2024-11-10T00:00:00"/>
        <d v="2024-06-21T00:00:00"/>
        <d v="2024-09-03T00:00:00"/>
        <d v="2024-08-08T00:00:00"/>
        <d v="2024-12-04T00:00:00"/>
        <d v="2024-11-29T00:00:00"/>
        <d v="2024-06-18T00:00:00"/>
        <d v="2024-01-26T00:00:00"/>
        <d v="2024-11-23T00:00:00"/>
        <d v="2023-04-18T00:00:00"/>
        <d v="2023-06-11T00:00:00"/>
        <d v="2024-03-27T00:00:00"/>
        <d v="2023-07-25T00:00:00"/>
        <d v="2024-08-12T00:00:00"/>
        <d v="2023-01-16T00:00:00"/>
        <d v="2024-08-30T00:00:00"/>
        <d v="2024-10-20T00:00:00"/>
        <d v="2023-01-02T00:00:00"/>
        <d v="2023-01-10T00:00:00"/>
        <d v="2024-03-09T00:00:00"/>
        <d v="2023-03-22T00:00:00"/>
        <d v="2024-04-29T00:00:00"/>
        <d v="2024-10-13T00:00:00"/>
        <d v="2023-05-30T00:00:00"/>
        <d v="2023-12-06T00:00:00"/>
        <d v="2023-05-09T00:00:00"/>
        <d v="2024-03-13T00:00:00"/>
        <d v="2024-05-15T00:00:00"/>
        <d v="2023-02-27T00:00:00"/>
        <d v="2023-07-30T00:00:00"/>
        <d v="2023-02-14T00:00:00"/>
        <d v="2023-10-06T00:00:00"/>
        <d v="2024-02-14T00:00:00"/>
        <d v="2024-04-05T00:00:00"/>
        <d v="2023-02-13T00:00:00"/>
        <d v="2023-01-27T00:00:00"/>
        <d v="2024-07-01T00:00:00"/>
        <d v="2024-09-12T00:00:00"/>
        <d v="2024-07-20T00:00:00"/>
        <d v="2023-07-04T00:00:00"/>
        <d v="2023-03-10T00:00:00"/>
        <d v="2023-05-10T00:00:00"/>
        <d v="2024-09-22T00:00:00"/>
        <d v="2024-12-20T00:00:00"/>
        <d v="2023-11-30T00:00:00"/>
        <d v="2023-06-03T00:00:00"/>
        <d v="2024-06-30T00:00:00"/>
        <d v="2024-08-01T00:00:00"/>
        <d v="2024-06-29T00:00:00"/>
        <d v="2023-06-18T00:00:00"/>
        <d v="2024-11-11T00:00:00"/>
        <d v="2024-10-24T00:00:00"/>
        <d v="2024-08-05T00:00:00"/>
        <d v="2024-05-29T00:00:00"/>
        <d v="2023-11-10T00:00:00"/>
        <d v="2023-02-01T00:00:00"/>
        <d v="2023-10-14T00:00:00"/>
        <d v="2024-08-16T00:00:00"/>
        <d v="2023-02-12T00:00:00"/>
        <d v="2024-09-08T00:00:00"/>
        <d v="2023-01-01T00:00:00"/>
        <d v="2024-07-26T00:00:00"/>
        <d v="2023-09-27T00:00:00"/>
        <d v="2023-06-29T00:00:00"/>
        <d v="2024-06-01T00:00:00"/>
        <d v="2023-04-13T00:00:00"/>
        <d v="2023-03-31T00:00:00"/>
        <d v="2023-08-14T00:00:00"/>
        <d v="2024-10-31T00:00:00"/>
        <d v="2023-07-28T00:00:00"/>
        <d v="2023-03-15T00:00:00"/>
        <d v="2024-09-18T00:00:00"/>
        <d v="2023-07-10T00:00:00"/>
        <d v="2024-11-12T00:00:00"/>
        <d v="2024-12-16T00:00:00"/>
        <d v="2024-07-06T00:00:00"/>
        <d v="2024-06-10T00:00:00"/>
        <d v="2024-10-28T00:00:00"/>
        <d v="2024-12-21T00:00:00"/>
        <d v="2023-07-06T00:00:00"/>
        <d v="2024-05-12T00:00:00"/>
        <d v="2024-03-17T00:00:00"/>
        <d v="2024-09-30T00:00:00"/>
        <d v="2023-10-19T00:00:00"/>
        <d v="2023-07-18T00:00:00"/>
        <d v="2023-09-28T00:00:00"/>
        <d v="2024-08-23T00:00:00"/>
        <d v="2023-08-03T00:00:00"/>
        <d v="2024-03-19T00:00:00"/>
        <d v="2024-05-26T00:00:00"/>
        <d v="2024-03-22T00:00:00"/>
        <d v="2024-12-15T00:00:00"/>
        <d v="2024-06-20T00:00:00"/>
        <d v="2023-04-11T00:00:00"/>
        <d v="2023-06-25T00:00:00"/>
        <d v="2024-03-02T00:00:00"/>
        <d v="2023-04-27T00:00:00"/>
        <d v="2023-06-15T00:00:00"/>
        <d v="2023-02-10T00:00:00"/>
        <d v="2024-03-04T00:00:00"/>
        <d v="2023-12-10T00:00:00"/>
        <d v="2024-02-28T00:00:00"/>
        <d v="2024-01-01T00:00:00"/>
        <d v="2023-04-30T00:00:00"/>
        <d v="2024-10-18T00:00:00"/>
        <d v="2024-12-28T00:00:00"/>
        <d v="2023-12-18T00:00:00"/>
        <d v="2024-10-10T00:00:00"/>
        <d v="2023-12-03T00:00:00"/>
        <d v="2024-01-03T00:00:00"/>
        <d v="2023-04-04T00:00:00"/>
        <d v="2023-06-17T00:00:00"/>
        <d v="2023-12-07T00:00:00"/>
        <d v="2024-10-22T00:00:00"/>
        <d v="2024-11-25T00:00:00"/>
        <d v="2023-06-01T00:00:00"/>
        <d v="2023-10-01T00:00:00"/>
        <d v="2024-05-10T00:00:00"/>
        <d v="2024-12-24T00:00:00"/>
        <d v="2024-07-10T00:00:00"/>
        <d v="2024-06-12T00:00:00"/>
        <d v="2023-03-14T00:00:00"/>
        <d v="2023-01-14T00:00:00"/>
        <d v="2024-03-08T00:00:00"/>
        <d v="2023-12-04T00:00:00"/>
        <d v="2024-02-08T00:00:00"/>
        <d v="2024-01-11T00:00:00"/>
        <d v="2024-07-12T00:00:00"/>
        <d v="2023-04-17T00:00:00"/>
        <d v="2024-09-11T00:00:00"/>
        <d v="2023-09-22T00:00:00"/>
        <d v="2023-07-24T00:00:00"/>
        <d v="2023-06-04T00:00:00"/>
        <d v="2023-09-04T00:00:00"/>
        <d v="2024-06-14T00:00:00"/>
        <d v="2024-12-29T00:00:00"/>
        <d v="2024-11-16T00:00:00"/>
        <d v="2023-04-02T00:00:00"/>
        <d v="2024-04-24T00:00:00"/>
        <d v="2023-05-11T00:00:00"/>
        <d v="2024-03-25T00:00:00"/>
        <d v="2024-08-10T00:00:00"/>
        <d v="2023-06-26T00:00:00"/>
        <d v="2024-10-04T00:00:00"/>
        <d v="2023-02-18T00:00:00"/>
        <d v="2024-10-27T00:00:00"/>
        <d v="2023-12-21T00:00:00"/>
        <d v="2024-12-12T00:00:00"/>
        <d v="2023-11-04T00:00:00"/>
        <d v="2024-09-21T00:00:00"/>
        <d v="2023-02-15T00:00:00"/>
        <d v="2023-10-29T00:00:00"/>
        <d v="2024-02-12T00:00:00"/>
        <d v="2024-07-14T00:00:00"/>
        <d v="2023-09-23T00:00:00"/>
        <d v="2023-04-28T00:00:00"/>
        <d v="2023-05-24T00:00:00"/>
        <d v="2023-07-19T00:00:00"/>
        <d v="2024-05-01T00:00:00"/>
        <d v="2023-05-14T00:00:00"/>
        <d v="2023-05-28T00:00:00"/>
        <d v="2023-12-02T00:00:00"/>
        <d v="2023-08-21T00:00:00"/>
        <d v="2023-05-01T00:00:00"/>
        <d v="2023-10-28T00:00:00"/>
        <d v="2024-07-28T00:00:00"/>
        <d v="2024-03-11T00:00:00"/>
        <d v="2024-05-28T00:00:00"/>
        <d v="2023-05-20T00:00:00"/>
        <d v="2024-12-30T00:00:00"/>
        <d v="2024-07-09T00:00:00"/>
        <d v="2023-10-09T00:00:00"/>
        <d v="2024-07-31T00:00:00"/>
        <d v="2024-04-01T00:00:00"/>
        <d v="2023-03-28T00:00:00"/>
        <d v="2023-09-11T00:00:00"/>
        <d v="2023-10-31T00:00:00"/>
        <d v="2024-01-15T00:00:00"/>
        <d v="2024-08-18T00:00:00"/>
        <d v="2023-10-03T00:00:00"/>
        <d v="2024-07-11T00:00:00"/>
        <d v="2023-07-02T00:00:00"/>
        <d v="2023-09-25T00:00:00"/>
        <d v="2023-11-18T00:00:00"/>
        <d v="2023-03-19T00:00:00"/>
        <d v="2023-12-05T00:00:00"/>
        <d v="2024-05-23T00:00:00"/>
        <d v="2023-08-26T00:00:00"/>
        <d v="2023-07-11T00:00:00"/>
        <d v="2023-12-22T00:00:00"/>
        <d v="2024-06-07T00:00:00"/>
        <d v="2023-05-03T00:00:00"/>
        <d v="2023-09-03T00:00:00"/>
        <d v="2024-01-08T00:00:00"/>
        <d v="2023-02-20T00:00:00"/>
        <d v="2024-07-13T00:00:00"/>
        <d v="2023-01-19T00:00:00"/>
        <d v="2023-03-25T00:00:00"/>
        <d v="2024-07-18T00:00:00"/>
        <d v="2024-09-10T00:00:00"/>
        <d v="2023-12-23T00:00:00"/>
        <d v="2024-10-08T00:00:00"/>
        <d v="2024-03-18T00:00:00"/>
        <d v="2024-06-06T00:00:00"/>
        <d v="2023-05-23T00:00:00"/>
        <d v="2024-01-22T00:00:00"/>
        <d v="2024-01-13T00:00:00"/>
        <d v="2024-08-03T00:00:00"/>
        <d v="2023-10-20T00:00:00"/>
        <d v="2023-01-09T00:00:00"/>
        <d v="2023-04-03T00:00:00"/>
        <d v="2024-02-09T00:00:00"/>
        <d v="2023-05-29T00:00:00"/>
        <d v="2023-09-24T00:00:00"/>
        <d v="2024-06-09T00:00:00"/>
        <d v="2024-05-17T00:00:00"/>
        <d v="2023-12-30T00:00:00"/>
        <d v="2023-04-29T00:00:00"/>
        <d v="2024-06-05T00:00:00"/>
        <d v="2024-09-25T00:00:00"/>
        <d v="2024-05-30T00:00:00"/>
        <d v="2024-02-01T00:00:00"/>
        <d v="2023-03-26T00:00:00"/>
        <d v="2023-08-02T00:00:00"/>
        <d v="2023-07-16T00:00:00"/>
        <d v="2024-10-03T00:00:00"/>
        <d v="2023-01-12T00:00:00"/>
        <d v="2023-11-26T00:00:00"/>
        <d v="2024-01-27T00:00:00"/>
        <d v="2024-09-28T00:00:00"/>
        <d v="2023-11-03T00:00:00"/>
        <d v="2024-03-16T00:00:00"/>
        <d v="2024-06-03T00:00:00"/>
        <d v="2024-10-12T00:00:00"/>
        <d v="2024-09-27T00:00:00"/>
        <d v="2023-11-05T00:00:00"/>
        <d v="2024-04-13T00:00:00"/>
        <d v="2023-01-08T00:00:00"/>
        <d v="2024-04-04T00:00:00"/>
        <d v="2023-09-10T00:00:00"/>
        <d v="2023-08-24T00:00:00"/>
        <d v="2023-11-02T00:00:00"/>
        <d v="2024-04-22T00:00:00"/>
        <d v="2024-11-09T00:00:00"/>
        <d v="2023-01-20T00:00:00"/>
        <d v="2023-05-15T00:00:00"/>
        <d v="2024-12-01T00:00:00"/>
        <d v="2023-03-27T00:00:00"/>
        <d v="2024-01-10T00:00:00"/>
        <d v="2024-03-21T00:00:00"/>
        <d v="2024-01-25T00:00:00"/>
        <d v="2023-08-30T00:00:00"/>
        <d v="2024-07-16T00:00:00"/>
        <d v="2023-03-11T00:00:00"/>
        <d v="2023-02-26T00:00:00"/>
        <d v="2024-01-17T00:00:00"/>
        <d v="2023-02-08T00:00:00"/>
        <d v="2023-01-25T00:00:00"/>
        <d v="2023-08-20T00:00:00"/>
        <d v="2023-12-09T00:00:00"/>
        <d v="2024-07-29T00:00:00"/>
        <d v="2024-03-30T00:00:00"/>
        <d v="2023-10-16T00:00:00"/>
        <d v="2023-08-01T00:00:00"/>
        <d v="2023-09-15T00:00:00"/>
        <d v="2024-11-17T00:00:00"/>
        <d v="2024-09-13T00:00:00"/>
        <d v="2023-03-29T00:00:00"/>
        <d v="2024-08-06T00:00:00"/>
        <d v="2024-06-25T00:00:00"/>
        <d v="2024-11-14T00:00:00"/>
        <d v="2023-05-19T00:00:00"/>
        <d v="2023-07-13T00:00:00"/>
        <d v="2023-07-05T00:00:00"/>
        <d v="2023-08-06T00:00:00"/>
        <d v="2023-06-13T00:00:00"/>
        <d v="2024-06-08T00:00:00"/>
        <d v="2023-02-11T00:00:00"/>
        <d v="2023-07-29T00:00:00"/>
        <d v="2023-10-02T00:00:00"/>
        <d v="2023-11-06T00:00:00"/>
        <d v="2023-01-05T00:00:00"/>
        <d v="2024-02-18T00:00:00"/>
        <d v="2023-09-16T00:00:00"/>
        <d v="2024-09-07T00:00:00"/>
        <d v="2024-11-28T00:00:00"/>
        <d v="2023-09-07T00:00:00"/>
        <d v="2023-09-12T00:00:00"/>
        <d v="2024-10-29T00:00:00"/>
        <d v="2024-08-11T00:00:00"/>
        <d v="2023-07-23T00:00:00"/>
        <d v="2023-05-31T00:00:00"/>
        <d v="2023-07-07T00:00:00"/>
        <d v="2023-11-25T00:00:00"/>
        <d v="2024-05-31T00:00:00"/>
        <d v="2023-06-27T00:00:00"/>
        <d v="2024-10-16T00:00:00"/>
        <d v="2023-12-28T00:00:00"/>
        <d v="2023-02-09T00:00:00"/>
        <d v="2024-02-20T00:00:00"/>
        <d v="2024-07-30T00:00:00"/>
        <d v="2023-01-11T00:00:00"/>
        <d v="2023-01-26T00:00:00"/>
        <d v="2024-02-25T00:00:00"/>
        <d v="2023-08-09T00:00:00"/>
        <d v="2023-08-25T00:00:00"/>
        <d v="2024-09-26T00:00:00"/>
        <d v="2024-11-01T00:00:00"/>
        <d v="2024-02-13T00:00:00"/>
        <d v="2023-10-27T00:00:00"/>
        <d v="2024-08-24T00:00:00"/>
        <d v="2023-09-13T00:00:00"/>
        <d v="2023-12-19T00:00:00"/>
        <d v="2023-11-08T00:00:00"/>
        <d v="2023-04-09T00:00:00"/>
        <d v="2024-09-06T00:00:00"/>
        <d v="2023-12-31T00:00:00"/>
        <d v="2024-07-23T00:00:00"/>
        <d v="2023-03-16T00:00:00"/>
        <d v="2023-06-30T00:00:00"/>
        <d v="2024-06-28T00:00:00"/>
        <d v="2024-01-12T00:00:00"/>
        <d v="2024-11-08T00:00:00"/>
        <d v="2024-02-03T00:00:00"/>
        <d v="2024-08-17T00:00:00"/>
        <d v="2024-01-31T00:00:00"/>
        <d v="2023-01-04T00:00:00"/>
        <d v="2023-10-08T00:00:00"/>
        <d v="2024-02-24T00:00:00"/>
        <d v="2024-05-24T00:00:00"/>
        <d v="2023-03-04T00:00:00"/>
        <d v="2024-09-24T00:00:00"/>
        <d v="2023-01-28T00:00:00"/>
        <d v="2024-09-19T00:00:00"/>
        <d v="2023-06-16T00:00:00"/>
        <d v="2023-06-19T00:00:00"/>
        <d v="2023-08-27T00:00:00"/>
        <d v="2024-01-02T00:00:00"/>
        <d v="2024-11-19T00:00:00"/>
        <d v="2023-03-21T00:00:00"/>
        <d v="2024-06-22T00:00:00"/>
        <d v="2024-12-07T00:00:00"/>
        <d v="2023-11-07T00:00:00"/>
        <d v="2024-02-19T00:00:00"/>
        <d v="2023-06-14T00:00:00"/>
        <d v="2023-05-25T00:00:00"/>
        <d v="2023-02-06T00:00:00"/>
        <d v="2023-11-29T00:00:00"/>
        <d v="2024-02-07T00:00:00"/>
        <d v="2023-03-03T00:00:00"/>
        <d v="2024-04-12T00:00:00"/>
        <d v="2023-01-07T00:00:00"/>
        <d v="2024-03-03T00:00:00"/>
        <d v="2024-08-02T00:00:00"/>
        <d v="2024-05-21T00:00:00"/>
        <d v="2024-12-06T00:00:00"/>
        <d v="2023-11-21T00:00:00"/>
        <d v="2023-02-24T00:00:00"/>
        <d v="2023-10-24T00:00:00"/>
        <d v="2023-08-19T00:00:00"/>
        <d v="2024-03-28T00:00:00"/>
        <d v="2024-01-29T00:00:00"/>
        <d v="2023-12-24T00:00:00"/>
        <d v="2024-08-26T00:00:00"/>
        <d v="2023-01-30T00:00:00"/>
        <d v="2024-12-25T00:00:00"/>
        <d v="2024-04-23T00:00:00"/>
        <d v="2024-03-20T00:00:00"/>
        <d v="2023-05-27T00:00:00"/>
        <d v="2024-04-28T00:00:00"/>
        <d v="2024-11-03T00:00:00"/>
        <d v="2024-10-14T00:00:00"/>
        <d v="2024-07-08T00:00:00"/>
        <d v="2023-04-05T00:00:00"/>
        <d v="2023-09-19T00:00:00"/>
        <d v="2024-06-16T00:00:00"/>
        <d v="2023-05-07T00:00:00"/>
        <d v="2024-01-07T00:00:00"/>
        <d v="2024-04-30T00:00:00"/>
        <d v="2023-06-05T00:00:00"/>
        <d v="2024-09-23T00:00:00"/>
        <d v="2024-08-27T00:00:00"/>
        <d v="2023-10-04T00:00:00"/>
        <d v="2023-08-15T00:00:00"/>
        <d v="2024-07-05T00:00:00"/>
        <d v="2023-11-19T00:00:00"/>
        <d v="2023-06-02T00:00:00"/>
        <d v="2023-04-19T00:00:00"/>
        <d v="2023-07-03T00:00:00"/>
        <d v="2024-01-06T00:00:00"/>
        <d v="2024-05-11T00:00:00"/>
        <d v="2023-07-20T00:00:00"/>
        <d v="2024-05-18T00:00:00"/>
        <d v="2024-12-03T00:00:00"/>
        <d v="2023-11-11T00:00:00"/>
        <d v="2023-01-17T00:00:00"/>
        <d v="2024-02-27T00:00:00"/>
        <d v="2024-04-10T00:00:00"/>
        <d v="2024-07-04T00:00:00"/>
        <d v="2024-01-23T00:00:00"/>
        <d v="2024-12-09T00:00:00"/>
        <d v="2023-07-15T00:00:00"/>
        <d v="2023-10-12T00:00:00"/>
        <d v="2024-10-25T00:00:00"/>
        <d v="2024-12-23T00:00:00"/>
        <d v="2024-10-02T00:00:00"/>
        <d v="2023-12-01T00:00:00"/>
        <d v="2023-10-15T00:00:00"/>
        <d v="2023-09-09T00:00:00"/>
        <d v="2024-02-23T00:00:00"/>
        <d v="2024-12-26T00:00:00"/>
        <d v="2023-03-17T00:00:00"/>
        <d v="2024-10-21T00:00:00"/>
        <d v="2023-02-16T00:00:00"/>
        <d v="2024-01-14T00:00:00"/>
        <d v="2023-04-06T00:00:00"/>
        <d v="2024-05-22T00:00:00"/>
        <d v="2023-02-07T00:00:00"/>
        <d v="2024-05-25T00:00:00"/>
        <d v="2024-01-28T00:00:00"/>
        <d v="2024-12-13T00:00:00"/>
        <d v="2024-01-24T00:00:00"/>
        <d v="2024-02-16T00:00:00"/>
        <d v="2023-08-23T00:00:00"/>
        <d v="2024-12-18T00:00:00"/>
        <d v="2023-06-08T00:00:00"/>
        <d v="2024-04-07T00:00:00"/>
        <d v="2023-08-05T00:00:00"/>
        <d v="2023-12-17T00:00:00"/>
        <d v="2023-05-13T00:00:00"/>
        <d v="2024-02-22T00:00:00"/>
        <d v="2023-11-22T00:00:00"/>
        <d v="2024-11-20T00:00:00"/>
        <d v="2023-11-28T00:00:00"/>
        <d v="2024-11-18T00:00:00"/>
        <d v="2024-06-02T00:00:00"/>
        <d v="2023-09-26T00:00:00"/>
        <d v="2023-05-18T00:00:00"/>
        <d v="2024-08-22T00:00:00"/>
        <d v="2024-10-07T00:00:00"/>
        <d v="2024-12-31T00:00:00"/>
        <d v="2024-12-17T00:00:00"/>
        <d v="2024-04-27T00:00:00"/>
        <d v="2023-11-20T00:00:00"/>
        <d v="2024-04-17T00:00:00"/>
        <d v="2023-05-21T00:00:00"/>
        <d v="2023-03-07T00:00:00"/>
        <d v="2023-12-14T00:00:00"/>
        <d v="2024-05-07T00:00:00"/>
        <d v="2024-10-01T00:00:00"/>
        <d v="2023-06-22T00:00:00"/>
        <d v="2023-04-26T00:00:00"/>
        <d v="2024-08-09T00:00:00"/>
        <d v="2024-12-11T00:00:00"/>
        <d v="2024-01-30T00:00:00"/>
        <d v="2023-04-01T00:00:00"/>
        <d v="2024-11-07T00:00:00"/>
        <d v="2024-09-17T00:00:00"/>
        <d v="2024-01-09T00:00:00"/>
        <d v="2024-10-11T00:00:00"/>
        <d v="2024-08-13T00:00:00"/>
        <d v="2023-08-13T00:00:00"/>
        <d v="2023-06-12T00:00:00"/>
        <d v="2023-12-16T00:00:00"/>
        <d v="2024-07-03T00:00:00"/>
        <d v="2023-08-12T00:00:00"/>
        <d v="2023-12-15T00:00:00"/>
        <d v="2023-01-03T00:00:00"/>
        <d v="2023-03-05T00:00:00"/>
        <d v="2023-01-29T00:00:00"/>
        <d v="2023-07-22T00:00:00"/>
        <d v="2023-01-21T00:00:00"/>
        <d v="2023-04-12T00:00:00"/>
        <d v="2024-08-25T00:00:00"/>
        <d v="2023-04-21T00:00:00"/>
        <d v="2024-12-05T00:00:00"/>
        <d v="2023-10-18T00:00:00"/>
        <d v="2023-08-18T00:00:00"/>
        <d v="2024-11-06T00:00:00"/>
        <d v="2024-05-16T00:00:00"/>
        <d v="2024-05-09T00:00:00"/>
        <d v="2023-12-12T00:00:00"/>
        <d v="2023-09-18T00:00:00"/>
        <d v="2024-10-17T00:00:00"/>
        <d v="2023-09-14T00:00:00"/>
        <d v="2023-07-27T00:00:00"/>
        <d v="2023-06-23T00:00:00"/>
        <d v="2024-03-31T00:00:00"/>
        <d v="2024-09-20T00:00:00"/>
        <d v="2024-03-23T00:00:00"/>
        <d v="2023-09-21T00:00:00"/>
        <d v="2023-01-31T00:00:00"/>
        <d v="2023-09-06T00:00:00"/>
        <d v="2024-08-28T00:00:00"/>
        <d v="2024-08-14T00:00:00"/>
        <d v="2024-07-02T00:00:00"/>
        <d v="2023-12-08T00:00:00"/>
        <d v="2024-02-11T00:00:00"/>
        <d v="2024-09-05T00:00:00"/>
        <d v="2024-03-07T00:00:00"/>
        <d v="2024-05-19T00:00:00"/>
        <d v="2024-06-24T00:00:00"/>
        <d v="2023-08-08T00:00:00"/>
        <d v="2024-12-27T00:00:00"/>
        <d v="2024-10-26T00:00:00"/>
        <d v="2023-03-08T00:00:00"/>
        <d v="2023-01-06T00:00:00"/>
        <d v="2024-10-23T00:00:00"/>
        <d v="2023-11-27T00:00:00"/>
        <d v="2024-03-24T00:00:00"/>
        <d v="2024-04-02T00:00:00"/>
        <d v="2024-06-23T00:00:00"/>
        <d v="2024-07-24T00:00:00"/>
        <d v="2023-08-31T00:00:00"/>
        <d v="2023-04-25T00:00:00"/>
        <d v="2023-10-26T00:00:00"/>
        <d v="2024-10-05T00:00:00"/>
        <d v="2023-02-05T00:00:00"/>
        <d v="2024-11-22T00:00:00"/>
        <d v="2024-08-19T00:00:00"/>
        <d v="2023-04-10T00:00:00"/>
        <d v="2024-04-06T00:00:00"/>
        <d v="2023-06-21T00:00:00"/>
        <d v="2023-11-16T00:00:00"/>
        <d v="2024-12-22T00:00:00"/>
        <d v="2023-11-09T00:00:00"/>
        <d v="2023-04-08T00:00:00"/>
        <d v="2023-08-22T00:00:00"/>
        <d v="2024-09-29T00:00:00"/>
        <d v="2024-01-21T00:00:00"/>
        <d v="2024-03-05T00:00:00"/>
        <d v="2024-11-05T00:00:00"/>
        <d v="2024-01-18T00:00:00"/>
        <d v="2024-03-29T00:00:00"/>
        <d v="2023-12-20T00:00:00"/>
        <d v="2024-05-05T00:00:00"/>
        <d v="2024-01-16T00:00:00"/>
        <d v="2024-05-02T00:00:00"/>
        <d v="2024-12-19T00:00:00"/>
        <d v="2023-11-24T00:00:00"/>
        <d v="2024-12-02T00:00:00"/>
        <d v="2023-03-13T00:00:00"/>
        <d v="2024-10-06T00:00:00"/>
        <d v="2023-02-19T00:00:00"/>
        <d v="2023-04-14T00:00:00"/>
        <d v="2023-02-03T00:00:00"/>
        <d v="2023-01-24T00:00:00"/>
        <d v="2024-02-10T00:00:00"/>
        <d v="2024-11-02T00:00:00"/>
        <d v="2023-07-14T00:00:00"/>
        <d v="2024-03-12T00:00:00"/>
        <d v="2023-12-13T00:00:00"/>
        <d v="2023-11-13T00:00:00"/>
        <d v="2023-10-07T00:00:00"/>
        <d v="2023-11-01T00:00:00"/>
        <d v="2023-03-01T00:00:00"/>
        <d v="2024-02-05T00:00:00"/>
        <d v="2023-12-25T00:00:00"/>
        <d v="2024-09-04T00:00:00"/>
        <d v="2023-07-21T00:00:00"/>
        <d v="2024-02-04T00:00:00"/>
        <d v="2023-08-10T00:00:00"/>
        <d v="2023-09-29T00:00:00"/>
        <d v="2023-05-17T00:00:00"/>
        <d v="2024-04-11T00:00:00"/>
        <d v="2023-02-22T00:00:00"/>
        <d v="2023-09-01T00:00:00"/>
        <d v="2024-10-09T00:00:00"/>
        <d v="2024-07-15T00:00:00"/>
        <d v="2024-12-14T00:00:00"/>
        <d v="2023-01-15T00:00:00"/>
        <d v="2024-10-15T00:00:00"/>
        <d v="2023-10-17T00:00:00"/>
        <d v="2024-04-19T00:00:00"/>
        <d v="2023-07-09T00:00:00"/>
        <d v="2024-04-20T00:00:00"/>
        <d v="2024-05-04T00:00:00"/>
        <d v="2023-08-28T00:00:00"/>
        <d v="2023-01-22T00:00:00"/>
        <d v="2024-09-14T00:00:00"/>
        <d v="2024-05-14T00:00:00"/>
        <d v="2023-05-16T00:00:00"/>
        <d v="2023-12-26T00:00:00"/>
        <d v="2024-01-20T00:00:00"/>
        <d v="2023-12-11T00:00:00"/>
        <d v="2023-08-11T00:00:00"/>
        <d v="2023-01-23T00:00:00"/>
        <d v="2024-08-20T00:00:00"/>
        <d v="2024-08-07T00:00:00"/>
        <d v="2024-05-03T00:00:00"/>
        <d v="2023-10-30T00:00:00"/>
        <d v="2023-02-04T00:00:00"/>
        <d v="2024-08-15T00:00:00"/>
        <d v="2023-03-18T00:00:00"/>
        <d v="2024-10-30T00:00:00"/>
        <d v="2024-04-25T00:00:00"/>
        <d v="2023-11-15T00:00:00"/>
        <d v="2023-11-12T00:00:00"/>
        <d v="2024-07-17T00:00:00"/>
        <d v="2024-07-19T00:00:00"/>
        <d v="2023-02-17T00:00:00"/>
      </sharedItems>
    </cacheField>
    <cacheField name="End Date" numFmtId="14">
      <sharedItems containsSemiMixedTypes="0" containsNonDate="0" containsDate="1" containsString="0" minDate="2024-01-01T00:00:00" maxDate="2026-01-01T00:00:00" count="717">
        <d v="2025-04-04T00:00:00"/>
        <d v="2025-04-02T00:00:00"/>
        <d v="2024-02-12T00:00:00"/>
        <d v="2025-08-08T00:00:00"/>
        <d v="2024-10-04T00:00:00"/>
        <d v="2024-05-09T00:00:00"/>
        <d v="2024-12-15T00:00:00"/>
        <d v="2025-12-06T00:00:00"/>
        <d v="2025-06-27T00:00:00"/>
        <d v="2024-04-15T00:00:00"/>
        <d v="2025-12-16T00:00:00"/>
        <d v="2024-01-01T00:00:00"/>
        <d v="2025-08-06T00:00:00"/>
        <d v="2025-03-07T00:00:00"/>
        <d v="2024-11-01T00:00:00"/>
        <d v="2025-06-10T00:00:00"/>
        <d v="2024-02-22T00:00:00"/>
        <d v="2025-06-03T00:00:00"/>
        <d v="2024-11-25T00:00:00"/>
        <d v="2025-07-11T00:00:00"/>
        <d v="2024-11-20T00:00:00"/>
        <d v="2024-04-23T00:00:00"/>
        <d v="2024-05-26T00:00:00"/>
        <d v="2024-06-14T00:00:00"/>
        <d v="2025-01-13T00:00:00"/>
        <d v="2024-05-18T00:00:00"/>
        <d v="2025-09-20T00:00:00"/>
        <d v="2024-10-25T00:00:00"/>
        <d v="2024-10-02T00:00:00"/>
        <d v="2024-06-26T00:00:00"/>
        <d v="2024-12-19T00:00:00"/>
        <d v="2024-06-02T00:00:00"/>
        <d v="2024-07-19T00:00:00"/>
        <d v="2024-04-24T00:00:00"/>
        <d v="2025-11-01T00:00:00"/>
        <d v="2025-07-07T00:00:00"/>
        <d v="2024-03-08T00:00:00"/>
        <d v="2025-03-20T00:00:00"/>
        <d v="2024-11-21T00:00:00"/>
        <d v="2025-12-08T00:00:00"/>
        <d v="2025-08-24T00:00:00"/>
        <d v="2025-09-14T00:00:00"/>
        <d v="2024-12-24T00:00:00"/>
        <d v="2024-05-24T00:00:00"/>
        <d v="2024-10-01T00:00:00"/>
        <d v="2025-05-23T00:00:00"/>
        <d v="2024-06-27T00:00:00"/>
        <d v="2025-04-21T00:00:00"/>
        <d v="2025-02-17T00:00:00"/>
        <d v="2024-06-01T00:00:00"/>
        <d v="2024-04-13T00:00:00"/>
        <d v="2024-03-15T00:00:00"/>
        <d v="2024-05-07T00:00:00"/>
        <d v="2025-12-11T00:00:00"/>
        <d v="2025-10-27T00:00:00"/>
        <d v="2025-07-21T00:00:00"/>
        <d v="2024-12-10T00:00:00"/>
        <d v="2025-06-14T00:00:00"/>
        <d v="2024-06-07T00:00:00"/>
        <d v="2025-06-21T00:00:00"/>
        <d v="2025-03-01T00:00:00"/>
        <d v="2025-11-11T00:00:00"/>
        <d v="2024-01-23T00:00:00"/>
        <d v="2024-02-16T00:00:00"/>
        <d v="2025-06-08T00:00:00"/>
        <d v="2025-12-29T00:00:00"/>
        <d v="2024-05-23T00:00:00"/>
        <d v="2025-08-07T00:00:00"/>
        <d v="2025-10-29T00:00:00"/>
        <d v="2025-08-11T00:00:00"/>
        <d v="2025-02-22T00:00:00"/>
        <d v="2024-03-25T00:00:00"/>
        <d v="2025-02-19T00:00:00"/>
        <d v="2025-11-24T00:00:00"/>
        <d v="2025-04-26T00:00:00"/>
        <d v="2025-03-31T00:00:00"/>
        <d v="2024-10-23T00:00:00"/>
        <d v="2024-04-21T00:00:00"/>
        <d v="2024-08-17T00:00:00"/>
        <d v="2024-04-05T00:00:00"/>
        <d v="2025-11-10T00:00:00"/>
        <d v="2025-01-12T00:00:00"/>
        <d v="2024-06-04T00:00:00"/>
        <d v="2025-02-24T00:00:00"/>
        <d v="2024-04-14T00:00:00"/>
        <d v="2025-12-05T00:00:00"/>
        <d v="2025-03-14T00:00:00"/>
        <d v="2024-05-11T00:00:00"/>
        <d v="2025-01-16T00:00:00"/>
        <d v="2024-05-17T00:00:00"/>
        <d v="2024-09-26T00:00:00"/>
        <d v="2025-07-03T00:00:00"/>
        <d v="2025-01-30T00:00:00"/>
        <d v="2025-07-10T00:00:00"/>
        <d v="2025-04-08T00:00:00"/>
        <d v="2025-11-05T00:00:00"/>
        <d v="2025-03-25T00:00:00"/>
        <d v="2024-11-26T00:00:00"/>
        <d v="2024-09-09T00:00:00"/>
        <d v="2024-10-11T00:00:00"/>
        <d v="2024-09-30T00:00:00"/>
        <d v="2024-01-20T00:00:00"/>
        <d v="2024-08-26T00:00:00"/>
        <d v="2025-02-21T00:00:00"/>
        <d v="2024-11-05T00:00:00"/>
        <d v="2024-01-31T00:00:00"/>
        <d v="2025-11-12T00:00:00"/>
        <d v="2024-07-04T00:00:00"/>
        <d v="2024-07-28T00:00:00"/>
        <d v="2024-10-07T00:00:00"/>
        <d v="2024-01-19T00:00:00"/>
        <d v="2025-12-12T00:00:00"/>
        <d v="2024-05-15T00:00:00"/>
        <d v="2024-08-10T00:00:00"/>
        <d v="2024-01-03T00:00:00"/>
        <d v="2024-08-23T00:00:00"/>
        <d v="2025-04-09T00:00:00"/>
        <d v="2024-08-15T00:00:00"/>
        <d v="2025-10-15T00:00:00"/>
        <d v="2025-05-13T00:00:00"/>
        <d v="2025-06-04T00:00:00"/>
        <d v="2025-12-02T00:00:00"/>
        <d v="2025-11-07T00:00:00"/>
        <d v="2024-10-17T00:00:00"/>
        <d v="2025-11-17T00:00:00"/>
        <d v="2024-04-19T00:00:00"/>
        <d v="2025-12-15T00:00:00"/>
        <d v="2025-10-09T00:00:00"/>
        <d v="2024-01-04T00:00:00"/>
        <d v="2025-10-28T00:00:00"/>
        <d v="2025-11-14T00:00:00"/>
        <d v="2024-04-03T00:00:00"/>
        <d v="2025-07-13T00:00:00"/>
        <d v="2024-07-31T00:00:00"/>
        <d v="2025-03-11T00:00:00"/>
        <d v="2025-05-22T00:00:00"/>
        <d v="2025-10-12T00:00:00"/>
        <d v="2024-07-23T00:00:00"/>
        <d v="2025-01-15T00:00:00"/>
        <d v="2024-03-13T00:00:00"/>
        <d v="2025-05-30T00:00:00"/>
        <d v="2024-03-16T00:00:00"/>
        <d v="2024-03-17T00:00:00"/>
        <d v="2025-02-13T00:00:00"/>
        <d v="2025-09-05T00:00:00"/>
        <d v="2025-07-04T00:00:00"/>
        <d v="2025-04-20T00:00:00"/>
        <d v="2024-03-28T00:00:00"/>
        <d v="2025-12-23T00:00:00"/>
        <d v="2025-03-17T00:00:00"/>
        <d v="2025-06-23T00:00:00"/>
        <d v="2024-09-01T00:00:00"/>
        <d v="2025-07-31T00:00:00"/>
        <d v="2025-12-17T00:00:00"/>
        <d v="2025-07-23T00:00:00"/>
        <d v="2025-12-13T00:00:00"/>
        <d v="2024-05-21T00:00:00"/>
        <d v="2025-01-02T00:00:00"/>
        <d v="2024-03-24T00:00:00"/>
        <d v="2024-05-22T00:00:00"/>
        <d v="2024-12-17T00:00:00"/>
        <d v="2025-06-28T00:00:00"/>
        <d v="2024-05-31T00:00:00"/>
        <d v="2024-06-06T00:00:00"/>
        <d v="2025-03-21T00:00:00"/>
        <d v="2025-10-14T00:00:00"/>
        <d v="2024-10-29T00:00:00"/>
        <d v="2025-09-15T00:00:00"/>
        <d v="2025-10-17T00:00:00"/>
        <d v="2025-12-21T00:00:00"/>
        <d v="2024-08-11T00:00:00"/>
        <d v="2024-09-20T00:00:00"/>
        <d v="2025-09-28T00:00:00"/>
        <d v="2024-09-24T00:00:00"/>
        <d v="2025-08-18T00:00:00"/>
        <d v="2024-01-16T00:00:00"/>
        <d v="2024-11-29T00:00:00"/>
        <d v="2024-02-28T00:00:00"/>
        <d v="2024-06-25T00:00:00"/>
        <d v="2024-03-03T00:00:00"/>
        <d v="2025-07-14T00:00:00"/>
        <d v="2024-11-02T00:00:00"/>
        <d v="2024-09-02T00:00:00"/>
        <d v="2024-10-15T00:00:00"/>
        <d v="2024-11-27T00:00:00"/>
        <d v="2024-09-11T00:00:00"/>
        <d v="2025-08-26T00:00:00"/>
        <d v="2025-05-24T00:00:00"/>
        <d v="2025-12-18T00:00:00"/>
        <d v="2025-08-28T00:00:00"/>
        <d v="2025-04-07T00:00:00"/>
        <d v="2024-07-17T00:00:00"/>
        <d v="2024-09-27T00:00:00"/>
        <d v="2024-03-04T00:00:00"/>
        <d v="2024-09-05T00:00:00"/>
        <d v="2025-08-09T00:00:00"/>
        <d v="2024-06-05T00:00:00"/>
        <d v="2025-07-17T00:00:00"/>
        <d v="2024-11-08T00:00:00"/>
        <d v="2024-03-06T00:00:00"/>
        <d v="2025-10-23T00:00:00"/>
        <d v="2024-02-02T00:00:00"/>
        <d v="2024-12-08T00:00:00"/>
        <d v="2024-05-12T00:00:00"/>
        <d v="2024-02-24T00:00:00"/>
        <d v="2024-03-01T00:00:00"/>
        <d v="2024-09-28T00:00:00"/>
        <d v="2024-06-24T00:00:00"/>
        <d v="2025-09-19T00:00:00"/>
        <d v="2024-11-12T00:00:00"/>
        <d v="2024-05-10T00:00:00"/>
        <d v="2024-04-11T00:00:00"/>
        <d v="2024-10-18T00:00:00"/>
        <d v="2025-12-22T00:00:00"/>
        <d v="2025-05-09T00:00:00"/>
        <d v="2024-12-26T00:00:00"/>
        <d v="2024-12-03T00:00:00"/>
        <d v="2025-08-01T00:00:00"/>
        <d v="2024-01-10T00:00:00"/>
        <d v="2024-02-18T00:00:00"/>
        <d v="2025-05-01T00:00:00"/>
        <d v="2024-11-16T00:00:00"/>
        <d v="2025-12-31T00:00:00"/>
        <d v="2025-07-22T00:00:00"/>
        <d v="2025-09-16T00:00:00"/>
        <d v="2025-08-05T00:00:00"/>
        <d v="2024-03-23T00:00:00"/>
        <d v="2024-02-26T00:00:00"/>
        <d v="2025-01-10T00:00:00"/>
        <d v="2024-12-14T00:00:00"/>
        <d v="2025-04-27T00:00:00"/>
        <d v="2024-04-20T00:00:00"/>
        <d v="2025-06-15T00:00:00"/>
        <d v="2025-10-04T00:00:00"/>
        <d v="2024-11-24T00:00:00"/>
        <d v="2024-05-01T00:00:00"/>
        <d v="2024-02-10T00:00:00"/>
        <d v="2024-06-15T00:00:00"/>
        <d v="2025-10-03T00:00:00"/>
        <d v="2024-10-05T00:00:00"/>
        <d v="2025-04-13T00:00:00"/>
        <d v="2025-02-03T00:00:00"/>
        <d v="2024-01-09T00:00:00"/>
        <d v="2024-01-13T00:00:00"/>
        <d v="2024-02-21T00:00:00"/>
        <d v="2024-07-27T00:00:00"/>
        <d v="2025-09-03T00:00:00"/>
        <d v="2025-02-05T00:00:00"/>
        <d v="2024-07-09T00:00:00"/>
        <d v="2024-02-20T00:00:00"/>
        <d v="2025-01-27T00:00:00"/>
        <d v="2025-09-12T00:00:00"/>
        <d v="2025-12-19T00:00:00"/>
        <d v="2024-10-26T00:00:00"/>
        <d v="2025-09-13T00:00:00"/>
        <d v="2024-07-14T00:00:00"/>
        <d v="2025-02-20T00:00:00"/>
        <d v="2025-10-25T00:00:00"/>
        <d v="2025-02-23T00:00:00"/>
        <d v="2025-10-01T00:00:00"/>
        <d v="2025-09-08T00:00:00"/>
        <d v="2025-06-05T00:00:00"/>
        <d v="2024-12-21T00:00:00"/>
        <d v="2024-05-27T00:00:00"/>
        <d v="2024-12-30T00:00:00"/>
        <d v="2024-12-29T00:00:00"/>
        <d v="2025-10-13T00:00:00"/>
        <d v="2025-05-06T00:00:00"/>
        <d v="2024-08-16T00:00:00"/>
        <d v="2025-07-28T00:00:00"/>
        <d v="2025-06-20T00:00:00"/>
        <d v="2025-02-08T00:00:00"/>
        <d v="2024-01-11T00:00:00"/>
        <d v="2024-11-15T00:00:00"/>
        <d v="2024-05-05T00:00:00"/>
        <d v="2025-05-25T00:00:00"/>
        <d v="2024-03-29T00:00:00"/>
        <d v="2024-12-20T00:00:00"/>
        <d v="2025-11-19T00:00:00"/>
        <d v="2024-01-14T00:00:00"/>
        <d v="2024-09-13T00:00:00"/>
        <d v="2025-03-18T00:00:00"/>
        <d v="2025-01-23T00:00:00"/>
        <d v="2025-09-21T00:00:00"/>
        <d v="2025-03-09T00:00:00"/>
        <d v="2025-01-20T00:00:00"/>
        <d v="2024-12-11T00:00:00"/>
        <d v="2025-11-28T00:00:00"/>
        <d v="2024-07-25T00:00:00"/>
        <d v="2024-06-20T00:00:00"/>
        <d v="2024-08-08T00:00:00"/>
        <d v="2024-07-01T00:00:00"/>
        <d v="2025-02-02T00:00:00"/>
        <d v="2024-03-12T00:00:00"/>
        <d v="2024-10-09T00:00:00"/>
        <d v="2024-03-14T00:00:00"/>
        <d v="2025-12-27T00:00:00"/>
        <d v="2025-05-11T00:00:00"/>
        <d v="2024-11-23T00:00:00"/>
        <d v="2025-06-18T00:00:00"/>
        <d v="2025-08-02T00:00:00"/>
        <d v="2025-03-22T00:00:00"/>
        <d v="2025-01-07T00:00:00"/>
        <d v="2024-12-27T00:00:00"/>
        <d v="2024-04-02T00:00:00"/>
        <d v="2024-11-19T00:00:00"/>
        <d v="2025-01-18T00:00:00"/>
        <d v="2024-04-12T00:00:00"/>
        <d v="2024-08-02T00:00:00"/>
        <d v="2024-07-10T00:00:00"/>
        <d v="2025-11-02T00:00:00"/>
        <d v="2024-07-12T00:00:00"/>
        <d v="2025-01-14T00:00:00"/>
        <d v="2025-02-06T00:00:00"/>
        <d v="2025-08-22T00:00:00"/>
        <d v="2024-07-05T00:00:00"/>
        <d v="2025-12-26T00:00:00"/>
        <d v="2024-01-15T00:00:00"/>
        <d v="2025-02-14T00:00:00"/>
        <d v="2024-01-28T00:00:00"/>
        <d v="2025-07-30T00:00:00"/>
        <d v="2024-01-17T00:00:00"/>
        <d v="2024-12-16T00:00:00"/>
        <d v="2025-03-03T00:00:00"/>
        <d v="2025-10-11T00:00:00"/>
        <d v="2025-03-06T00:00:00"/>
        <d v="2024-10-20T00:00:00"/>
        <d v="2025-08-04T00:00:00"/>
        <d v="2024-07-22T00:00:00"/>
        <d v="2025-01-09T00:00:00"/>
        <d v="2024-02-23T00:00:00"/>
        <d v="2024-11-30T00:00:00"/>
        <d v="2024-05-14T00:00:00"/>
        <d v="2024-02-27T00:00:00"/>
        <d v="2024-09-22T00:00:00"/>
        <d v="2025-05-10T00:00:00"/>
        <d v="2024-10-21T00:00:00"/>
        <d v="2025-07-02T00:00:00"/>
        <d v="2025-09-22T00:00:00"/>
        <d v="2024-03-07T00:00:00"/>
        <d v="2025-12-25T00:00:00"/>
        <d v="2024-04-10T00:00:00"/>
        <d v="2024-02-25T00:00:00"/>
        <d v="2024-04-01T00:00:00"/>
        <d v="2024-04-18T00:00:00"/>
        <d v="2024-06-16T00:00:00"/>
        <d v="2025-03-10T00:00:00"/>
        <d v="2024-08-05T00:00:00"/>
        <d v="2024-08-09T00:00:00"/>
        <d v="2025-11-03T00:00:00"/>
        <d v="2025-06-11T00:00:00"/>
        <d v="2025-07-27T00:00:00"/>
        <d v="2025-04-10T00:00:00"/>
        <d v="2024-01-30T00:00:00"/>
        <d v="2024-10-14T00:00:00"/>
        <d v="2024-03-26T00:00:00"/>
        <d v="2024-08-21T00:00:00"/>
        <d v="2024-09-25T00:00:00"/>
        <d v="2024-06-28T00:00:00"/>
        <d v="2025-04-24T00:00:00"/>
        <d v="2024-06-11T00:00:00"/>
        <d v="2024-12-18T00:00:00"/>
        <d v="2024-08-12T00:00:00"/>
        <d v="2025-02-15T00:00:00"/>
        <d v="2024-04-27T00:00:00"/>
        <d v="2025-08-13T00:00:00"/>
        <d v="2025-08-12T00:00:00"/>
        <d v="2025-10-20T00:00:00"/>
        <d v="2024-04-16T00:00:00"/>
        <d v="2025-01-24T00:00:00"/>
        <d v="2024-08-31T00:00:00"/>
        <d v="2025-04-12T00:00:00"/>
        <d v="2025-09-26T00:00:00"/>
        <d v="2024-11-04T00:00:00"/>
        <d v="2025-11-26T00:00:00"/>
        <d v="2025-11-29T00:00:00"/>
        <d v="2025-12-10T00:00:00"/>
        <d v="2024-05-28T00:00:00"/>
        <d v="2024-07-29T00:00:00"/>
        <d v="2024-10-06T00:00:00"/>
        <d v="2025-11-15T00:00:00"/>
        <d v="2024-08-25T00:00:00"/>
        <d v="2024-03-22T00:00:00"/>
        <d v="2024-09-29T00:00:00"/>
        <d v="2024-02-13T00:00:00"/>
        <d v="2025-07-26T00:00:00"/>
        <d v="2024-05-02T00:00:00"/>
        <d v="2025-02-12T00:00:00"/>
        <d v="2024-11-18T00:00:00"/>
        <d v="2025-03-08T00:00:00"/>
        <d v="2024-04-08T00:00:00"/>
        <d v="2025-06-22T00:00:00"/>
        <d v="2025-08-23T00:00:00"/>
        <d v="2024-05-25T00:00:00"/>
        <d v="2024-07-07T00:00:00"/>
        <d v="2024-08-27T00:00:00"/>
        <d v="2025-05-17T00:00:00"/>
        <d v="2024-12-04T00:00:00"/>
        <d v="2024-06-17T00:00:00"/>
        <d v="2024-09-17T00:00:00"/>
        <d v="2024-10-13T00:00:00"/>
        <d v="2025-11-22T00:00:00"/>
        <d v="2025-04-16T00:00:00"/>
        <d v="2024-10-22T00:00:00"/>
        <d v="2024-01-06T00:00:00"/>
        <d v="2024-07-21T00:00:00"/>
        <d v="2024-11-22T00:00:00"/>
        <d v="2024-12-07T00:00:00"/>
        <d v="2024-02-15T00:00:00"/>
        <d v="2025-05-18T00:00:00"/>
        <d v="2025-07-08T00:00:00"/>
        <d v="2024-07-26T00:00:00"/>
        <d v="2025-09-06T00:00:00"/>
        <d v="2024-05-03T00:00:00"/>
        <d v="2025-06-26T00:00:00"/>
        <d v="2024-02-29T00:00:00"/>
        <d v="2024-08-04T00:00:00"/>
        <d v="2024-01-02T00:00:00"/>
        <d v="2025-06-19T00:00:00"/>
        <d v="2025-09-17T00:00:00"/>
        <d v="2024-06-13T00:00:00"/>
        <d v="2024-03-31T00:00:00"/>
        <d v="2024-10-08T00:00:00"/>
        <d v="2024-03-05T00:00:00"/>
        <d v="2025-01-29T00:00:00"/>
        <d v="2024-12-02T00:00:00"/>
        <d v="2025-11-06T00:00:00"/>
        <d v="2025-12-30T00:00:00"/>
        <d v="2025-06-16T00:00:00"/>
        <d v="2024-05-20T00:00:00"/>
        <d v="2024-09-21T00:00:00"/>
        <d v="2025-04-03T00:00:00"/>
        <d v="2024-03-10T00:00:00"/>
        <d v="2025-01-19T00:00:00"/>
        <d v="2024-07-16T00:00:00"/>
        <d v="2024-08-13T00:00:00"/>
        <d v="2025-12-14T00:00:00"/>
        <d v="2025-05-12T00:00:00"/>
        <d v="2025-01-31T00:00:00"/>
        <d v="2024-02-07T00:00:00"/>
        <d v="2024-01-25T00:00:00"/>
        <d v="2025-04-05T00:00:00"/>
        <d v="2025-07-24T00:00:00"/>
        <d v="2024-12-22T00:00:00"/>
        <d v="2025-01-17T00:00:00"/>
        <d v="2024-02-17T00:00:00"/>
        <d v="2024-03-09T00:00:00"/>
        <d v="2025-12-28T00:00:00"/>
        <d v="2025-03-24T00:00:00"/>
        <d v="2025-05-04T00:00:00"/>
        <d v="2024-11-11T00:00:00"/>
        <d v="2025-02-16T00:00:00"/>
        <d v="2024-12-31T00:00:00"/>
        <d v="2025-03-19T00:00:00"/>
        <d v="2025-07-15T00:00:00"/>
        <d v="2024-10-19T00:00:00"/>
        <d v="2024-06-18T00:00:00"/>
        <d v="2024-09-03T00:00:00"/>
        <d v="2025-12-04T00:00:00"/>
        <d v="2025-01-08T00:00:00"/>
        <d v="2024-03-20T00:00:00"/>
        <d v="2024-08-01T00:00:00"/>
        <d v="2024-08-06T00:00:00"/>
        <d v="2024-01-12T00:00:00"/>
        <d v="2025-02-18T00:00:00"/>
        <d v="2024-02-01T00:00:00"/>
        <d v="2024-06-08T00:00:00"/>
        <d v="2024-08-24T00:00:00"/>
        <d v="2024-06-29T00:00:00"/>
        <d v="2024-12-06T00:00:00"/>
        <d v="2025-10-08T00:00:00"/>
        <d v="2025-04-17T00:00:00"/>
        <d v="2025-05-07T00:00:00"/>
        <d v="2025-04-30T00:00:00"/>
        <d v="2025-02-09T00:00:00"/>
        <d v="2024-04-26T00:00:00"/>
        <d v="2025-06-30T00:00:00"/>
        <d v="2025-10-05T00:00:00"/>
        <d v="2024-12-01T00:00:00"/>
        <d v="2024-03-21T00:00:00"/>
        <d v="2025-03-02T00:00:00"/>
        <d v="2024-11-17T00:00:00"/>
        <d v="2025-08-19T00:00:00"/>
        <d v="2025-10-10T00:00:00"/>
        <d v="2025-09-09T00:00:00"/>
        <d v="2025-09-29T00:00:00"/>
        <d v="2024-07-13T00:00:00"/>
        <d v="2025-10-31T00:00:00"/>
        <d v="2024-01-07T00:00:00"/>
        <d v="2025-07-19T00:00:00"/>
        <d v="2025-09-07T00:00:00"/>
        <d v="2025-08-21T00:00:00"/>
        <d v="2024-08-29T00:00:00"/>
        <d v="2025-04-06T00:00:00"/>
        <d v="2025-06-06T00:00:00"/>
        <d v="2025-01-25T00:00:00"/>
        <d v="2025-11-18T00:00:00"/>
        <d v="2025-05-08T00:00:00"/>
        <d v="2025-09-10T00:00:00"/>
        <d v="2025-04-18T00:00:00"/>
        <d v="2024-05-13T00:00:00"/>
        <d v="2025-08-29T00:00:00"/>
        <d v="2024-08-22T00:00:00"/>
        <d v="2024-06-12T00:00:00"/>
        <d v="2024-08-03T00:00:00"/>
        <d v="2025-10-18T00:00:00"/>
        <d v="2024-03-30T00:00:00"/>
        <d v="2024-11-06T00:00:00"/>
        <d v="2024-06-19T00:00:00"/>
        <d v="2024-08-19T00:00:00"/>
        <d v="2025-05-20T00:00:00"/>
        <d v="2025-11-23T00:00:00"/>
        <d v="2024-09-16T00:00:00"/>
        <d v="2025-09-11T00:00:00"/>
        <d v="2024-07-02T00:00:00"/>
        <d v="2024-05-08T00:00:00"/>
        <d v="2025-05-15T00:00:00"/>
        <d v="2025-04-23T00:00:00"/>
        <d v="2025-05-27T00:00:00"/>
        <d v="2025-04-11T00:00:00"/>
        <d v="2024-04-09T00:00:00"/>
        <d v="2025-01-22T00:00:00"/>
        <d v="2024-08-28T00:00:00"/>
        <d v="2025-01-21T00:00:00"/>
        <d v="2025-04-15T00:00:00"/>
        <d v="2024-08-20T00:00:00"/>
        <d v="2025-10-24T00:00:00"/>
        <d v="2025-03-27T00:00:00"/>
        <d v="2024-10-03T00:00:00"/>
        <d v="2024-08-14T00:00:00"/>
        <d v="2024-09-23T00:00:00"/>
        <d v="2025-06-24T00:00:00"/>
        <d v="2025-03-26T00:00:00"/>
        <d v="2025-05-16T00:00:00"/>
        <d v="2025-11-16T00:00:00"/>
        <d v="2024-11-28T00:00:00"/>
        <d v="2025-02-26T00:00:00"/>
        <d v="2025-07-06T00:00:00"/>
        <d v="2024-09-04T00:00:00"/>
        <d v="2025-08-03T00:00:00"/>
        <d v="2024-04-29T00:00:00"/>
        <d v="2025-12-03T00:00:00"/>
        <d v="2025-04-14T00:00:00"/>
        <d v="2025-12-01T00:00:00"/>
        <d v="2024-10-12T00:00:00"/>
        <d v="2025-08-30T00:00:00"/>
        <d v="2024-11-07T00:00:00"/>
        <d v="2024-04-06T00:00:00"/>
        <d v="2024-04-22T00:00:00"/>
        <d v="2024-04-30T00:00:00"/>
        <d v="2024-07-15T00:00:00"/>
        <d v="2025-09-25T00:00:00"/>
        <d v="2024-02-08T00:00:00"/>
        <d v="2025-05-26T00:00:00"/>
        <d v="2024-06-09T00:00:00"/>
        <d v="2024-07-18T00:00:00"/>
        <d v="2024-03-27T00:00:00"/>
        <d v="2024-03-02T00:00:00"/>
        <d v="2025-05-14T00:00:00"/>
        <d v="2024-02-11T00:00:00"/>
        <d v="2025-11-21T00:00:00"/>
        <d v="2025-04-25T00:00:00"/>
        <d v="2025-02-11T00:00:00"/>
        <d v="2025-04-01T00:00:00"/>
        <d v="2025-09-30T00:00:00"/>
        <d v="2024-01-21T00:00:00"/>
        <d v="2025-03-23T00:00:00"/>
        <d v="2024-09-14T00:00:00"/>
        <d v="2025-06-12T00:00:00"/>
        <d v="2025-03-15T00:00:00"/>
        <d v="2025-09-24T00:00:00"/>
        <d v="2024-06-21T00:00:00"/>
        <d v="2024-02-06T00:00:00"/>
        <d v="2024-12-09T00:00:00"/>
        <d v="2025-11-30T00:00:00"/>
        <d v="2025-08-14T00:00:00"/>
        <d v="2025-04-19T00:00:00"/>
        <d v="2025-10-22T00:00:00"/>
        <d v="2024-01-08T00:00:00"/>
        <d v="2025-06-01T00:00:00"/>
        <d v="2025-05-31T00:00:00"/>
        <d v="2025-03-13T00:00:00"/>
        <d v="2025-11-25T00:00:00"/>
        <d v="2025-11-20T00:00:00"/>
        <d v="2024-04-04T00:00:00"/>
        <d v="2024-08-18T00:00:00"/>
        <d v="2025-02-28T00:00:00"/>
        <d v="2025-03-12T00:00:00"/>
        <d v="2025-08-10T00:00:00"/>
        <d v="2025-07-29T00:00:00"/>
        <d v="2025-01-11T00:00:00"/>
        <d v="2025-05-03T00:00:00"/>
        <d v="2024-01-29T00:00:00"/>
        <d v="2025-09-01T00:00:00"/>
        <d v="2025-08-20T00:00:00"/>
        <d v="2024-05-04T00:00:00"/>
        <d v="2024-09-10T00:00:00"/>
        <d v="2025-06-25T00:00:00"/>
        <d v="2024-09-18T00:00:00"/>
        <d v="2025-05-02T00:00:00"/>
        <d v="2025-03-30T00:00:00"/>
        <d v="2024-09-15T00:00:00"/>
        <d v="2025-09-18T00:00:00"/>
        <d v="2025-12-20T00:00:00"/>
        <d v="2025-04-29T00:00:00"/>
        <d v="2025-08-25T00:00:00"/>
        <d v="2025-04-22T00:00:00"/>
        <d v="2024-01-27T00:00:00"/>
        <d v="2024-01-22T00:00:00"/>
        <d v="2025-07-05T00:00:00"/>
        <d v="2024-07-06T00:00:00"/>
        <d v="2024-05-16T00:00:00"/>
        <d v="2024-01-24T00:00:00"/>
        <d v="2025-09-23T00:00:00"/>
        <d v="2024-06-22T00:00:00"/>
        <d v="2024-01-18T00:00:00"/>
        <d v="2025-07-20T00:00:00"/>
        <d v="2025-03-16T00:00:00"/>
        <d v="2024-02-09T00:00:00"/>
        <d v="2025-06-02T00:00:00"/>
        <d v="2024-10-28T00:00:00"/>
        <d v="2025-05-29T00:00:00"/>
        <d v="2024-11-03T00:00:00"/>
        <d v="2025-03-29T00:00:00"/>
        <d v="2024-06-23T00:00:00"/>
        <d v="2024-12-13T00:00:00"/>
        <d v="2024-06-03T00:00:00"/>
        <d v="2025-06-13T00:00:00"/>
        <d v="2025-11-09T00:00:00"/>
        <d v="2025-02-04T00:00:00"/>
        <d v="2024-11-13T00:00:00"/>
        <d v="2024-09-06T00:00:00"/>
        <d v="2024-09-12T00:00:00"/>
        <d v="2025-10-19T00:00:00"/>
        <d v="2024-10-24T00:00:00"/>
        <d v="2025-05-05T00:00:00"/>
        <d v="2025-11-27T00:00:00"/>
        <d v="2025-10-07T00:00:00"/>
        <d v="2024-07-20T00:00:00"/>
        <d v="2025-01-04T00:00:00"/>
        <d v="2024-01-26T00:00:00"/>
        <d v="2024-10-10T00:00:00"/>
        <d v="2025-08-31T00:00:00"/>
        <d v="2024-05-06T00:00:00"/>
        <d v="2024-08-30T00:00:00"/>
        <d v="2025-03-04T00:00:00"/>
        <d v="2024-02-05T00:00:00"/>
        <d v="2025-10-02T00:00:00"/>
        <d v="2025-12-09T00:00:00"/>
        <d v="2024-05-30T00:00:00"/>
        <d v="2025-10-30T00:00:00"/>
        <d v="2025-01-01T00:00:00"/>
        <d v="2025-11-13T00:00:00"/>
        <d v="2024-07-08T00:00:00"/>
        <d v="2025-04-28T00:00:00"/>
        <d v="2025-08-27T00:00:00"/>
        <d v="2025-01-28T00:00:00"/>
        <d v="2025-05-28T00:00:00"/>
        <d v="2024-07-30T00:00:00"/>
        <d v="2025-10-26T00:00:00"/>
        <d v="2025-05-19T00:00:00"/>
        <d v="2024-06-10T00:00:00"/>
        <d v="2024-03-11T00:00:00"/>
        <d v="2024-09-19T00:00:00"/>
        <d v="2024-02-04T00:00:00"/>
        <d v="2025-08-17T00:00:00"/>
        <d v="2024-11-14T00:00:00"/>
        <d v="2024-12-05T00:00:00"/>
        <d v="2025-05-21T00:00:00"/>
        <d v="2025-02-01T00:00:00"/>
        <d v="2025-06-09T00:00:00"/>
        <d v="2025-02-10T00:00:00"/>
        <d v="2024-02-03T00:00:00"/>
        <d v="2025-08-15T00:00:00"/>
        <d v="2024-12-25T00:00:00"/>
        <d v="2025-07-16T00:00:00"/>
        <d v="2025-12-24T00:00:00"/>
        <d v="2024-09-08T00:00:00"/>
        <d v="2025-06-29T00:00:00"/>
        <d v="2024-09-07T00:00:00"/>
        <d v="2025-02-27T00:00:00"/>
        <d v="2024-10-30T00:00:00"/>
        <d v="2024-06-30T00:00:00"/>
        <d v="2024-05-19T00:00:00"/>
        <d v="2025-07-12T00:00:00"/>
        <d v="2024-01-05T00:00:00"/>
        <d v="2025-12-07T00:00:00"/>
        <d v="2025-08-16T00:00:00"/>
        <d v="2024-12-12T00:00:00"/>
        <d v="2024-04-17T00:00:00"/>
        <d v="2024-04-25T00:00:00"/>
        <d v="2024-02-14T00:00:00"/>
        <d v="2025-01-05T00:00:00"/>
        <d v="2025-07-18T00:00:00"/>
        <d v="2025-02-07T00:00:00"/>
        <d v="2025-01-06T00:00:00"/>
        <d v="2025-11-04T00:00:00"/>
        <d v="2025-07-25T00:00:00"/>
        <d v="2024-04-28T00:00:00"/>
        <d v="2025-10-16T00:00:00"/>
        <d v="2024-07-03T00:00:00"/>
        <d v="2024-12-28T00:00:00"/>
        <d v="2025-10-06T00:00:00"/>
        <d v="2025-03-28T00:00:00"/>
        <d v="2024-07-11T00:00:00"/>
        <d v="2025-10-21T00:00:00"/>
        <d v="2024-11-09T00:00:00"/>
        <d v="2024-08-07T00:00:00"/>
        <d v="2025-11-08T00:00:00"/>
        <d v="2024-04-07T00:00:00"/>
        <d v="2024-03-18T00:00:00"/>
        <d v="2025-06-17T00:00:00"/>
        <d v="2025-09-04T00:00:00"/>
        <d v="2025-06-07T00:00:00"/>
        <d v="2025-01-26T00:00:00"/>
        <d v="2024-11-10T00:00:00"/>
        <d v="2025-07-09T00:00:00"/>
      </sharedItems>
    </cacheField>
    <cacheField name="Project Status" numFmtId="0">
      <sharedItems count="4">
        <s v="Ongoing"/>
        <s v="Delayed"/>
        <s v="Completed"/>
        <s v="Cancelled"/>
      </sharedItems>
    </cacheField>
    <cacheField name="Allocated Budget (USD)" numFmtId="0">
      <sharedItems containsSemiMixedTypes="0" containsString="0" containsNumber="1" containsInteger="1" minValue="50615" maxValue="999826"/>
    </cacheField>
    <cacheField name="Actual Spending (USD)" numFmtId="0">
      <sharedItems containsSemiMixedTypes="0" containsString="0" containsNumber="1" containsInteger="1" minValue="30184" maxValue="1199949"/>
    </cacheField>
    <cacheField name="Region" numFmtId="0">
      <sharedItems count="5">
        <s v="South"/>
        <s v="West"/>
        <s v="East"/>
        <s v="Central"/>
        <s v="North"/>
      </sharedItems>
    </cacheField>
    <cacheField name="Quarter" numFmtId="0">
      <sharedItems count="4">
        <s v="Q3"/>
        <s v="Q1"/>
        <s v="Q2"/>
        <s v="Q4"/>
      </sharedItems>
    </cacheField>
    <cacheField name="Year" numFmtId="0">
      <sharedItems containsSemiMixedTypes="0" containsString="0" containsNumber="1" containsInteger="1" minValue="2023" maxValue="2025" count="3">
        <n v="2023"/>
        <n v="2024"/>
        <n v="2025"/>
      </sharedItems>
    </cacheField>
    <cacheField name="Variance (USD)" numFmtId="0">
      <sharedItems containsSemiMixedTypes="0" containsString="0" containsNumber="1" containsInteger="1" minValue="-1135960" maxValue="958521"/>
    </cacheField>
    <cacheField name="ROI (%)" numFmtId="0">
      <sharedItems containsSemiMixedTypes="0" containsString="0" containsNumber="1" minValue="-95.57541314070204" maxValue="2780.255830142708"/>
    </cacheField>
    <cacheField name="Remarks / Notes" numFmtId="0">
      <sharedItems/>
    </cacheField>
  </cacheFields>
  <extLst>
    <ext xmlns:x14="http://schemas.microsoft.com/office/spreadsheetml/2009/9/main" uri="{725AE2AE-9491-48be-B2B4-4EB974FC3084}">
      <x14:pivotCacheDefinition pivotCacheId="1613700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P0001"/>
    <s v="Project-202"/>
    <x v="0"/>
    <x v="0"/>
    <x v="0"/>
    <x v="0"/>
    <x v="0"/>
    <n v="779391"/>
    <n v="538365"/>
    <x v="0"/>
    <x v="0"/>
    <x v="0"/>
    <n v="241026"/>
    <n v="44.769998049650326"/>
    <s v="Work in progress"/>
  </r>
  <r>
    <s v="P0002"/>
    <s v="Project-535"/>
    <x v="1"/>
    <x v="1"/>
    <x v="1"/>
    <x v="1"/>
    <x v="0"/>
    <n v="280461"/>
    <n v="41093"/>
    <x v="1"/>
    <x v="1"/>
    <x v="0"/>
    <n v="239368"/>
    <n v="582.50310271822445"/>
    <s v="Work in progress"/>
  </r>
  <r>
    <s v="P0003"/>
    <s v="Project-960"/>
    <x v="2"/>
    <x v="0"/>
    <x v="2"/>
    <x v="2"/>
    <x v="0"/>
    <n v="638345"/>
    <n v="1029540"/>
    <x v="2"/>
    <x v="2"/>
    <x v="1"/>
    <n v="-391195"/>
    <n v="-37.997066651125742"/>
    <s v="Work in progress"/>
  </r>
  <r>
    <s v="P0004"/>
    <s v="Project-370"/>
    <x v="3"/>
    <x v="2"/>
    <x v="3"/>
    <x v="3"/>
    <x v="0"/>
    <n v="915041"/>
    <n v="102043"/>
    <x v="3"/>
    <x v="0"/>
    <x v="0"/>
    <n v="812998"/>
    <n v="796.7209901708103"/>
    <s v="Work in progress"/>
  </r>
  <r>
    <s v="P0005"/>
    <s v="Project-206"/>
    <x v="3"/>
    <x v="3"/>
    <x v="4"/>
    <x v="4"/>
    <x v="1"/>
    <n v="782267"/>
    <n v="416678"/>
    <x v="0"/>
    <x v="3"/>
    <x v="0"/>
    <n v="365589"/>
    <n v="87.738973499920803"/>
    <s v="Timeline extended"/>
  </r>
  <r>
    <s v="P0006"/>
    <s v="Project-171"/>
    <x v="1"/>
    <x v="2"/>
    <x v="5"/>
    <x v="5"/>
    <x v="0"/>
    <n v="264202"/>
    <n v="919297"/>
    <x v="4"/>
    <x v="2"/>
    <x v="2"/>
    <n v="-655095"/>
    <n v="-71.260430524629143"/>
    <s v="Work in progress"/>
  </r>
  <r>
    <s v="P0007"/>
    <s v="Project-800"/>
    <x v="3"/>
    <x v="0"/>
    <x v="6"/>
    <x v="6"/>
    <x v="2"/>
    <n v="192298"/>
    <n v="513263"/>
    <x v="3"/>
    <x v="1"/>
    <x v="2"/>
    <n v="-320965"/>
    <n v="-62.534217350559075"/>
    <s v="Project delivered successfully"/>
  </r>
  <r>
    <s v="P0008"/>
    <s v="Project-120"/>
    <x v="3"/>
    <x v="1"/>
    <x v="7"/>
    <x v="7"/>
    <x v="0"/>
    <n v="697396"/>
    <n v="587715"/>
    <x v="0"/>
    <x v="2"/>
    <x v="2"/>
    <n v="109681"/>
    <n v="18.662276783815283"/>
    <s v="Work in progress"/>
  </r>
  <r>
    <s v="P0009"/>
    <s v="Project-714"/>
    <x v="3"/>
    <x v="4"/>
    <x v="8"/>
    <x v="8"/>
    <x v="0"/>
    <n v="846478"/>
    <n v="946281"/>
    <x v="4"/>
    <x v="0"/>
    <x v="0"/>
    <n v="-99803"/>
    <n v="-10.546867156795919"/>
    <s v="Work in progress"/>
  </r>
  <r>
    <s v="P0010"/>
    <s v="Project-221"/>
    <x v="4"/>
    <x v="5"/>
    <x v="9"/>
    <x v="9"/>
    <x v="2"/>
    <n v="296027"/>
    <n v="401983"/>
    <x v="1"/>
    <x v="2"/>
    <x v="0"/>
    <n v="-105956"/>
    <n v="-26.358328586034734"/>
    <s v="Project delivered successfully"/>
  </r>
  <r>
    <s v="P0011"/>
    <s v="Project-566"/>
    <x v="2"/>
    <x v="5"/>
    <x v="10"/>
    <x v="10"/>
    <x v="1"/>
    <n v="953894"/>
    <n v="1068991"/>
    <x v="4"/>
    <x v="2"/>
    <x v="0"/>
    <n v="-115097"/>
    <n v="-10.76688204110231"/>
    <s v="Timeline extended"/>
  </r>
  <r>
    <s v="P0012"/>
    <s v="Project-314"/>
    <x v="5"/>
    <x v="5"/>
    <x v="11"/>
    <x v="11"/>
    <x v="0"/>
    <n v="945777"/>
    <n v="1061510"/>
    <x v="3"/>
    <x v="3"/>
    <x v="1"/>
    <n v="-115733"/>
    <n v="-10.902676376105735"/>
    <s v="Work in progress"/>
  </r>
  <r>
    <s v="P0013"/>
    <s v="Project-430"/>
    <x v="2"/>
    <x v="4"/>
    <x v="12"/>
    <x v="12"/>
    <x v="2"/>
    <n v="87117"/>
    <n v="708731"/>
    <x v="2"/>
    <x v="2"/>
    <x v="1"/>
    <n v="-621614"/>
    <n v="-87.708030268183563"/>
    <s v="Project delivered successfully"/>
  </r>
  <r>
    <s v="P0014"/>
    <s v="Project-558"/>
    <x v="1"/>
    <x v="5"/>
    <x v="13"/>
    <x v="13"/>
    <x v="2"/>
    <n v="179980"/>
    <n v="1042986"/>
    <x v="4"/>
    <x v="1"/>
    <x v="2"/>
    <n v="-863006"/>
    <n v="-82.743776043014961"/>
    <s v="Project delivered successfully"/>
  </r>
  <r>
    <s v="P0015"/>
    <s v="Project-187"/>
    <x v="3"/>
    <x v="1"/>
    <x v="14"/>
    <x v="14"/>
    <x v="0"/>
    <n v="972469"/>
    <n v="250967"/>
    <x v="2"/>
    <x v="2"/>
    <x v="1"/>
    <n v="721502"/>
    <n v="287.48879334733249"/>
    <s v="Work in progress"/>
  </r>
  <r>
    <s v="P0016"/>
    <s v="Project-472"/>
    <x v="2"/>
    <x v="4"/>
    <x v="15"/>
    <x v="15"/>
    <x v="0"/>
    <n v="259944"/>
    <n v="264625"/>
    <x v="2"/>
    <x v="3"/>
    <x v="1"/>
    <n v="-4681"/>
    <n v="-1.7689182805857344"/>
    <s v="Work in progress"/>
  </r>
  <r>
    <s v="P0017"/>
    <s v="Project-199"/>
    <x v="4"/>
    <x v="5"/>
    <x v="16"/>
    <x v="16"/>
    <x v="3"/>
    <n v="238349"/>
    <n v="140949"/>
    <x v="4"/>
    <x v="0"/>
    <x v="1"/>
    <n v="97400"/>
    <n v="69.103008889740252"/>
    <s v="Project cancelled"/>
  </r>
  <r>
    <s v="P0018"/>
    <s v="Project-971"/>
    <x v="6"/>
    <x v="4"/>
    <x v="17"/>
    <x v="17"/>
    <x v="0"/>
    <n v="790739"/>
    <n v="319459"/>
    <x v="1"/>
    <x v="2"/>
    <x v="2"/>
    <n v="471280"/>
    <n v="147.52440845304091"/>
    <s v="Work in progress"/>
  </r>
  <r>
    <s v="P0019"/>
    <s v="Project-763"/>
    <x v="1"/>
    <x v="0"/>
    <x v="18"/>
    <x v="18"/>
    <x v="0"/>
    <n v="502829"/>
    <n v="113804"/>
    <x v="4"/>
    <x v="2"/>
    <x v="2"/>
    <n v="389025"/>
    <n v="341.83772099398965"/>
    <s v="Work in progress"/>
  </r>
  <r>
    <s v="P0020"/>
    <s v="Project-230"/>
    <x v="7"/>
    <x v="6"/>
    <x v="19"/>
    <x v="19"/>
    <x v="0"/>
    <n v="591661"/>
    <n v="730897"/>
    <x v="0"/>
    <x v="3"/>
    <x v="1"/>
    <n v="-139236"/>
    <n v="-19.05001662340932"/>
    <s v="Work in progress"/>
  </r>
  <r>
    <s v="P0021"/>
    <s v="Project-761"/>
    <x v="2"/>
    <x v="6"/>
    <x v="20"/>
    <x v="20"/>
    <x v="2"/>
    <n v="95452"/>
    <n v="502913"/>
    <x v="2"/>
    <x v="3"/>
    <x v="0"/>
    <n v="-407461"/>
    <n v="-81.020176451990693"/>
    <s v="Project delivered successfully"/>
  </r>
  <r>
    <s v="P0022"/>
    <s v="Project-408"/>
    <x v="7"/>
    <x v="1"/>
    <x v="21"/>
    <x v="21"/>
    <x v="2"/>
    <n v="231161"/>
    <n v="651645"/>
    <x v="3"/>
    <x v="3"/>
    <x v="2"/>
    <n v="-420484"/>
    <n v="-64.52654436080995"/>
    <s v="Project delivered successfully"/>
  </r>
  <r>
    <s v="P0023"/>
    <s v="Project-869"/>
    <x v="3"/>
    <x v="7"/>
    <x v="22"/>
    <x v="22"/>
    <x v="2"/>
    <n v="56654"/>
    <n v="236337"/>
    <x v="2"/>
    <x v="2"/>
    <x v="1"/>
    <n v="-179683"/>
    <n v="-76.028298573646964"/>
    <s v="Project delivered successfully"/>
  </r>
  <r>
    <s v="P0024"/>
    <s v="Project-443"/>
    <x v="4"/>
    <x v="3"/>
    <x v="23"/>
    <x v="23"/>
    <x v="0"/>
    <n v="998784"/>
    <n v="878677"/>
    <x v="3"/>
    <x v="1"/>
    <x v="0"/>
    <n v="120107"/>
    <n v="13.669072935788693"/>
    <s v="Work in progress"/>
  </r>
  <r>
    <s v="P0025"/>
    <s v="Project-591"/>
    <x v="4"/>
    <x v="5"/>
    <x v="2"/>
    <x v="24"/>
    <x v="1"/>
    <n v="237213"/>
    <n v="740827"/>
    <x v="0"/>
    <x v="3"/>
    <x v="0"/>
    <n v="-503614"/>
    <n v="-67.979973732058909"/>
    <s v="Timeline extended"/>
  </r>
  <r>
    <s v="P0026"/>
    <s v="Project-513"/>
    <x v="2"/>
    <x v="3"/>
    <x v="24"/>
    <x v="25"/>
    <x v="0"/>
    <n v="173319"/>
    <n v="589421"/>
    <x v="0"/>
    <x v="0"/>
    <x v="2"/>
    <n v="-416102"/>
    <n v="-70.595041574697888"/>
    <s v="Work in progress"/>
  </r>
  <r>
    <s v="P0027"/>
    <s v="Project-905"/>
    <x v="1"/>
    <x v="4"/>
    <x v="25"/>
    <x v="26"/>
    <x v="0"/>
    <n v="942078"/>
    <n v="598286"/>
    <x v="0"/>
    <x v="2"/>
    <x v="0"/>
    <n v="343792"/>
    <n v="57.462818785664382"/>
    <s v="Work in progress"/>
  </r>
  <r>
    <s v="P0028"/>
    <s v="Project-485"/>
    <x v="1"/>
    <x v="3"/>
    <x v="26"/>
    <x v="27"/>
    <x v="0"/>
    <n v="269015"/>
    <n v="1126821"/>
    <x v="4"/>
    <x v="0"/>
    <x v="2"/>
    <n v="-857806"/>
    <n v="-76.126199280986057"/>
    <s v="Work in progress"/>
  </r>
  <r>
    <s v="P0029"/>
    <s v="Project-291"/>
    <x v="4"/>
    <x v="1"/>
    <x v="27"/>
    <x v="28"/>
    <x v="0"/>
    <n v="511110"/>
    <n v="257810"/>
    <x v="2"/>
    <x v="0"/>
    <x v="1"/>
    <n v="253300"/>
    <n v="98.250649703269858"/>
    <s v="Work in progress"/>
  </r>
  <r>
    <s v="P0030"/>
    <s v="Project-376"/>
    <x v="1"/>
    <x v="1"/>
    <x v="28"/>
    <x v="29"/>
    <x v="1"/>
    <n v="863015"/>
    <n v="1143650"/>
    <x v="3"/>
    <x v="1"/>
    <x v="2"/>
    <n v="-280635"/>
    <n v="-24.538538888646002"/>
    <s v="Timeline extended"/>
  </r>
  <r>
    <s v="P0031"/>
    <s v="Project-260"/>
    <x v="4"/>
    <x v="2"/>
    <x v="29"/>
    <x v="30"/>
    <x v="1"/>
    <n v="823393"/>
    <n v="88204"/>
    <x v="0"/>
    <x v="0"/>
    <x v="0"/>
    <n v="735189"/>
    <n v="833.50981814883676"/>
    <s v="Timeline extended"/>
  </r>
  <r>
    <s v="P0032"/>
    <s v="Project-559"/>
    <x v="2"/>
    <x v="6"/>
    <x v="30"/>
    <x v="31"/>
    <x v="0"/>
    <n v="668530"/>
    <n v="783957"/>
    <x v="0"/>
    <x v="3"/>
    <x v="2"/>
    <n v="-115427"/>
    <n v="-14.723639179189673"/>
    <s v="Work in progress"/>
  </r>
  <r>
    <s v="P0033"/>
    <s v="Project-413"/>
    <x v="5"/>
    <x v="5"/>
    <x v="31"/>
    <x v="32"/>
    <x v="1"/>
    <n v="973864"/>
    <n v="710935"/>
    <x v="3"/>
    <x v="3"/>
    <x v="2"/>
    <n v="262929"/>
    <n v="36.983549832263144"/>
    <s v="Timeline extended"/>
  </r>
  <r>
    <s v="P0034"/>
    <s v="Project-121"/>
    <x v="4"/>
    <x v="2"/>
    <x v="32"/>
    <x v="33"/>
    <x v="2"/>
    <n v="628256"/>
    <n v="503479"/>
    <x v="2"/>
    <x v="2"/>
    <x v="1"/>
    <n v="124777"/>
    <n v="24.782960163184562"/>
    <s v="Project delivered successfully"/>
  </r>
  <r>
    <s v="P0035"/>
    <s v="Project-352"/>
    <x v="7"/>
    <x v="3"/>
    <x v="33"/>
    <x v="34"/>
    <x v="1"/>
    <n v="709103"/>
    <n v="967573"/>
    <x v="2"/>
    <x v="1"/>
    <x v="0"/>
    <n v="-258470"/>
    <n v="-26.713229906167285"/>
    <s v="Timeline extended"/>
  </r>
  <r>
    <s v="P0036"/>
    <s v="Project-847"/>
    <x v="1"/>
    <x v="7"/>
    <x v="34"/>
    <x v="35"/>
    <x v="0"/>
    <n v="450375"/>
    <n v="971650"/>
    <x v="3"/>
    <x v="1"/>
    <x v="2"/>
    <n v="-521275"/>
    <n v="-53.648433077754333"/>
    <s v="Work in progress"/>
  </r>
  <r>
    <s v="P0037"/>
    <s v="Project-956"/>
    <x v="4"/>
    <x v="2"/>
    <x v="35"/>
    <x v="36"/>
    <x v="2"/>
    <n v="213223"/>
    <n v="53694"/>
    <x v="1"/>
    <x v="0"/>
    <x v="1"/>
    <n v="159529"/>
    <n v="297.10768428502251"/>
    <s v="Project delivered successfully"/>
  </r>
  <r>
    <s v="P0038"/>
    <s v="Project-660"/>
    <x v="4"/>
    <x v="2"/>
    <x v="36"/>
    <x v="37"/>
    <x v="0"/>
    <n v="181590"/>
    <n v="996942"/>
    <x v="2"/>
    <x v="1"/>
    <x v="1"/>
    <n v="-815352"/>
    <n v="-81.785299445704965"/>
    <s v="Work in progress"/>
  </r>
  <r>
    <s v="P0039"/>
    <s v="Project-574"/>
    <x v="2"/>
    <x v="1"/>
    <x v="37"/>
    <x v="37"/>
    <x v="1"/>
    <n v="328796"/>
    <n v="618162"/>
    <x v="3"/>
    <x v="0"/>
    <x v="1"/>
    <n v="-289366"/>
    <n v="-46.810706578534429"/>
    <s v="Timeline extended"/>
  </r>
  <r>
    <s v="P0040"/>
    <s v="Project-158"/>
    <x v="1"/>
    <x v="7"/>
    <x v="38"/>
    <x v="38"/>
    <x v="0"/>
    <n v="521677"/>
    <n v="1176237"/>
    <x v="3"/>
    <x v="0"/>
    <x v="1"/>
    <n v="-654560"/>
    <n v="-55.648649039266751"/>
    <s v="Work in progress"/>
  </r>
  <r>
    <s v="P0041"/>
    <s v="Project-610"/>
    <x v="5"/>
    <x v="4"/>
    <x v="39"/>
    <x v="39"/>
    <x v="2"/>
    <n v="687402"/>
    <n v="745042"/>
    <x v="0"/>
    <x v="1"/>
    <x v="1"/>
    <n v="-57640"/>
    <n v="-7.7364766013191204"/>
    <s v="Project delivered successfully"/>
  </r>
  <r>
    <s v="P0042"/>
    <s v="Project-781"/>
    <x v="2"/>
    <x v="3"/>
    <x v="40"/>
    <x v="40"/>
    <x v="0"/>
    <n v="295615"/>
    <n v="729560"/>
    <x v="3"/>
    <x v="2"/>
    <x v="2"/>
    <n v="-433945"/>
    <n v="-59.480371730906299"/>
    <s v="Work in progress"/>
  </r>
  <r>
    <s v="P0043"/>
    <s v="Project-575"/>
    <x v="5"/>
    <x v="2"/>
    <x v="41"/>
    <x v="41"/>
    <x v="0"/>
    <n v="825492"/>
    <n v="52970"/>
    <x v="4"/>
    <x v="0"/>
    <x v="2"/>
    <n v="772522"/>
    <n v="1458.4141967151218"/>
    <s v="Work in progress"/>
  </r>
  <r>
    <s v="P0044"/>
    <s v="Project-799"/>
    <x v="6"/>
    <x v="7"/>
    <x v="42"/>
    <x v="42"/>
    <x v="2"/>
    <n v="414633"/>
    <n v="958399"/>
    <x v="0"/>
    <x v="3"/>
    <x v="0"/>
    <n v="-543766"/>
    <n v="-56.73691228809713"/>
    <s v="Project delivered successfully"/>
  </r>
  <r>
    <s v="P0045"/>
    <s v="Project-882"/>
    <x v="2"/>
    <x v="6"/>
    <x v="43"/>
    <x v="43"/>
    <x v="1"/>
    <n v="284537"/>
    <n v="445474"/>
    <x v="0"/>
    <x v="3"/>
    <x v="2"/>
    <n v="-160937"/>
    <n v="-36.127136488324794"/>
    <s v="Timeline extended"/>
  </r>
  <r>
    <s v="P0046"/>
    <s v="Project-289"/>
    <x v="1"/>
    <x v="5"/>
    <x v="44"/>
    <x v="44"/>
    <x v="2"/>
    <n v="223420"/>
    <n v="1135876"/>
    <x v="2"/>
    <x v="1"/>
    <x v="0"/>
    <n v="-912456"/>
    <n v="-80.330599466843211"/>
    <s v="Project delivered successfully"/>
  </r>
  <r>
    <s v="P0047"/>
    <s v="Project-786"/>
    <x v="0"/>
    <x v="7"/>
    <x v="45"/>
    <x v="45"/>
    <x v="1"/>
    <n v="780782"/>
    <n v="91915"/>
    <x v="1"/>
    <x v="1"/>
    <x v="0"/>
    <n v="688867"/>
    <n v="749.46091497579289"/>
    <s v="Timeline extended"/>
  </r>
  <r>
    <s v="P0048"/>
    <s v="Project-662"/>
    <x v="1"/>
    <x v="6"/>
    <x v="46"/>
    <x v="46"/>
    <x v="0"/>
    <n v="127001"/>
    <n v="629435"/>
    <x v="2"/>
    <x v="0"/>
    <x v="0"/>
    <n v="-502434"/>
    <n v="-79.823015879320351"/>
    <s v="Work in progress"/>
  </r>
  <r>
    <s v="P0049"/>
    <s v="Project-975"/>
    <x v="1"/>
    <x v="3"/>
    <x v="47"/>
    <x v="47"/>
    <x v="0"/>
    <n v="960701"/>
    <n v="96535"/>
    <x v="4"/>
    <x v="0"/>
    <x v="2"/>
    <n v="864166"/>
    <n v="895.18413010825077"/>
    <s v="Work in progress"/>
  </r>
  <r>
    <s v="P0050"/>
    <s v="Project-666"/>
    <x v="5"/>
    <x v="7"/>
    <x v="48"/>
    <x v="48"/>
    <x v="0"/>
    <n v="561769"/>
    <n v="722244"/>
    <x v="0"/>
    <x v="3"/>
    <x v="1"/>
    <n v="-160475"/>
    <n v="-22.218945397954155"/>
    <s v="Work in progress"/>
  </r>
  <r>
    <s v="P0051"/>
    <s v="Project-343"/>
    <x v="5"/>
    <x v="6"/>
    <x v="49"/>
    <x v="49"/>
    <x v="0"/>
    <n v="126757"/>
    <n v="919147"/>
    <x v="0"/>
    <x v="0"/>
    <x v="0"/>
    <n v="-792390"/>
    <n v="-86.209278820471596"/>
    <s v="Work in progress"/>
  </r>
  <r>
    <s v="P0052"/>
    <s v="Project-931"/>
    <x v="1"/>
    <x v="7"/>
    <x v="50"/>
    <x v="50"/>
    <x v="2"/>
    <n v="598683"/>
    <n v="215576"/>
    <x v="3"/>
    <x v="3"/>
    <x v="1"/>
    <n v="383107"/>
    <n v="177.71319627416781"/>
    <s v="Project delivered successfully"/>
  </r>
  <r>
    <s v="P0053"/>
    <s v="Project-604"/>
    <x v="1"/>
    <x v="7"/>
    <x v="51"/>
    <x v="51"/>
    <x v="2"/>
    <n v="183407"/>
    <n v="204953"/>
    <x v="1"/>
    <x v="0"/>
    <x v="0"/>
    <n v="-21546"/>
    <n v="-10.512654120700844"/>
    <s v="Project delivered successfully"/>
  </r>
  <r>
    <s v="P0054"/>
    <s v="Project-230"/>
    <x v="1"/>
    <x v="5"/>
    <x v="52"/>
    <x v="52"/>
    <x v="2"/>
    <n v="676266"/>
    <n v="474629"/>
    <x v="1"/>
    <x v="2"/>
    <x v="2"/>
    <n v="201637"/>
    <n v="42.483076255348919"/>
    <s v="Project delivered successfully"/>
  </r>
  <r>
    <s v="P0055"/>
    <s v="Project-584"/>
    <x v="5"/>
    <x v="6"/>
    <x v="26"/>
    <x v="53"/>
    <x v="2"/>
    <n v="513328"/>
    <n v="777417"/>
    <x v="3"/>
    <x v="2"/>
    <x v="0"/>
    <n v="-264089"/>
    <n v="-33.970057253700396"/>
    <s v="Project delivered successfully"/>
  </r>
  <r>
    <s v="P0056"/>
    <s v="Project-918"/>
    <x v="1"/>
    <x v="6"/>
    <x v="53"/>
    <x v="54"/>
    <x v="2"/>
    <n v="294348"/>
    <n v="977143"/>
    <x v="4"/>
    <x v="3"/>
    <x v="2"/>
    <n v="-682795"/>
    <n v="-69.876671070662127"/>
    <s v="Project delivered successfully"/>
  </r>
  <r>
    <s v="P0057"/>
    <s v="Project-746"/>
    <x v="1"/>
    <x v="2"/>
    <x v="54"/>
    <x v="55"/>
    <x v="0"/>
    <n v="705860"/>
    <n v="782345"/>
    <x v="1"/>
    <x v="2"/>
    <x v="1"/>
    <n v="-76485"/>
    <n v="-9.7763774293949606"/>
    <s v="Work in progress"/>
  </r>
  <r>
    <s v="P0058"/>
    <s v="Project-120"/>
    <x v="6"/>
    <x v="3"/>
    <x v="55"/>
    <x v="56"/>
    <x v="0"/>
    <n v="698829"/>
    <n v="954399"/>
    <x v="0"/>
    <x v="2"/>
    <x v="2"/>
    <n v="-255570"/>
    <n v="-26.778108526936844"/>
    <s v="Work in progress"/>
  </r>
  <r>
    <s v="P0059"/>
    <s v="Project-940"/>
    <x v="3"/>
    <x v="5"/>
    <x v="56"/>
    <x v="57"/>
    <x v="2"/>
    <n v="273283"/>
    <n v="909947"/>
    <x v="4"/>
    <x v="1"/>
    <x v="1"/>
    <n v="-636664"/>
    <n v="-69.967151933024667"/>
    <s v="Project delivered successfully"/>
  </r>
  <r>
    <s v="P0060"/>
    <s v="Project-266"/>
    <x v="0"/>
    <x v="7"/>
    <x v="57"/>
    <x v="58"/>
    <x v="0"/>
    <n v="844515"/>
    <n v="1130718"/>
    <x v="2"/>
    <x v="0"/>
    <x v="2"/>
    <n v="-286203"/>
    <n v="-25.311616158936179"/>
    <s v="Work in progress"/>
  </r>
  <r>
    <s v="P0061"/>
    <s v="Project-373"/>
    <x v="7"/>
    <x v="7"/>
    <x v="58"/>
    <x v="59"/>
    <x v="0"/>
    <n v="418742"/>
    <n v="960056"/>
    <x v="2"/>
    <x v="1"/>
    <x v="0"/>
    <n v="-541314"/>
    <n v="-56.383585957485813"/>
    <s v="Work in progress"/>
  </r>
  <r>
    <s v="P0062"/>
    <s v="Project-487"/>
    <x v="0"/>
    <x v="2"/>
    <x v="59"/>
    <x v="60"/>
    <x v="0"/>
    <n v="262328"/>
    <n v="1171506"/>
    <x v="4"/>
    <x v="3"/>
    <x v="0"/>
    <n v="-909178"/>
    <n v="-77.607626422741333"/>
    <s v="Work in progress"/>
  </r>
  <r>
    <s v="P0063"/>
    <s v="Project-700"/>
    <x v="3"/>
    <x v="3"/>
    <x v="60"/>
    <x v="61"/>
    <x v="2"/>
    <n v="448759"/>
    <n v="127812"/>
    <x v="0"/>
    <x v="1"/>
    <x v="2"/>
    <n v="320947"/>
    <n v="251.10865959377838"/>
    <s v="Project delivered successfully"/>
  </r>
  <r>
    <s v="P0064"/>
    <s v="Project-415"/>
    <x v="7"/>
    <x v="1"/>
    <x v="61"/>
    <x v="62"/>
    <x v="0"/>
    <n v="757597"/>
    <n v="194702"/>
    <x v="2"/>
    <x v="3"/>
    <x v="1"/>
    <n v="562895"/>
    <n v="289.10591570708056"/>
    <s v="Work in progress"/>
  </r>
  <r>
    <s v="P0065"/>
    <s v="Project-113"/>
    <x v="2"/>
    <x v="5"/>
    <x v="62"/>
    <x v="63"/>
    <x v="2"/>
    <n v="408315"/>
    <n v="1180675"/>
    <x v="0"/>
    <x v="2"/>
    <x v="1"/>
    <n v="-772360"/>
    <n v="-65.416816651491729"/>
    <s v="Project delivered successfully"/>
  </r>
  <r>
    <s v="P0066"/>
    <s v="Project-341"/>
    <x v="1"/>
    <x v="2"/>
    <x v="63"/>
    <x v="64"/>
    <x v="2"/>
    <n v="694711"/>
    <n v="730924"/>
    <x v="3"/>
    <x v="1"/>
    <x v="1"/>
    <n v="-36213"/>
    <n v="-4.9544138651898146"/>
    <s v="Project delivered successfully"/>
  </r>
  <r>
    <s v="P0067"/>
    <s v="Project-876"/>
    <x v="3"/>
    <x v="3"/>
    <x v="64"/>
    <x v="65"/>
    <x v="0"/>
    <n v="795076"/>
    <n v="229530"/>
    <x v="1"/>
    <x v="2"/>
    <x v="2"/>
    <n v="565546"/>
    <n v="246.39306408748314"/>
    <s v="Work in progress"/>
  </r>
  <r>
    <s v="P0068"/>
    <s v="Project-445"/>
    <x v="6"/>
    <x v="5"/>
    <x v="65"/>
    <x v="7"/>
    <x v="2"/>
    <n v="580901"/>
    <n v="297993"/>
    <x v="4"/>
    <x v="0"/>
    <x v="2"/>
    <n v="282908"/>
    <n v="94.937800552361978"/>
    <s v="Project delivered successfully"/>
  </r>
  <r>
    <s v="P0069"/>
    <s v="Project-664"/>
    <x v="2"/>
    <x v="7"/>
    <x v="66"/>
    <x v="66"/>
    <x v="2"/>
    <n v="946465"/>
    <n v="1043340"/>
    <x v="1"/>
    <x v="2"/>
    <x v="2"/>
    <n v="-96875"/>
    <n v="-9.2850844403550141"/>
    <s v="Project delivered successfully"/>
  </r>
  <r>
    <s v="P0070"/>
    <s v="Project-997"/>
    <x v="1"/>
    <x v="3"/>
    <x v="67"/>
    <x v="67"/>
    <x v="2"/>
    <n v="247935"/>
    <n v="866746"/>
    <x v="3"/>
    <x v="0"/>
    <x v="2"/>
    <n v="-618811"/>
    <n v="-71.394733866669128"/>
    <s v="Project delivered successfully"/>
  </r>
  <r>
    <s v="P0071"/>
    <s v="Project-439"/>
    <x v="5"/>
    <x v="3"/>
    <x v="68"/>
    <x v="68"/>
    <x v="2"/>
    <n v="912634"/>
    <n v="206796"/>
    <x v="2"/>
    <x v="2"/>
    <x v="1"/>
    <n v="705838"/>
    <n v="341.32091529816825"/>
    <s v="Project delivered successfully"/>
  </r>
  <r>
    <s v="P0072"/>
    <s v="Project-191"/>
    <x v="4"/>
    <x v="4"/>
    <x v="69"/>
    <x v="69"/>
    <x v="0"/>
    <n v="993759"/>
    <n v="309374"/>
    <x v="0"/>
    <x v="1"/>
    <x v="1"/>
    <n v="684385"/>
    <n v="221.21606857719138"/>
    <s v="Work in progress"/>
  </r>
  <r>
    <s v="P0073"/>
    <s v="Project-466"/>
    <x v="3"/>
    <x v="3"/>
    <x v="70"/>
    <x v="70"/>
    <x v="2"/>
    <n v="572349"/>
    <n v="364639"/>
    <x v="0"/>
    <x v="1"/>
    <x v="2"/>
    <n v="207710"/>
    <n v="56.963188249199895"/>
    <s v="Project delivered successfully"/>
  </r>
  <r>
    <s v="P0074"/>
    <s v="Project-554"/>
    <x v="5"/>
    <x v="1"/>
    <x v="71"/>
    <x v="61"/>
    <x v="0"/>
    <n v="135666"/>
    <n v="393534"/>
    <x v="3"/>
    <x v="2"/>
    <x v="2"/>
    <n v="-257868"/>
    <n v="-65.526231532726513"/>
    <s v="Work in progress"/>
  </r>
  <r>
    <s v="P0075"/>
    <s v="Project-527"/>
    <x v="3"/>
    <x v="3"/>
    <x v="36"/>
    <x v="71"/>
    <x v="1"/>
    <n v="596356"/>
    <n v="930155"/>
    <x v="4"/>
    <x v="3"/>
    <x v="1"/>
    <n v="-333799"/>
    <n v="-35.886384527309964"/>
    <s v="Timeline extended"/>
  </r>
  <r>
    <s v="P0076"/>
    <s v="Project-608"/>
    <x v="6"/>
    <x v="1"/>
    <x v="72"/>
    <x v="72"/>
    <x v="1"/>
    <n v="885489"/>
    <n v="295467"/>
    <x v="1"/>
    <x v="3"/>
    <x v="1"/>
    <n v="590022"/>
    <n v="199.69133608829412"/>
    <s v="Timeline extended"/>
  </r>
  <r>
    <s v="P0077"/>
    <s v="Project-875"/>
    <x v="3"/>
    <x v="7"/>
    <x v="73"/>
    <x v="73"/>
    <x v="2"/>
    <n v="855378"/>
    <n v="695323"/>
    <x v="2"/>
    <x v="0"/>
    <x v="0"/>
    <n v="160055"/>
    <n v="23.018798457695201"/>
    <s v="Project delivered successfully"/>
  </r>
  <r>
    <s v="P0078"/>
    <s v="Project-134"/>
    <x v="5"/>
    <x v="1"/>
    <x v="74"/>
    <x v="74"/>
    <x v="0"/>
    <n v="725907"/>
    <n v="998015"/>
    <x v="4"/>
    <x v="0"/>
    <x v="2"/>
    <n v="-272108"/>
    <n v="-27.264920867922825"/>
    <s v="Work in progress"/>
  </r>
  <r>
    <s v="P0079"/>
    <s v="Project-305"/>
    <x v="6"/>
    <x v="5"/>
    <x v="75"/>
    <x v="75"/>
    <x v="0"/>
    <n v="659525"/>
    <n v="1070402"/>
    <x v="3"/>
    <x v="2"/>
    <x v="0"/>
    <n v="-410877"/>
    <n v="-38.385298233747697"/>
    <s v="Work in progress"/>
  </r>
  <r>
    <s v="P0080"/>
    <s v="Project-180"/>
    <x v="7"/>
    <x v="7"/>
    <x v="62"/>
    <x v="76"/>
    <x v="0"/>
    <n v="317913"/>
    <n v="937233"/>
    <x v="3"/>
    <x v="1"/>
    <x v="1"/>
    <n v="-619320"/>
    <n v="-66.079619475626657"/>
    <s v="Work in progress"/>
  </r>
  <r>
    <s v="P0081"/>
    <s v="Project-661"/>
    <x v="0"/>
    <x v="7"/>
    <x v="76"/>
    <x v="77"/>
    <x v="0"/>
    <n v="730243"/>
    <n v="700797"/>
    <x v="0"/>
    <x v="0"/>
    <x v="1"/>
    <n v="29446"/>
    <n v="4.2017873934962617"/>
    <s v="Work in progress"/>
  </r>
  <r>
    <s v="P0082"/>
    <s v="Project-971"/>
    <x v="1"/>
    <x v="1"/>
    <x v="77"/>
    <x v="78"/>
    <x v="0"/>
    <n v="635628"/>
    <n v="1160523"/>
    <x v="2"/>
    <x v="2"/>
    <x v="2"/>
    <n v="-524895"/>
    <n v="-45.229176845267176"/>
    <s v="Work in progress"/>
  </r>
  <r>
    <s v="P0083"/>
    <s v="Project-487"/>
    <x v="3"/>
    <x v="6"/>
    <x v="78"/>
    <x v="79"/>
    <x v="0"/>
    <n v="129199"/>
    <n v="546655"/>
    <x v="4"/>
    <x v="0"/>
    <x v="0"/>
    <n v="-417456"/>
    <n v="-76.365532191235786"/>
    <s v="Work in progress"/>
  </r>
  <r>
    <s v="P0084"/>
    <s v="Project-101"/>
    <x v="1"/>
    <x v="2"/>
    <x v="79"/>
    <x v="80"/>
    <x v="0"/>
    <n v="154222"/>
    <n v="305631"/>
    <x v="0"/>
    <x v="1"/>
    <x v="1"/>
    <n v="-151409"/>
    <n v="-49.539804535534685"/>
    <s v="Work in progress"/>
  </r>
  <r>
    <s v="P0085"/>
    <s v="Project-489"/>
    <x v="4"/>
    <x v="0"/>
    <x v="80"/>
    <x v="81"/>
    <x v="3"/>
    <n v="283931"/>
    <n v="675148"/>
    <x v="2"/>
    <x v="0"/>
    <x v="0"/>
    <n v="-391217"/>
    <n v="-57.945369015386262"/>
    <s v="Project cancelled"/>
  </r>
  <r>
    <s v="P0086"/>
    <s v="Project-665"/>
    <x v="5"/>
    <x v="6"/>
    <x v="81"/>
    <x v="82"/>
    <x v="0"/>
    <n v="216234"/>
    <n v="949483"/>
    <x v="1"/>
    <x v="2"/>
    <x v="0"/>
    <n v="-733249"/>
    <n v="-77.226132537391408"/>
    <s v="Work in progress"/>
  </r>
  <r>
    <s v="P0087"/>
    <s v="Project-205"/>
    <x v="1"/>
    <x v="3"/>
    <x v="82"/>
    <x v="83"/>
    <x v="1"/>
    <n v="531604"/>
    <n v="417740"/>
    <x v="1"/>
    <x v="0"/>
    <x v="0"/>
    <n v="113864"/>
    <n v="27.257145592952554"/>
    <s v="Timeline extended"/>
  </r>
  <r>
    <s v="P0088"/>
    <s v="Project-871"/>
    <x v="5"/>
    <x v="4"/>
    <x v="83"/>
    <x v="84"/>
    <x v="1"/>
    <n v="83434"/>
    <n v="628831"/>
    <x v="0"/>
    <x v="3"/>
    <x v="0"/>
    <n v="-545397"/>
    <n v="-86.731888217979076"/>
    <s v="Timeline extended"/>
  </r>
  <r>
    <s v="P0089"/>
    <s v="Project-921"/>
    <x v="1"/>
    <x v="0"/>
    <x v="84"/>
    <x v="85"/>
    <x v="0"/>
    <n v="858534"/>
    <n v="1113670"/>
    <x v="4"/>
    <x v="0"/>
    <x v="0"/>
    <n v="-255136"/>
    <n v="-22.909479468783392"/>
    <s v="Work in progress"/>
  </r>
  <r>
    <s v="P0090"/>
    <s v="Project-576"/>
    <x v="0"/>
    <x v="3"/>
    <x v="85"/>
    <x v="18"/>
    <x v="2"/>
    <n v="71536"/>
    <n v="982602"/>
    <x v="2"/>
    <x v="1"/>
    <x v="2"/>
    <n v="-911066"/>
    <n v="-92.719738001754521"/>
    <s v="Project delivered successfully"/>
  </r>
  <r>
    <s v="P0091"/>
    <s v="Project-802"/>
    <x v="0"/>
    <x v="6"/>
    <x v="46"/>
    <x v="86"/>
    <x v="0"/>
    <n v="783251"/>
    <n v="757344"/>
    <x v="1"/>
    <x v="1"/>
    <x v="2"/>
    <n v="25907"/>
    <n v="3.420770482105886"/>
    <s v="Work in progress"/>
  </r>
  <r>
    <s v="P0092"/>
    <s v="Project-501"/>
    <x v="6"/>
    <x v="6"/>
    <x v="86"/>
    <x v="87"/>
    <x v="2"/>
    <n v="773130"/>
    <n v="331749"/>
    <x v="1"/>
    <x v="1"/>
    <x v="0"/>
    <n v="441381"/>
    <n v="133.04667082643806"/>
    <s v="Project delivered successfully"/>
  </r>
  <r>
    <s v="P0093"/>
    <s v="Project-829"/>
    <x v="0"/>
    <x v="3"/>
    <x v="87"/>
    <x v="88"/>
    <x v="0"/>
    <n v="154639"/>
    <n v="107932"/>
    <x v="4"/>
    <x v="1"/>
    <x v="2"/>
    <n v="46707"/>
    <n v="43.274469110180483"/>
    <s v="Work in progress"/>
  </r>
  <r>
    <s v="P0094"/>
    <s v="Project-655"/>
    <x v="6"/>
    <x v="7"/>
    <x v="88"/>
    <x v="89"/>
    <x v="0"/>
    <n v="493604"/>
    <n v="582169"/>
    <x v="0"/>
    <x v="2"/>
    <x v="1"/>
    <n v="-88565"/>
    <n v="-15.212936449725078"/>
    <s v="Work in progress"/>
  </r>
  <r>
    <s v="P0095"/>
    <s v="Project-261"/>
    <x v="0"/>
    <x v="3"/>
    <x v="89"/>
    <x v="90"/>
    <x v="2"/>
    <n v="625063"/>
    <n v="224473"/>
    <x v="3"/>
    <x v="0"/>
    <x v="0"/>
    <n v="400590"/>
    <n v="178.45798826584937"/>
    <s v="Project delivered successfully"/>
  </r>
  <r>
    <s v="P0096"/>
    <s v="Project-301"/>
    <x v="0"/>
    <x v="4"/>
    <x v="90"/>
    <x v="91"/>
    <x v="0"/>
    <n v="605435"/>
    <n v="141513"/>
    <x v="2"/>
    <x v="0"/>
    <x v="2"/>
    <n v="463922"/>
    <n v="327.82995201854249"/>
    <s v="Work in progress"/>
  </r>
  <r>
    <s v="P0097"/>
    <s v="Project-369"/>
    <x v="0"/>
    <x v="6"/>
    <x v="91"/>
    <x v="92"/>
    <x v="2"/>
    <n v="362670"/>
    <n v="1063622"/>
    <x v="1"/>
    <x v="0"/>
    <x v="2"/>
    <n v="-700952"/>
    <n v="-65.902360048964752"/>
    <s v="Project delivered successfully"/>
  </r>
  <r>
    <s v="P0098"/>
    <s v="Project-962"/>
    <x v="5"/>
    <x v="3"/>
    <x v="92"/>
    <x v="93"/>
    <x v="0"/>
    <n v="204731"/>
    <n v="66680"/>
    <x v="3"/>
    <x v="0"/>
    <x v="1"/>
    <n v="138051"/>
    <n v="207.03509298140372"/>
    <s v="Work in progress"/>
  </r>
  <r>
    <s v="P0099"/>
    <s v="Project-915"/>
    <x v="3"/>
    <x v="1"/>
    <x v="93"/>
    <x v="94"/>
    <x v="0"/>
    <n v="815167"/>
    <n v="113452"/>
    <x v="4"/>
    <x v="2"/>
    <x v="1"/>
    <n v="701715"/>
    <n v="618.5126749638614"/>
    <s v="Work in progress"/>
  </r>
  <r>
    <s v="P0100"/>
    <s v="Project-370"/>
    <x v="6"/>
    <x v="0"/>
    <x v="94"/>
    <x v="95"/>
    <x v="0"/>
    <n v="154663"/>
    <n v="81044"/>
    <x v="0"/>
    <x v="1"/>
    <x v="1"/>
    <n v="73619"/>
    <n v="90.838310053797926"/>
    <s v="Work in progress"/>
  </r>
  <r>
    <s v="P0101"/>
    <s v="Project-555"/>
    <x v="1"/>
    <x v="1"/>
    <x v="95"/>
    <x v="96"/>
    <x v="0"/>
    <n v="787456"/>
    <n v="1044279"/>
    <x v="2"/>
    <x v="0"/>
    <x v="1"/>
    <n v="-256823"/>
    <n v="-24.593331858631647"/>
    <s v="Work in progress"/>
  </r>
  <r>
    <s v="P0102"/>
    <s v="Project-561"/>
    <x v="0"/>
    <x v="4"/>
    <x v="96"/>
    <x v="97"/>
    <x v="0"/>
    <n v="948612"/>
    <n v="729444"/>
    <x v="4"/>
    <x v="0"/>
    <x v="0"/>
    <n v="219168"/>
    <n v="30.045897971605772"/>
    <s v="Work in progress"/>
  </r>
  <r>
    <s v="P0103"/>
    <s v="Project-826"/>
    <x v="5"/>
    <x v="3"/>
    <x v="97"/>
    <x v="98"/>
    <x v="0"/>
    <n v="436377"/>
    <n v="382646"/>
    <x v="0"/>
    <x v="1"/>
    <x v="2"/>
    <n v="53731"/>
    <n v="14.041960454310251"/>
    <s v="Work in progress"/>
  </r>
  <r>
    <s v="P0104"/>
    <s v="Project-351"/>
    <x v="5"/>
    <x v="5"/>
    <x v="98"/>
    <x v="61"/>
    <x v="0"/>
    <n v="73088"/>
    <n v="576440"/>
    <x v="4"/>
    <x v="3"/>
    <x v="2"/>
    <n v="-503352"/>
    <n v="-87.320796613697865"/>
    <s v="Work in progress"/>
  </r>
  <r>
    <s v="P0105"/>
    <s v="Project-801"/>
    <x v="5"/>
    <x v="4"/>
    <x v="99"/>
    <x v="99"/>
    <x v="1"/>
    <n v="118464"/>
    <n v="639026"/>
    <x v="1"/>
    <x v="3"/>
    <x v="1"/>
    <n v="-520562"/>
    <n v="-81.46178715733005"/>
    <s v="Timeline extended"/>
  </r>
  <r>
    <s v="P0106"/>
    <s v="Project-395"/>
    <x v="6"/>
    <x v="7"/>
    <x v="34"/>
    <x v="100"/>
    <x v="0"/>
    <n v="942353"/>
    <n v="424411"/>
    <x v="1"/>
    <x v="1"/>
    <x v="2"/>
    <n v="517942"/>
    <n v="122.03783596560879"/>
    <s v="Work in progress"/>
  </r>
  <r>
    <s v="P0107"/>
    <s v="Project-824"/>
    <x v="3"/>
    <x v="1"/>
    <x v="0"/>
    <x v="101"/>
    <x v="2"/>
    <n v="896430"/>
    <n v="1183109"/>
    <x v="3"/>
    <x v="0"/>
    <x v="2"/>
    <n v="-286679"/>
    <n v="-24.230988015474484"/>
    <s v="Project delivered successfully"/>
  </r>
  <r>
    <s v="P0108"/>
    <s v="Project-819"/>
    <x v="6"/>
    <x v="1"/>
    <x v="100"/>
    <x v="102"/>
    <x v="0"/>
    <n v="876814"/>
    <n v="579721"/>
    <x v="4"/>
    <x v="1"/>
    <x v="2"/>
    <n v="297093"/>
    <n v="51.247582889010403"/>
    <s v="Work in progress"/>
  </r>
  <r>
    <s v="P0109"/>
    <s v="Project-848"/>
    <x v="1"/>
    <x v="2"/>
    <x v="101"/>
    <x v="90"/>
    <x v="1"/>
    <n v="340328"/>
    <n v="952809"/>
    <x v="1"/>
    <x v="0"/>
    <x v="1"/>
    <n v="-612481"/>
    <n v="-64.281613628754556"/>
    <s v="Timeline extended"/>
  </r>
  <r>
    <s v="P0110"/>
    <s v="Project-437"/>
    <x v="3"/>
    <x v="3"/>
    <x v="102"/>
    <x v="103"/>
    <x v="0"/>
    <n v="201171"/>
    <n v="1073611"/>
    <x v="0"/>
    <x v="0"/>
    <x v="2"/>
    <n v="-872440"/>
    <n v="-81.262207633863653"/>
    <s v="Work in progress"/>
  </r>
  <r>
    <s v="P0111"/>
    <s v="Project-978"/>
    <x v="7"/>
    <x v="7"/>
    <x v="103"/>
    <x v="104"/>
    <x v="0"/>
    <n v="795866"/>
    <n v="219932"/>
    <x v="3"/>
    <x v="3"/>
    <x v="2"/>
    <n v="575934"/>
    <n v="261.86912318352944"/>
    <s v="Work in progress"/>
  </r>
  <r>
    <s v="P0112"/>
    <s v="Project-152"/>
    <x v="2"/>
    <x v="5"/>
    <x v="104"/>
    <x v="105"/>
    <x v="0"/>
    <n v="796640"/>
    <n v="78648"/>
    <x v="2"/>
    <x v="3"/>
    <x v="2"/>
    <n v="717992"/>
    <n v="912.91831960126137"/>
    <s v="Work in progress"/>
  </r>
  <r>
    <s v="P0113"/>
    <s v="Project-891"/>
    <x v="5"/>
    <x v="1"/>
    <x v="105"/>
    <x v="50"/>
    <x v="0"/>
    <n v="87739"/>
    <n v="224162"/>
    <x v="4"/>
    <x v="0"/>
    <x v="0"/>
    <n v="-136423"/>
    <n v="-60.85911082163792"/>
    <s v="Work in progress"/>
  </r>
  <r>
    <s v="P0114"/>
    <s v="Project-316"/>
    <x v="6"/>
    <x v="1"/>
    <x v="106"/>
    <x v="106"/>
    <x v="2"/>
    <n v="964369"/>
    <n v="919936"/>
    <x v="1"/>
    <x v="0"/>
    <x v="0"/>
    <n v="44433"/>
    <n v="4.8300099137331287"/>
    <s v="Project delivered successfully"/>
  </r>
  <r>
    <s v="P0115"/>
    <s v="Project-863"/>
    <x v="7"/>
    <x v="7"/>
    <x v="107"/>
    <x v="107"/>
    <x v="0"/>
    <n v="189461"/>
    <n v="325206"/>
    <x v="0"/>
    <x v="0"/>
    <x v="2"/>
    <n v="-135745"/>
    <n v="-41.741234786566054"/>
    <s v="Work in progress"/>
  </r>
  <r>
    <s v="P0116"/>
    <s v="Project-287"/>
    <x v="4"/>
    <x v="4"/>
    <x v="108"/>
    <x v="52"/>
    <x v="3"/>
    <n v="67352"/>
    <n v="363777"/>
    <x v="4"/>
    <x v="3"/>
    <x v="2"/>
    <n v="-296425"/>
    <n v="-81.485360536812394"/>
    <s v="Project cancelled"/>
  </r>
  <r>
    <s v="P0117"/>
    <s v="Project-479"/>
    <x v="6"/>
    <x v="4"/>
    <x v="109"/>
    <x v="108"/>
    <x v="0"/>
    <n v="176788"/>
    <n v="692038"/>
    <x v="0"/>
    <x v="0"/>
    <x v="2"/>
    <n v="-515250"/>
    <n v="-74.454003970880208"/>
    <s v="Work in progress"/>
  </r>
  <r>
    <s v="P0118"/>
    <s v="Project-592"/>
    <x v="0"/>
    <x v="3"/>
    <x v="110"/>
    <x v="48"/>
    <x v="0"/>
    <n v="954275"/>
    <n v="62121"/>
    <x v="3"/>
    <x v="1"/>
    <x v="2"/>
    <n v="892154"/>
    <n v="1436.155245408155"/>
    <s v="Work in progress"/>
  </r>
  <r>
    <s v="P0119"/>
    <s v="Project-140"/>
    <x v="2"/>
    <x v="6"/>
    <x v="111"/>
    <x v="109"/>
    <x v="2"/>
    <n v="464364"/>
    <n v="679303"/>
    <x v="1"/>
    <x v="2"/>
    <x v="2"/>
    <n v="-214939"/>
    <n v="-31.641108606910318"/>
    <s v="Project delivered successfully"/>
  </r>
  <r>
    <s v="P0120"/>
    <s v="Project-256"/>
    <x v="0"/>
    <x v="2"/>
    <x v="112"/>
    <x v="98"/>
    <x v="0"/>
    <n v="606116"/>
    <n v="1054583"/>
    <x v="1"/>
    <x v="2"/>
    <x v="2"/>
    <n v="-448467"/>
    <n v="-42.525529047974416"/>
    <s v="Work in progress"/>
  </r>
  <r>
    <s v="P0121"/>
    <s v="Project-114"/>
    <x v="3"/>
    <x v="1"/>
    <x v="113"/>
    <x v="110"/>
    <x v="1"/>
    <n v="642328"/>
    <n v="1078120"/>
    <x v="3"/>
    <x v="0"/>
    <x v="0"/>
    <n v="-435792"/>
    <n v="-40.421474418432084"/>
    <s v="Timeline extended"/>
  </r>
  <r>
    <s v="P0122"/>
    <s v="Project-912"/>
    <x v="2"/>
    <x v="6"/>
    <x v="114"/>
    <x v="111"/>
    <x v="0"/>
    <n v="406423"/>
    <n v="1124811"/>
    <x v="0"/>
    <x v="1"/>
    <x v="1"/>
    <n v="-718388"/>
    <n v="-63.867440841172431"/>
    <s v="Work in progress"/>
  </r>
  <r>
    <s v="P0123"/>
    <s v="Project-164"/>
    <x v="6"/>
    <x v="6"/>
    <x v="71"/>
    <x v="112"/>
    <x v="2"/>
    <n v="144430"/>
    <n v="537438"/>
    <x v="4"/>
    <x v="0"/>
    <x v="2"/>
    <n v="-393008"/>
    <n v="-73.126202464284248"/>
    <s v="Project delivered successfully"/>
  </r>
  <r>
    <s v="P0124"/>
    <s v="Project-956"/>
    <x v="1"/>
    <x v="2"/>
    <x v="115"/>
    <x v="113"/>
    <x v="0"/>
    <n v="801891"/>
    <n v="511517"/>
    <x v="0"/>
    <x v="1"/>
    <x v="2"/>
    <n v="290374"/>
    <n v="56.767223767734009"/>
    <s v="Work in progress"/>
  </r>
  <r>
    <s v="P0125"/>
    <s v="Project-938"/>
    <x v="7"/>
    <x v="6"/>
    <x v="116"/>
    <x v="114"/>
    <x v="1"/>
    <n v="500330"/>
    <n v="570777"/>
    <x v="4"/>
    <x v="3"/>
    <x v="2"/>
    <n v="-70447"/>
    <n v="-12.342298305643009"/>
    <s v="Timeline extended"/>
  </r>
  <r>
    <s v="P0126"/>
    <s v="Project-620"/>
    <x v="1"/>
    <x v="6"/>
    <x v="117"/>
    <x v="115"/>
    <x v="2"/>
    <n v="690245"/>
    <n v="953322"/>
    <x v="3"/>
    <x v="3"/>
    <x v="1"/>
    <n v="-263077"/>
    <n v="-27.595817572656458"/>
    <s v="Project delivered successfully"/>
  </r>
  <r>
    <s v="P0127"/>
    <s v="Project-443"/>
    <x v="6"/>
    <x v="4"/>
    <x v="39"/>
    <x v="116"/>
    <x v="0"/>
    <n v="592036"/>
    <n v="416757"/>
    <x v="2"/>
    <x v="0"/>
    <x v="2"/>
    <n v="175279"/>
    <n v="42.057841859884775"/>
    <s v="Work in progress"/>
  </r>
  <r>
    <s v="P0128"/>
    <s v="Project-228"/>
    <x v="3"/>
    <x v="4"/>
    <x v="94"/>
    <x v="117"/>
    <x v="0"/>
    <n v="662924"/>
    <n v="456365"/>
    <x v="4"/>
    <x v="3"/>
    <x v="2"/>
    <n v="206559"/>
    <n v="45.261797026502911"/>
    <s v="Work in progress"/>
  </r>
  <r>
    <s v="P0129"/>
    <s v="Project-747"/>
    <x v="0"/>
    <x v="0"/>
    <x v="118"/>
    <x v="118"/>
    <x v="0"/>
    <n v="739051"/>
    <n v="974816"/>
    <x v="1"/>
    <x v="0"/>
    <x v="1"/>
    <n v="-235765"/>
    <n v="-24.185589895939337"/>
    <s v="Work in progress"/>
  </r>
  <r>
    <s v="P0130"/>
    <s v="Project-571"/>
    <x v="2"/>
    <x v="5"/>
    <x v="119"/>
    <x v="119"/>
    <x v="3"/>
    <n v="165158"/>
    <n v="31316"/>
    <x v="1"/>
    <x v="2"/>
    <x v="2"/>
    <n v="133842"/>
    <n v="427.39174862690004"/>
    <s v="Project cancelled"/>
  </r>
  <r>
    <s v="P0131"/>
    <s v="Project-162"/>
    <x v="1"/>
    <x v="3"/>
    <x v="120"/>
    <x v="120"/>
    <x v="0"/>
    <n v="269589"/>
    <n v="1018494"/>
    <x v="1"/>
    <x v="1"/>
    <x v="1"/>
    <n v="-748905"/>
    <n v="-73.530624628127413"/>
    <s v="Work in progress"/>
  </r>
  <r>
    <s v="P0132"/>
    <s v="Project-238"/>
    <x v="6"/>
    <x v="6"/>
    <x v="121"/>
    <x v="121"/>
    <x v="0"/>
    <n v="246354"/>
    <n v="90046"/>
    <x v="0"/>
    <x v="1"/>
    <x v="1"/>
    <n v="156308"/>
    <n v="173.58683339626413"/>
    <s v="Work in progress"/>
  </r>
  <r>
    <s v="P0133"/>
    <s v="Project-598"/>
    <x v="1"/>
    <x v="0"/>
    <x v="8"/>
    <x v="122"/>
    <x v="0"/>
    <n v="803604"/>
    <n v="895075"/>
    <x v="0"/>
    <x v="2"/>
    <x v="2"/>
    <n v="-91471"/>
    <n v="-10.219367092143116"/>
    <s v="Work in progress"/>
  </r>
  <r>
    <s v="P0134"/>
    <s v="Project-692"/>
    <x v="6"/>
    <x v="5"/>
    <x v="122"/>
    <x v="25"/>
    <x v="0"/>
    <n v="765720"/>
    <n v="1017114"/>
    <x v="0"/>
    <x v="2"/>
    <x v="0"/>
    <n v="-251394"/>
    <n v="-24.716403470997349"/>
    <s v="Work in progress"/>
  </r>
  <r>
    <s v="P0135"/>
    <s v="Project-491"/>
    <x v="0"/>
    <x v="0"/>
    <x v="123"/>
    <x v="28"/>
    <x v="2"/>
    <n v="322390"/>
    <n v="145594"/>
    <x v="1"/>
    <x v="2"/>
    <x v="0"/>
    <n v="176796"/>
    <n v="121.43082819346951"/>
    <s v="Project delivered successfully"/>
  </r>
  <r>
    <s v="P0136"/>
    <s v="Project-774"/>
    <x v="2"/>
    <x v="0"/>
    <x v="124"/>
    <x v="123"/>
    <x v="3"/>
    <n v="291851"/>
    <n v="1053429"/>
    <x v="4"/>
    <x v="2"/>
    <x v="2"/>
    <n v="-761578"/>
    <n v="-72.295142814560833"/>
    <s v="Project cancelled"/>
  </r>
  <r>
    <s v="P0137"/>
    <s v="Project-518"/>
    <x v="7"/>
    <x v="3"/>
    <x v="125"/>
    <x v="16"/>
    <x v="0"/>
    <n v="109395"/>
    <n v="538566"/>
    <x v="1"/>
    <x v="3"/>
    <x v="1"/>
    <n v="-429171"/>
    <n v="-79.687726295384408"/>
    <s v="Work in progress"/>
  </r>
  <r>
    <s v="P0138"/>
    <s v="Project-388"/>
    <x v="0"/>
    <x v="3"/>
    <x v="126"/>
    <x v="124"/>
    <x v="1"/>
    <n v="737846"/>
    <n v="682583"/>
    <x v="4"/>
    <x v="1"/>
    <x v="1"/>
    <n v="55263"/>
    <n v="8.0961582693972751"/>
    <s v="Timeline extended"/>
  </r>
  <r>
    <s v="P0139"/>
    <s v="Project-478"/>
    <x v="1"/>
    <x v="7"/>
    <x v="127"/>
    <x v="125"/>
    <x v="0"/>
    <n v="473556"/>
    <n v="708462"/>
    <x v="0"/>
    <x v="1"/>
    <x v="1"/>
    <n v="-234906"/>
    <n v="-33.157177096301567"/>
    <s v="Work in progress"/>
  </r>
  <r>
    <s v="P0140"/>
    <s v="Project-872"/>
    <x v="7"/>
    <x v="2"/>
    <x v="8"/>
    <x v="126"/>
    <x v="0"/>
    <n v="362444"/>
    <n v="1193006"/>
    <x v="2"/>
    <x v="2"/>
    <x v="2"/>
    <n v="-830562"/>
    <n v="-69.619264278637331"/>
    <s v="Work in progress"/>
  </r>
  <r>
    <s v="P0141"/>
    <s v="Project-589"/>
    <x v="6"/>
    <x v="2"/>
    <x v="128"/>
    <x v="127"/>
    <x v="0"/>
    <n v="446302"/>
    <n v="792318"/>
    <x v="0"/>
    <x v="0"/>
    <x v="0"/>
    <n v="-346016"/>
    <n v="-43.671354178499037"/>
    <s v="Work in progress"/>
  </r>
  <r>
    <s v="P0142"/>
    <s v="Project-330"/>
    <x v="7"/>
    <x v="7"/>
    <x v="129"/>
    <x v="128"/>
    <x v="2"/>
    <n v="272143"/>
    <n v="979461"/>
    <x v="3"/>
    <x v="0"/>
    <x v="1"/>
    <n v="-707318"/>
    <n v="-72.215024385861199"/>
    <s v="Project delivered successfully"/>
  </r>
  <r>
    <s v="P0143"/>
    <s v="Project-140"/>
    <x v="6"/>
    <x v="7"/>
    <x v="130"/>
    <x v="129"/>
    <x v="3"/>
    <n v="836401"/>
    <n v="436088"/>
    <x v="4"/>
    <x v="0"/>
    <x v="1"/>
    <n v="400313"/>
    <n v="91.796380547045558"/>
    <s v="Project cancelled"/>
  </r>
  <r>
    <s v="P0144"/>
    <s v="Project-127"/>
    <x v="0"/>
    <x v="4"/>
    <x v="131"/>
    <x v="130"/>
    <x v="1"/>
    <n v="851292"/>
    <n v="604382"/>
    <x v="2"/>
    <x v="0"/>
    <x v="2"/>
    <n v="246910"/>
    <n v="40.853301388856714"/>
    <s v="Timeline extended"/>
  </r>
  <r>
    <s v="P0145"/>
    <s v="Project-234"/>
    <x v="1"/>
    <x v="5"/>
    <x v="132"/>
    <x v="63"/>
    <x v="0"/>
    <n v="591301"/>
    <n v="864151"/>
    <x v="0"/>
    <x v="3"/>
    <x v="0"/>
    <n v="-272850"/>
    <n v="-31.574342909977538"/>
    <s v="Work in progress"/>
  </r>
  <r>
    <s v="P0146"/>
    <s v="Project-300"/>
    <x v="3"/>
    <x v="0"/>
    <x v="14"/>
    <x v="131"/>
    <x v="0"/>
    <n v="450623"/>
    <n v="683114"/>
    <x v="2"/>
    <x v="1"/>
    <x v="0"/>
    <n v="-232491"/>
    <n v="-34.033997253752666"/>
    <s v="Work in progress"/>
  </r>
  <r>
    <s v="P0147"/>
    <s v="Project-939"/>
    <x v="1"/>
    <x v="6"/>
    <x v="133"/>
    <x v="132"/>
    <x v="0"/>
    <n v="607830"/>
    <n v="866910"/>
    <x v="1"/>
    <x v="1"/>
    <x v="2"/>
    <n v="-259080"/>
    <n v="-29.885455237567914"/>
    <s v="Work in progress"/>
  </r>
  <r>
    <s v="P0148"/>
    <s v="Project-879"/>
    <x v="6"/>
    <x v="7"/>
    <x v="134"/>
    <x v="133"/>
    <x v="1"/>
    <n v="74935"/>
    <n v="783523"/>
    <x v="4"/>
    <x v="1"/>
    <x v="0"/>
    <n v="-708588"/>
    <n v="-90.436145460950087"/>
    <s v="Timeline extended"/>
  </r>
  <r>
    <s v="P0149"/>
    <s v="Project-132"/>
    <x v="5"/>
    <x v="1"/>
    <x v="135"/>
    <x v="134"/>
    <x v="1"/>
    <n v="550229"/>
    <n v="73677"/>
    <x v="3"/>
    <x v="0"/>
    <x v="2"/>
    <n v="476552"/>
    <n v="646.81243807429723"/>
    <s v="Timeline extended"/>
  </r>
  <r>
    <s v="P0150"/>
    <s v="Project-147"/>
    <x v="2"/>
    <x v="2"/>
    <x v="136"/>
    <x v="135"/>
    <x v="2"/>
    <n v="623367"/>
    <n v="294250"/>
    <x v="1"/>
    <x v="2"/>
    <x v="1"/>
    <n v="329117"/>
    <n v="111.84944774851317"/>
    <s v="Project delivered successfully"/>
  </r>
  <r>
    <s v="P0151"/>
    <s v="Project-602"/>
    <x v="4"/>
    <x v="7"/>
    <x v="137"/>
    <x v="136"/>
    <x v="0"/>
    <n v="84111"/>
    <n v="436885"/>
    <x v="2"/>
    <x v="0"/>
    <x v="2"/>
    <n v="-352774"/>
    <n v="-80.747565148723339"/>
    <s v="Work in progress"/>
  </r>
  <r>
    <s v="P0152"/>
    <s v="Project-506"/>
    <x v="3"/>
    <x v="1"/>
    <x v="138"/>
    <x v="137"/>
    <x v="0"/>
    <n v="892982"/>
    <n v="542703"/>
    <x v="0"/>
    <x v="1"/>
    <x v="1"/>
    <n v="350279"/>
    <n v="64.543405877616294"/>
    <s v="Work in progress"/>
  </r>
  <r>
    <s v="P0153"/>
    <s v="Project-673"/>
    <x v="7"/>
    <x v="1"/>
    <x v="139"/>
    <x v="138"/>
    <x v="0"/>
    <n v="256769"/>
    <n v="1103799"/>
    <x v="4"/>
    <x v="0"/>
    <x v="2"/>
    <n v="-847030"/>
    <n v="-76.737703150664203"/>
    <s v="Work in progress"/>
  </r>
  <r>
    <s v="P0154"/>
    <s v="Project-827"/>
    <x v="3"/>
    <x v="1"/>
    <x v="140"/>
    <x v="139"/>
    <x v="0"/>
    <n v="532333"/>
    <n v="483882"/>
    <x v="3"/>
    <x v="2"/>
    <x v="1"/>
    <n v="48451"/>
    <n v="10.012978370759813"/>
    <s v="Work in progress"/>
  </r>
  <r>
    <s v="P0155"/>
    <s v="Project-904"/>
    <x v="2"/>
    <x v="4"/>
    <x v="141"/>
    <x v="140"/>
    <x v="0"/>
    <n v="541029"/>
    <n v="491235"/>
    <x v="0"/>
    <x v="2"/>
    <x v="1"/>
    <n v="49794"/>
    <n v="10.13649271733488"/>
    <s v="Work in progress"/>
  </r>
  <r>
    <s v="P0156"/>
    <s v="Project-198"/>
    <x v="7"/>
    <x v="4"/>
    <x v="67"/>
    <x v="141"/>
    <x v="0"/>
    <n v="268008"/>
    <n v="450698"/>
    <x v="3"/>
    <x v="0"/>
    <x v="2"/>
    <n v="-182690"/>
    <n v="-40.534903638356504"/>
    <s v="Work in progress"/>
  </r>
  <r>
    <s v="P0157"/>
    <s v="Project-783"/>
    <x v="2"/>
    <x v="6"/>
    <x v="142"/>
    <x v="142"/>
    <x v="0"/>
    <n v="913387"/>
    <n v="876801"/>
    <x v="4"/>
    <x v="1"/>
    <x v="1"/>
    <n v="36586"/>
    <n v="4.1726685986900103"/>
    <s v="Work in progress"/>
  </r>
  <r>
    <s v="P0158"/>
    <s v="Project-971"/>
    <x v="7"/>
    <x v="6"/>
    <x v="143"/>
    <x v="143"/>
    <x v="1"/>
    <n v="90565"/>
    <n v="719503"/>
    <x v="2"/>
    <x v="3"/>
    <x v="0"/>
    <n v="-628938"/>
    <n v="-87.412839140351053"/>
    <s v="Timeline extended"/>
  </r>
  <r>
    <s v="P0159"/>
    <s v="Project-825"/>
    <x v="3"/>
    <x v="1"/>
    <x v="9"/>
    <x v="144"/>
    <x v="2"/>
    <n v="69283"/>
    <n v="815977"/>
    <x v="3"/>
    <x v="1"/>
    <x v="2"/>
    <n v="-746694"/>
    <n v="-91.509196950404231"/>
    <s v="Project delivered successfully"/>
  </r>
  <r>
    <s v="P0160"/>
    <s v="Project-646"/>
    <x v="7"/>
    <x v="5"/>
    <x v="144"/>
    <x v="9"/>
    <x v="0"/>
    <n v="902902"/>
    <n v="302159"/>
    <x v="4"/>
    <x v="3"/>
    <x v="0"/>
    <n v="600743"/>
    <n v="198.81684808329391"/>
    <s v="Work in progress"/>
  </r>
  <r>
    <s v="P0161"/>
    <s v="Project-838"/>
    <x v="7"/>
    <x v="4"/>
    <x v="119"/>
    <x v="145"/>
    <x v="0"/>
    <n v="281362"/>
    <n v="898596"/>
    <x v="3"/>
    <x v="1"/>
    <x v="1"/>
    <n v="-617234"/>
    <n v="-68.68870994306674"/>
    <s v="Work in progress"/>
  </r>
  <r>
    <s v="P0162"/>
    <s v="Project-712"/>
    <x v="5"/>
    <x v="0"/>
    <x v="145"/>
    <x v="146"/>
    <x v="0"/>
    <n v="661204"/>
    <n v="81500"/>
    <x v="0"/>
    <x v="0"/>
    <x v="1"/>
    <n v="579704"/>
    <n v="711.29325153374236"/>
    <s v="Work in progress"/>
  </r>
  <r>
    <s v="P0163"/>
    <s v="Project-561"/>
    <x v="1"/>
    <x v="1"/>
    <x v="146"/>
    <x v="44"/>
    <x v="2"/>
    <n v="129552"/>
    <n v="880357"/>
    <x v="3"/>
    <x v="3"/>
    <x v="1"/>
    <n v="-750805"/>
    <n v="-85.284151770247746"/>
    <s v="Project delivered successfully"/>
  </r>
  <r>
    <s v="P0164"/>
    <s v="Project-742"/>
    <x v="1"/>
    <x v="0"/>
    <x v="120"/>
    <x v="147"/>
    <x v="2"/>
    <n v="88233"/>
    <n v="254045"/>
    <x v="0"/>
    <x v="1"/>
    <x v="2"/>
    <n v="-165812"/>
    <n v="-65.268751599126134"/>
    <s v="Project delivered successfully"/>
  </r>
  <r>
    <s v="P0165"/>
    <s v="Project-868"/>
    <x v="4"/>
    <x v="0"/>
    <x v="147"/>
    <x v="148"/>
    <x v="2"/>
    <n v="571410"/>
    <n v="734991"/>
    <x v="0"/>
    <x v="0"/>
    <x v="1"/>
    <n v="-163581"/>
    <n v="-22.256190892133372"/>
    <s v="Project delivered successfully"/>
  </r>
  <r>
    <s v="P0166"/>
    <s v="Project-104"/>
    <x v="4"/>
    <x v="1"/>
    <x v="148"/>
    <x v="142"/>
    <x v="2"/>
    <n v="334839"/>
    <n v="1023694"/>
    <x v="4"/>
    <x v="1"/>
    <x v="0"/>
    <n v="-688855"/>
    <n v="-67.291104568357341"/>
    <s v="Project delivered successfully"/>
  </r>
  <r>
    <s v="P0167"/>
    <s v="Project-317"/>
    <x v="6"/>
    <x v="2"/>
    <x v="9"/>
    <x v="142"/>
    <x v="0"/>
    <n v="700728"/>
    <n v="212159"/>
    <x v="1"/>
    <x v="2"/>
    <x v="0"/>
    <n v="488569"/>
    <n v="230.28436220004807"/>
    <s v="Work in progress"/>
  </r>
  <r>
    <s v="P0168"/>
    <s v="Project-602"/>
    <x v="6"/>
    <x v="5"/>
    <x v="149"/>
    <x v="149"/>
    <x v="0"/>
    <n v="223806"/>
    <n v="240861"/>
    <x v="3"/>
    <x v="2"/>
    <x v="2"/>
    <n v="-17055"/>
    <n v="-7.0808474597381892"/>
    <s v="Work in progress"/>
  </r>
  <r>
    <s v="P0169"/>
    <s v="Project-866"/>
    <x v="6"/>
    <x v="1"/>
    <x v="150"/>
    <x v="150"/>
    <x v="0"/>
    <n v="393401"/>
    <n v="871341"/>
    <x v="2"/>
    <x v="1"/>
    <x v="0"/>
    <n v="-477940"/>
    <n v="-54.851085855021168"/>
    <s v="Work in progress"/>
  </r>
  <r>
    <s v="P0170"/>
    <s v="Project-497"/>
    <x v="5"/>
    <x v="6"/>
    <x v="151"/>
    <x v="151"/>
    <x v="0"/>
    <n v="837937"/>
    <n v="319741"/>
    <x v="0"/>
    <x v="0"/>
    <x v="2"/>
    <n v="518196"/>
    <n v="162.06742332075024"/>
    <s v="Work in progress"/>
  </r>
  <r>
    <s v="P0171"/>
    <s v="Project-970"/>
    <x v="4"/>
    <x v="1"/>
    <x v="117"/>
    <x v="152"/>
    <x v="2"/>
    <n v="972867"/>
    <n v="254376"/>
    <x v="1"/>
    <x v="1"/>
    <x v="2"/>
    <n v="718491"/>
    <n v="282.45235399565996"/>
    <s v="Project delivered successfully"/>
  </r>
  <r>
    <s v="P0172"/>
    <s v="Project-894"/>
    <x v="2"/>
    <x v="4"/>
    <x v="108"/>
    <x v="88"/>
    <x v="0"/>
    <n v="355758"/>
    <n v="432648"/>
    <x v="0"/>
    <x v="0"/>
    <x v="1"/>
    <n v="-76890"/>
    <n v="-17.771953181339104"/>
    <s v="Work in progress"/>
  </r>
  <r>
    <s v="P0173"/>
    <s v="Project-492"/>
    <x v="6"/>
    <x v="1"/>
    <x v="152"/>
    <x v="153"/>
    <x v="0"/>
    <n v="51010"/>
    <n v="1152876"/>
    <x v="1"/>
    <x v="3"/>
    <x v="0"/>
    <n v="-1101866"/>
    <n v="-95.57541314070204"/>
    <s v="Work in progress"/>
  </r>
  <r>
    <s v="P0174"/>
    <s v="Project-306"/>
    <x v="6"/>
    <x v="2"/>
    <x v="153"/>
    <x v="154"/>
    <x v="0"/>
    <n v="294300"/>
    <n v="908269"/>
    <x v="1"/>
    <x v="2"/>
    <x v="0"/>
    <n v="-613969"/>
    <n v="-67.597705085167505"/>
    <s v="Work in progress"/>
  </r>
  <r>
    <s v="P0175"/>
    <s v="Project-114"/>
    <x v="3"/>
    <x v="4"/>
    <x v="154"/>
    <x v="155"/>
    <x v="3"/>
    <n v="555002"/>
    <n v="79314"/>
    <x v="2"/>
    <x v="3"/>
    <x v="0"/>
    <n v="475688"/>
    <n v="599.75288095418216"/>
    <s v="Project cancelled"/>
  </r>
  <r>
    <s v="P0176"/>
    <s v="Project-957"/>
    <x v="0"/>
    <x v="6"/>
    <x v="151"/>
    <x v="156"/>
    <x v="0"/>
    <n v="704848"/>
    <n v="1048448"/>
    <x v="1"/>
    <x v="0"/>
    <x v="1"/>
    <n v="-343600"/>
    <n v="-32.772250030521306"/>
    <s v="Work in progress"/>
  </r>
  <r>
    <s v="P0177"/>
    <s v="Project-653"/>
    <x v="2"/>
    <x v="3"/>
    <x v="6"/>
    <x v="157"/>
    <x v="2"/>
    <n v="200933"/>
    <n v="913881"/>
    <x v="2"/>
    <x v="1"/>
    <x v="2"/>
    <n v="-712948"/>
    <n v="-78.013220539654498"/>
    <s v="Project delivered successfully"/>
  </r>
  <r>
    <s v="P0178"/>
    <s v="Project-991"/>
    <x v="6"/>
    <x v="3"/>
    <x v="29"/>
    <x v="158"/>
    <x v="0"/>
    <n v="467341"/>
    <n v="1033566"/>
    <x v="4"/>
    <x v="2"/>
    <x v="0"/>
    <n v="-566225"/>
    <n v="-54.783632588533294"/>
    <s v="Work in progress"/>
  </r>
  <r>
    <s v="P0179"/>
    <s v="Project-560"/>
    <x v="6"/>
    <x v="0"/>
    <x v="155"/>
    <x v="159"/>
    <x v="0"/>
    <n v="829470"/>
    <n v="320461"/>
    <x v="0"/>
    <x v="0"/>
    <x v="0"/>
    <n v="509009"/>
    <n v="158.83648868349033"/>
    <s v="Work in progress"/>
  </r>
  <r>
    <s v="P0180"/>
    <s v="Project-790"/>
    <x v="6"/>
    <x v="5"/>
    <x v="156"/>
    <x v="160"/>
    <x v="0"/>
    <n v="714729"/>
    <n v="358897"/>
    <x v="2"/>
    <x v="0"/>
    <x v="0"/>
    <n v="355832"/>
    <n v="99.145994533250487"/>
    <s v="Work in progress"/>
  </r>
  <r>
    <s v="P0181"/>
    <s v="Project-674"/>
    <x v="0"/>
    <x v="0"/>
    <x v="157"/>
    <x v="161"/>
    <x v="2"/>
    <n v="905825"/>
    <n v="327386"/>
    <x v="0"/>
    <x v="2"/>
    <x v="0"/>
    <n v="578439"/>
    <n v="176.68409767063955"/>
    <s v="Project delivered successfully"/>
  </r>
  <r>
    <s v="P0182"/>
    <s v="Project-963"/>
    <x v="0"/>
    <x v="2"/>
    <x v="158"/>
    <x v="162"/>
    <x v="0"/>
    <n v="732031"/>
    <n v="398406"/>
    <x v="3"/>
    <x v="1"/>
    <x v="1"/>
    <n v="333625"/>
    <n v="83.739953715556496"/>
    <s v="Work in progress"/>
  </r>
  <r>
    <s v="P0183"/>
    <s v="Project-842"/>
    <x v="5"/>
    <x v="7"/>
    <x v="159"/>
    <x v="163"/>
    <x v="1"/>
    <n v="114512"/>
    <n v="916238"/>
    <x v="4"/>
    <x v="2"/>
    <x v="2"/>
    <n v="-801726"/>
    <n v="-87.501937269574057"/>
    <s v="Timeline extended"/>
  </r>
  <r>
    <s v="P0184"/>
    <s v="Project-340"/>
    <x v="2"/>
    <x v="6"/>
    <x v="43"/>
    <x v="164"/>
    <x v="0"/>
    <n v="148026"/>
    <n v="390868"/>
    <x v="3"/>
    <x v="1"/>
    <x v="0"/>
    <n v="-242842"/>
    <n v="-62.128902852113754"/>
    <s v="Work in progress"/>
  </r>
  <r>
    <s v="P0185"/>
    <s v="Project-663"/>
    <x v="5"/>
    <x v="5"/>
    <x v="160"/>
    <x v="165"/>
    <x v="0"/>
    <n v="125656"/>
    <n v="912399"/>
    <x v="3"/>
    <x v="1"/>
    <x v="0"/>
    <n v="-786743"/>
    <n v="-86.227955094207687"/>
    <s v="Work in progress"/>
  </r>
  <r>
    <s v="P0186"/>
    <s v="Project-195"/>
    <x v="7"/>
    <x v="6"/>
    <x v="85"/>
    <x v="166"/>
    <x v="1"/>
    <n v="791119"/>
    <n v="837174"/>
    <x v="1"/>
    <x v="0"/>
    <x v="2"/>
    <n v="-46055"/>
    <n v="-5.5012458580892387"/>
    <s v="Timeline extended"/>
  </r>
  <r>
    <s v="P0187"/>
    <s v="Project-833"/>
    <x v="0"/>
    <x v="3"/>
    <x v="161"/>
    <x v="167"/>
    <x v="0"/>
    <n v="409830"/>
    <n v="47833"/>
    <x v="1"/>
    <x v="1"/>
    <x v="1"/>
    <n v="361997"/>
    <n v="756.79342713189635"/>
    <s v="Work in progress"/>
  </r>
  <r>
    <s v="P0188"/>
    <s v="Project-584"/>
    <x v="3"/>
    <x v="0"/>
    <x v="6"/>
    <x v="168"/>
    <x v="2"/>
    <n v="225210"/>
    <n v="625635"/>
    <x v="3"/>
    <x v="1"/>
    <x v="1"/>
    <n v="-400425"/>
    <n v="-64.002972979452878"/>
    <s v="Project delivered successfully"/>
  </r>
  <r>
    <s v="P0189"/>
    <s v="Project-506"/>
    <x v="4"/>
    <x v="6"/>
    <x v="162"/>
    <x v="96"/>
    <x v="2"/>
    <n v="234492"/>
    <n v="1152731"/>
    <x v="1"/>
    <x v="2"/>
    <x v="1"/>
    <n v="-918239"/>
    <n v="-79.657699844976833"/>
    <s v="Project delivered successfully"/>
  </r>
  <r>
    <s v="P0190"/>
    <s v="Project-330"/>
    <x v="3"/>
    <x v="3"/>
    <x v="163"/>
    <x v="169"/>
    <x v="0"/>
    <n v="327633"/>
    <n v="906223"/>
    <x v="0"/>
    <x v="2"/>
    <x v="1"/>
    <n v="-578590"/>
    <n v="-63.846315973000024"/>
    <s v="Work in progress"/>
  </r>
  <r>
    <s v="P0191"/>
    <s v="Project-848"/>
    <x v="4"/>
    <x v="2"/>
    <x v="164"/>
    <x v="170"/>
    <x v="2"/>
    <n v="109789"/>
    <n v="775868"/>
    <x v="1"/>
    <x v="1"/>
    <x v="0"/>
    <n v="-666079"/>
    <n v="-85.849525950290513"/>
    <s v="Project delivered successfully"/>
  </r>
  <r>
    <s v="P0192"/>
    <s v="Project-754"/>
    <x v="0"/>
    <x v="2"/>
    <x v="165"/>
    <x v="2"/>
    <x v="0"/>
    <n v="644213"/>
    <n v="436743"/>
    <x v="3"/>
    <x v="0"/>
    <x v="2"/>
    <n v="207470"/>
    <n v="47.503909621905791"/>
    <s v="Work in progress"/>
  </r>
  <r>
    <s v="P0193"/>
    <s v="Project-270"/>
    <x v="0"/>
    <x v="7"/>
    <x v="166"/>
    <x v="171"/>
    <x v="0"/>
    <n v="361847"/>
    <n v="144527"/>
    <x v="1"/>
    <x v="2"/>
    <x v="2"/>
    <n v="217320"/>
    <n v="150.36636752994249"/>
    <s v="Work in progress"/>
  </r>
  <r>
    <s v="P0194"/>
    <s v="Project-640"/>
    <x v="0"/>
    <x v="6"/>
    <x v="167"/>
    <x v="114"/>
    <x v="0"/>
    <n v="530702"/>
    <n v="259482"/>
    <x v="1"/>
    <x v="3"/>
    <x v="2"/>
    <n v="271220"/>
    <n v="104.52362784316446"/>
    <s v="Work in progress"/>
  </r>
  <r>
    <s v="P0195"/>
    <s v="Project-135"/>
    <x v="5"/>
    <x v="7"/>
    <x v="168"/>
    <x v="172"/>
    <x v="1"/>
    <n v="126625"/>
    <n v="754945"/>
    <x v="2"/>
    <x v="0"/>
    <x v="1"/>
    <n v="-628320"/>
    <n v="-83.227254965593517"/>
    <s v="Timeline extended"/>
  </r>
  <r>
    <s v="P0196"/>
    <s v="Project-624"/>
    <x v="2"/>
    <x v="4"/>
    <x v="169"/>
    <x v="173"/>
    <x v="0"/>
    <n v="943967"/>
    <n v="595345"/>
    <x v="2"/>
    <x v="2"/>
    <x v="1"/>
    <n v="348622"/>
    <n v="58.557978986973936"/>
    <s v="Work in progress"/>
  </r>
  <r>
    <s v="P0197"/>
    <s v="Project-259"/>
    <x v="4"/>
    <x v="5"/>
    <x v="170"/>
    <x v="174"/>
    <x v="2"/>
    <n v="825806"/>
    <n v="228511"/>
    <x v="3"/>
    <x v="2"/>
    <x v="2"/>
    <n v="597295"/>
    <n v="261.38566633553745"/>
    <s v="Project delivered successfully"/>
  </r>
  <r>
    <s v="P0198"/>
    <s v="Project-938"/>
    <x v="2"/>
    <x v="6"/>
    <x v="171"/>
    <x v="175"/>
    <x v="1"/>
    <n v="763588"/>
    <n v="545553"/>
    <x v="0"/>
    <x v="3"/>
    <x v="0"/>
    <n v="218035"/>
    <n v="39.965869493889691"/>
    <s v="Timeline extended"/>
  </r>
  <r>
    <s v="P0199"/>
    <s v="Project-798"/>
    <x v="5"/>
    <x v="2"/>
    <x v="172"/>
    <x v="176"/>
    <x v="0"/>
    <n v="571564"/>
    <n v="756272"/>
    <x v="4"/>
    <x v="1"/>
    <x v="1"/>
    <n v="-184708"/>
    <n v="-24.423487845642839"/>
    <s v="Work in progress"/>
  </r>
  <r>
    <s v="P0200"/>
    <s v="Project-342"/>
    <x v="5"/>
    <x v="0"/>
    <x v="173"/>
    <x v="94"/>
    <x v="0"/>
    <n v="577339"/>
    <n v="238990"/>
    <x v="4"/>
    <x v="2"/>
    <x v="0"/>
    <n v="338349"/>
    <n v="141.57454286790244"/>
    <s v="Work in progress"/>
  </r>
  <r>
    <s v="P0201"/>
    <s v="Project-185"/>
    <x v="1"/>
    <x v="3"/>
    <x v="174"/>
    <x v="177"/>
    <x v="0"/>
    <n v="219162"/>
    <n v="1101025"/>
    <x v="3"/>
    <x v="3"/>
    <x v="2"/>
    <n v="-881863"/>
    <n v="-80.094729910764968"/>
    <s v="Work in progress"/>
  </r>
  <r>
    <s v="P0202"/>
    <s v="Project-895"/>
    <x v="3"/>
    <x v="1"/>
    <x v="175"/>
    <x v="178"/>
    <x v="0"/>
    <n v="603093"/>
    <n v="976363"/>
    <x v="0"/>
    <x v="3"/>
    <x v="1"/>
    <n v="-373270"/>
    <n v="-38.230658064674714"/>
    <s v="Work in progress"/>
  </r>
  <r>
    <s v="P0203"/>
    <s v="Project-677"/>
    <x v="3"/>
    <x v="7"/>
    <x v="176"/>
    <x v="179"/>
    <x v="0"/>
    <n v="669266"/>
    <n v="169648"/>
    <x v="0"/>
    <x v="2"/>
    <x v="0"/>
    <n v="499618"/>
    <n v="294.50273507497877"/>
    <s v="Work in progress"/>
  </r>
  <r>
    <s v="P0204"/>
    <s v="Project-781"/>
    <x v="7"/>
    <x v="1"/>
    <x v="177"/>
    <x v="180"/>
    <x v="2"/>
    <n v="880989"/>
    <n v="469090"/>
    <x v="0"/>
    <x v="0"/>
    <x v="1"/>
    <n v="411899"/>
    <n v="87.808096527318853"/>
    <s v="Project delivered successfully"/>
  </r>
  <r>
    <s v="P0205"/>
    <s v="Project-656"/>
    <x v="6"/>
    <x v="6"/>
    <x v="178"/>
    <x v="181"/>
    <x v="3"/>
    <n v="445771"/>
    <n v="1196502"/>
    <x v="2"/>
    <x v="2"/>
    <x v="2"/>
    <n v="-750731"/>
    <n v="-62.743814887062456"/>
    <s v="Project cancelled"/>
  </r>
  <r>
    <s v="P0206"/>
    <s v="Project-673"/>
    <x v="5"/>
    <x v="0"/>
    <x v="131"/>
    <x v="182"/>
    <x v="1"/>
    <n v="624529"/>
    <n v="416720"/>
    <x v="3"/>
    <x v="3"/>
    <x v="2"/>
    <n v="207809"/>
    <n v="49.86777692455366"/>
    <s v="Timeline extended"/>
  </r>
  <r>
    <s v="P0207"/>
    <s v="Project-745"/>
    <x v="4"/>
    <x v="7"/>
    <x v="165"/>
    <x v="183"/>
    <x v="1"/>
    <n v="177838"/>
    <n v="1047942"/>
    <x v="4"/>
    <x v="2"/>
    <x v="2"/>
    <n v="-870104"/>
    <n v="-83.029785999606858"/>
    <s v="Timeline extended"/>
  </r>
  <r>
    <s v="P0208"/>
    <s v="Project-895"/>
    <x v="1"/>
    <x v="1"/>
    <x v="179"/>
    <x v="184"/>
    <x v="1"/>
    <n v="640282"/>
    <n v="885860"/>
    <x v="0"/>
    <x v="0"/>
    <x v="0"/>
    <n v="-245578"/>
    <n v="-27.721987672995734"/>
    <s v="Timeline extended"/>
  </r>
  <r>
    <s v="P0209"/>
    <s v="Project-127"/>
    <x v="1"/>
    <x v="5"/>
    <x v="180"/>
    <x v="15"/>
    <x v="0"/>
    <n v="426149"/>
    <n v="778008"/>
    <x v="3"/>
    <x v="1"/>
    <x v="1"/>
    <n v="-351859"/>
    <n v="-45.225627499974294"/>
    <s v="Work in progress"/>
  </r>
  <r>
    <s v="P0210"/>
    <s v="Project-719"/>
    <x v="6"/>
    <x v="0"/>
    <x v="181"/>
    <x v="185"/>
    <x v="2"/>
    <n v="852498"/>
    <n v="34321"/>
    <x v="4"/>
    <x v="1"/>
    <x v="1"/>
    <n v="818177"/>
    <n v="2383.896156871886"/>
    <s v="Project delivered successfully"/>
  </r>
  <r>
    <s v="P0211"/>
    <s v="Project-655"/>
    <x v="2"/>
    <x v="3"/>
    <x v="84"/>
    <x v="186"/>
    <x v="1"/>
    <n v="710081"/>
    <n v="822208"/>
    <x v="2"/>
    <x v="2"/>
    <x v="1"/>
    <n v="-112127"/>
    <n v="-13.637303456059779"/>
    <s v="Timeline extended"/>
  </r>
  <r>
    <s v="P0212"/>
    <s v="Project-439"/>
    <x v="6"/>
    <x v="5"/>
    <x v="182"/>
    <x v="187"/>
    <x v="0"/>
    <n v="914414"/>
    <n v="1056392"/>
    <x v="1"/>
    <x v="2"/>
    <x v="2"/>
    <n v="-141978"/>
    <n v="-13.439897310846732"/>
    <s v="Work in progress"/>
  </r>
  <r>
    <s v="P0213"/>
    <s v="Project-897"/>
    <x v="6"/>
    <x v="0"/>
    <x v="9"/>
    <x v="188"/>
    <x v="3"/>
    <n v="842736"/>
    <n v="308263"/>
    <x v="4"/>
    <x v="3"/>
    <x v="0"/>
    <n v="534473"/>
    <n v="173.38214446754881"/>
    <s v="Project cancelled"/>
  </r>
  <r>
    <s v="P0214"/>
    <s v="Project-430"/>
    <x v="6"/>
    <x v="4"/>
    <x v="183"/>
    <x v="189"/>
    <x v="0"/>
    <n v="292941"/>
    <n v="160078"/>
    <x v="4"/>
    <x v="0"/>
    <x v="2"/>
    <n v="132863"/>
    <n v="82.998913029897921"/>
    <s v="Work in progress"/>
  </r>
  <r>
    <s v="P0215"/>
    <s v="Project-739"/>
    <x v="3"/>
    <x v="7"/>
    <x v="184"/>
    <x v="190"/>
    <x v="2"/>
    <n v="617255"/>
    <n v="723956"/>
    <x v="4"/>
    <x v="3"/>
    <x v="2"/>
    <n v="-106701"/>
    <n v="-14.738602898518693"/>
    <s v="Project delivered successfully"/>
  </r>
  <r>
    <s v="P0216"/>
    <s v="Project-605"/>
    <x v="5"/>
    <x v="2"/>
    <x v="185"/>
    <x v="191"/>
    <x v="2"/>
    <n v="805584"/>
    <n v="345111"/>
    <x v="1"/>
    <x v="3"/>
    <x v="0"/>
    <n v="460473"/>
    <n v="133.42750593287377"/>
    <s v="Project delivered successfully"/>
  </r>
  <r>
    <s v="P0217"/>
    <s v="Project-447"/>
    <x v="7"/>
    <x v="3"/>
    <x v="186"/>
    <x v="192"/>
    <x v="3"/>
    <n v="390907"/>
    <n v="718423"/>
    <x v="0"/>
    <x v="1"/>
    <x v="2"/>
    <n v="-327516"/>
    <n v="-45.588184119940479"/>
    <s v="Project cancelled"/>
  </r>
  <r>
    <s v="P0218"/>
    <s v="Project-572"/>
    <x v="5"/>
    <x v="6"/>
    <x v="187"/>
    <x v="19"/>
    <x v="0"/>
    <n v="876894"/>
    <n v="142620"/>
    <x v="1"/>
    <x v="3"/>
    <x v="2"/>
    <n v="734274"/>
    <n v="514.84644509886402"/>
    <s v="Work in progress"/>
  </r>
  <r>
    <s v="P0219"/>
    <s v="Project-330"/>
    <x v="2"/>
    <x v="5"/>
    <x v="31"/>
    <x v="193"/>
    <x v="2"/>
    <n v="956788"/>
    <n v="1086771"/>
    <x v="4"/>
    <x v="3"/>
    <x v="1"/>
    <n v="-129983"/>
    <n v="-11.960477414285069"/>
    <s v="Project delivered successfully"/>
  </r>
  <r>
    <s v="P0220"/>
    <s v="Project-289"/>
    <x v="0"/>
    <x v="5"/>
    <x v="156"/>
    <x v="78"/>
    <x v="0"/>
    <n v="646122"/>
    <n v="1029601"/>
    <x v="2"/>
    <x v="1"/>
    <x v="0"/>
    <n v="-383479"/>
    <n v="-37.245398945805221"/>
    <s v="Work in progress"/>
  </r>
  <r>
    <s v="P0221"/>
    <s v="Project-324"/>
    <x v="6"/>
    <x v="1"/>
    <x v="188"/>
    <x v="194"/>
    <x v="0"/>
    <n v="423167"/>
    <n v="808985"/>
    <x v="4"/>
    <x v="1"/>
    <x v="0"/>
    <n v="-385818"/>
    <n v="-47.691613565146454"/>
    <s v="Work in progress"/>
  </r>
  <r>
    <s v="P0222"/>
    <s v="Project-484"/>
    <x v="5"/>
    <x v="7"/>
    <x v="168"/>
    <x v="182"/>
    <x v="2"/>
    <n v="692059"/>
    <n v="1136571"/>
    <x v="2"/>
    <x v="0"/>
    <x v="1"/>
    <n v="-444512"/>
    <n v="-39.10991922194038"/>
    <s v="Project delivered successfully"/>
  </r>
  <r>
    <s v="P0223"/>
    <s v="Project-476"/>
    <x v="2"/>
    <x v="6"/>
    <x v="189"/>
    <x v="195"/>
    <x v="2"/>
    <n v="125842"/>
    <n v="160112"/>
    <x v="3"/>
    <x v="0"/>
    <x v="0"/>
    <n v="-34270"/>
    <n v="-21.403767362846008"/>
    <s v="Project delivered successfully"/>
  </r>
  <r>
    <s v="P0224"/>
    <s v="Project-382"/>
    <x v="0"/>
    <x v="2"/>
    <x v="79"/>
    <x v="196"/>
    <x v="2"/>
    <n v="52589"/>
    <n v="68250"/>
    <x v="2"/>
    <x v="0"/>
    <x v="1"/>
    <n v="-15661"/>
    <n v="-22.946520146520147"/>
    <s v="Project delivered successfully"/>
  </r>
  <r>
    <s v="P0225"/>
    <s v="Project-732"/>
    <x v="0"/>
    <x v="0"/>
    <x v="190"/>
    <x v="121"/>
    <x v="0"/>
    <n v="437167"/>
    <n v="812129"/>
    <x v="4"/>
    <x v="2"/>
    <x v="2"/>
    <n v="-374962"/>
    <n v="-46.170251277814238"/>
    <s v="Work in progress"/>
  </r>
  <r>
    <s v="P0226"/>
    <s v="Project-727"/>
    <x v="6"/>
    <x v="2"/>
    <x v="21"/>
    <x v="197"/>
    <x v="0"/>
    <n v="480294"/>
    <n v="963580"/>
    <x v="1"/>
    <x v="1"/>
    <x v="0"/>
    <n v="-483286"/>
    <n v="-50.155254363934496"/>
    <s v="Work in progress"/>
  </r>
  <r>
    <s v="P0227"/>
    <s v="Project-844"/>
    <x v="7"/>
    <x v="7"/>
    <x v="191"/>
    <x v="147"/>
    <x v="2"/>
    <n v="281617"/>
    <n v="1093952"/>
    <x v="4"/>
    <x v="2"/>
    <x v="0"/>
    <n v="-812335"/>
    <n v="-74.256914380155621"/>
    <s v="Project delivered successfully"/>
  </r>
  <r>
    <s v="P0228"/>
    <s v="Project-358"/>
    <x v="4"/>
    <x v="7"/>
    <x v="57"/>
    <x v="198"/>
    <x v="0"/>
    <n v="104918"/>
    <n v="597730"/>
    <x v="4"/>
    <x v="2"/>
    <x v="2"/>
    <n v="-492812"/>
    <n v="-82.447258795777358"/>
    <s v="Work in progress"/>
  </r>
  <r>
    <s v="P0229"/>
    <s v="Project-458"/>
    <x v="3"/>
    <x v="4"/>
    <x v="192"/>
    <x v="199"/>
    <x v="0"/>
    <n v="981105"/>
    <n v="54809"/>
    <x v="3"/>
    <x v="0"/>
    <x v="2"/>
    <n v="926296"/>
    <n v="1690.0436059771205"/>
    <s v="Work in progress"/>
  </r>
  <r>
    <s v="P0230"/>
    <s v="Project-809"/>
    <x v="5"/>
    <x v="4"/>
    <x v="193"/>
    <x v="200"/>
    <x v="3"/>
    <n v="57711"/>
    <n v="1193671"/>
    <x v="0"/>
    <x v="1"/>
    <x v="0"/>
    <n v="-1135960"/>
    <n v="-95.165250726540222"/>
    <s v="Project cancelled"/>
  </r>
  <r>
    <s v="P0231"/>
    <s v="Project-555"/>
    <x v="0"/>
    <x v="2"/>
    <x v="194"/>
    <x v="101"/>
    <x v="0"/>
    <n v="267972"/>
    <n v="686053"/>
    <x v="4"/>
    <x v="2"/>
    <x v="0"/>
    <n v="-418081"/>
    <n v="-60.940043990770384"/>
    <s v="Work in progress"/>
  </r>
  <r>
    <s v="P0232"/>
    <s v="Project-510"/>
    <x v="5"/>
    <x v="0"/>
    <x v="154"/>
    <x v="201"/>
    <x v="2"/>
    <n v="371574"/>
    <n v="653761"/>
    <x v="3"/>
    <x v="3"/>
    <x v="0"/>
    <n v="-282187"/>
    <n v="-43.163633193169979"/>
    <s v="Project delivered successfully"/>
  </r>
  <r>
    <s v="P0233"/>
    <s v="Project-748"/>
    <x v="4"/>
    <x v="2"/>
    <x v="195"/>
    <x v="19"/>
    <x v="0"/>
    <n v="768687"/>
    <n v="1173345"/>
    <x v="1"/>
    <x v="3"/>
    <x v="1"/>
    <n v="-404658"/>
    <n v="-34.487554811244777"/>
    <s v="Work in progress"/>
  </r>
  <r>
    <s v="P0234"/>
    <s v="Project-417"/>
    <x v="3"/>
    <x v="7"/>
    <x v="196"/>
    <x v="139"/>
    <x v="0"/>
    <n v="280314"/>
    <n v="497375"/>
    <x v="3"/>
    <x v="1"/>
    <x v="0"/>
    <n v="-217061"/>
    <n v="-43.641316913797432"/>
    <s v="Work in progress"/>
  </r>
  <r>
    <s v="P0235"/>
    <s v="Project-776"/>
    <x v="4"/>
    <x v="7"/>
    <x v="103"/>
    <x v="202"/>
    <x v="0"/>
    <n v="800506"/>
    <n v="628998"/>
    <x v="3"/>
    <x v="2"/>
    <x v="0"/>
    <n v="171508"/>
    <n v="27.266859354083795"/>
    <s v="Work in progress"/>
  </r>
  <r>
    <s v="P0236"/>
    <s v="Project-324"/>
    <x v="3"/>
    <x v="1"/>
    <x v="197"/>
    <x v="203"/>
    <x v="0"/>
    <n v="939037"/>
    <n v="827784"/>
    <x v="2"/>
    <x v="0"/>
    <x v="2"/>
    <n v="111253"/>
    <n v="13.439858707102337"/>
    <s v="Work in progress"/>
  </r>
  <r>
    <s v="P0237"/>
    <s v="Project-918"/>
    <x v="1"/>
    <x v="4"/>
    <x v="33"/>
    <x v="204"/>
    <x v="0"/>
    <n v="578258"/>
    <n v="1131652"/>
    <x v="0"/>
    <x v="2"/>
    <x v="2"/>
    <n v="-553394"/>
    <n v="-48.901429061230836"/>
    <s v="Work in progress"/>
  </r>
  <r>
    <s v="P0238"/>
    <s v="Project-333"/>
    <x v="3"/>
    <x v="6"/>
    <x v="198"/>
    <x v="205"/>
    <x v="0"/>
    <n v="308989"/>
    <n v="315498"/>
    <x v="0"/>
    <x v="3"/>
    <x v="1"/>
    <n v="-6509"/>
    <n v="-2.0630875631541246"/>
    <s v="Work in progress"/>
  </r>
  <r>
    <s v="P0239"/>
    <s v="Project-783"/>
    <x v="6"/>
    <x v="6"/>
    <x v="199"/>
    <x v="17"/>
    <x v="0"/>
    <n v="381679"/>
    <n v="688672"/>
    <x v="1"/>
    <x v="3"/>
    <x v="2"/>
    <n v="-306993"/>
    <n v="-44.577534733516103"/>
    <s v="Work in progress"/>
  </r>
  <r>
    <s v="P0240"/>
    <s v="Project-763"/>
    <x v="7"/>
    <x v="6"/>
    <x v="200"/>
    <x v="206"/>
    <x v="0"/>
    <n v="923002"/>
    <n v="392136"/>
    <x v="3"/>
    <x v="0"/>
    <x v="0"/>
    <n v="530866"/>
    <n v="135.37803211130833"/>
    <s v="Work in progress"/>
  </r>
  <r>
    <s v="P0241"/>
    <s v="Project-926"/>
    <x v="4"/>
    <x v="1"/>
    <x v="201"/>
    <x v="182"/>
    <x v="0"/>
    <n v="171315"/>
    <n v="188264"/>
    <x v="1"/>
    <x v="1"/>
    <x v="0"/>
    <n v="-16949"/>
    <n v="-9.002783325542854"/>
    <s v="Work in progress"/>
  </r>
  <r>
    <s v="P0242"/>
    <s v="Project-473"/>
    <x v="0"/>
    <x v="3"/>
    <x v="202"/>
    <x v="207"/>
    <x v="0"/>
    <n v="424255"/>
    <n v="1179302"/>
    <x v="1"/>
    <x v="2"/>
    <x v="1"/>
    <n v="-755047"/>
    <n v="-64.024906258108601"/>
    <s v="Work in progress"/>
  </r>
  <r>
    <s v="P0243"/>
    <s v="Project-771"/>
    <x v="6"/>
    <x v="6"/>
    <x v="203"/>
    <x v="208"/>
    <x v="0"/>
    <n v="353874"/>
    <n v="119199"/>
    <x v="0"/>
    <x v="3"/>
    <x v="2"/>
    <n v="234675"/>
    <n v="196.87665164976215"/>
    <s v="Work in progress"/>
  </r>
  <r>
    <s v="P0244"/>
    <s v="Project-707"/>
    <x v="1"/>
    <x v="7"/>
    <x v="204"/>
    <x v="209"/>
    <x v="1"/>
    <n v="525384"/>
    <n v="411339"/>
    <x v="0"/>
    <x v="2"/>
    <x v="2"/>
    <n v="114045"/>
    <n v="27.72530686368178"/>
    <s v="Timeline extended"/>
  </r>
  <r>
    <s v="P0245"/>
    <s v="Project-571"/>
    <x v="7"/>
    <x v="1"/>
    <x v="183"/>
    <x v="85"/>
    <x v="2"/>
    <n v="718745"/>
    <n v="1060412"/>
    <x v="0"/>
    <x v="0"/>
    <x v="2"/>
    <n v="-341667"/>
    <n v="-32.220212521171014"/>
    <s v="Project delivered successfully"/>
  </r>
  <r>
    <s v="P0246"/>
    <s v="Project-332"/>
    <x v="5"/>
    <x v="2"/>
    <x v="205"/>
    <x v="200"/>
    <x v="2"/>
    <n v="173252"/>
    <n v="198561"/>
    <x v="4"/>
    <x v="0"/>
    <x v="1"/>
    <n v="-25309"/>
    <n v="-12.746208973564798"/>
    <s v="Project delivered successfully"/>
  </r>
  <r>
    <s v="P0247"/>
    <s v="Project-791"/>
    <x v="6"/>
    <x v="4"/>
    <x v="206"/>
    <x v="210"/>
    <x v="0"/>
    <n v="187022"/>
    <n v="582561"/>
    <x v="3"/>
    <x v="1"/>
    <x v="2"/>
    <n v="-395539"/>
    <n v="-67.896580787248027"/>
    <s v="Work in progress"/>
  </r>
  <r>
    <s v="P0248"/>
    <s v="Project-212"/>
    <x v="4"/>
    <x v="4"/>
    <x v="207"/>
    <x v="211"/>
    <x v="1"/>
    <n v="806590"/>
    <n v="583761"/>
    <x v="1"/>
    <x v="0"/>
    <x v="2"/>
    <n v="222829"/>
    <n v="38.171272147334264"/>
    <s v="Timeline extended"/>
  </r>
  <r>
    <s v="P0249"/>
    <s v="Project-929"/>
    <x v="2"/>
    <x v="0"/>
    <x v="208"/>
    <x v="104"/>
    <x v="2"/>
    <n v="254583"/>
    <n v="615698"/>
    <x v="3"/>
    <x v="1"/>
    <x v="2"/>
    <n v="-361115"/>
    <n v="-58.651319315638503"/>
    <s v="Project delivered successfully"/>
  </r>
  <r>
    <s v="P0250"/>
    <s v="Project-596"/>
    <x v="2"/>
    <x v="2"/>
    <x v="209"/>
    <x v="212"/>
    <x v="2"/>
    <n v="990902"/>
    <n v="436895"/>
    <x v="1"/>
    <x v="2"/>
    <x v="0"/>
    <n v="554007"/>
    <n v="126.80552535506241"/>
    <s v="Project delivered successfully"/>
  </r>
  <r>
    <s v="P0251"/>
    <s v="Project-541"/>
    <x v="0"/>
    <x v="0"/>
    <x v="210"/>
    <x v="213"/>
    <x v="0"/>
    <n v="992781"/>
    <n v="385125"/>
    <x v="1"/>
    <x v="3"/>
    <x v="1"/>
    <n v="607656"/>
    <n v="157.78149951314509"/>
    <s v="Work in progress"/>
  </r>
  <r>
    <s v="P0252"/>
    <s v="Project-663"/>
    <x v="3"/>
    <x v="1"/>
    <x v="211"/>
    <x v="214"/>
    <x v="3"/>
    <n v="732121"/>
    <n v="75310"/>
    <x v="1"/>
    <x v="3"/>
    <x v="0"/>
    <n v="656811"/>
    <n v="872.14314168105159"/>
    <s v="Project cancelled"/>
  </r>
  <r>
    <s v="P0253"/>
    <s v="Project-367"/>
    <x v="0"/>
    <x v="5"/>
    <x v="212"/>
    <x v="215"/>
    <x v="1"/>
    <n v="245507"/>
    <n v="221755"/>
    <x v="1"/>
    <x v="1"/>
    <x v="1"/>
    <n v="23752"/>
    <n v="10.710919708687515"/>
    <s v="Timeline extended"/>
  </r>
  <r>
    <s v="P0254"/>
    <s v="Project-609"/>
    <x v="2"/>
    <x v="6"/>
    <x v="213"/>
    <x v="216"/>
    <x v="1"/>
    <n v="113944"/>
    <n v="1108009"/>
    <x v="2"/>
    <x v="3"/>
    <x v="2"/>
    <n v="-994065"/>
    <n v="-89.71632901898812"/>
    <s v="Timeline extended"/>
  </r>
  <r>
    <s v="P0255"/>
    <s v="Project-906"/>
    <x v="5"/>
    <x v="3"/>
    <x v="214"/>
    <x v="217"/>
    <x v="0"/>
    <n v="999037"/>
    <n v="499790"/>
    <x v="2"/>
    <x v="1"/>
    <x v="0"/>
    <n v="499247"/>
    <n v="99.891354368834911"/>
    <s v="Work in progress"/>
  </r>
  <r>
    <s v="P0256"/>
    <s v="Project-485"/>
    <x v="1"/>
    <x v="2"/>
    <x v="215"/>
    <x v="218"/>
    <x v="0"/>
    <n v="515718"/>
    <n v="992524"/>
    <x v="4"/>
    <x v="1"/>
    <x v="2"/>
    <n v="-476806"/>
    <n v="-48.039745134626465"/>
    <s v="Work in progress"/>
  </r>
  <r>
    <s v="P0257"/>
    <s v="Project-486"/>
    <x v="1"/>
    <x v="2"/>
    <x v="216"/>
    <x v="219"/>
    <x v="0"/>
    <n v="157437"/>
    <n v="695130"/>
    <x v="0"/>
    <x v="2"/>
    <x v="2"/>
    <n v="-537693"/>
    <n v="-77.351430667644905"/>
    <s v="Work in progress"/>
  </r>
  <r>
    <s v="P0258"/>
    <s v="Project-212"/>
    <x v="4"/>
    <x v="2"/>
    <x v="6"/>
    <x v="220"/>
    <x v="0"/>
    <n v="176794"/>
    <n v="361429"/>
    <x v="1"/>
    <x v="2"/>
    <x v="1"/>
    <n v="-184635"/>
    <n v="-51.084722033926447"/>
    <s v="Work in progress"/>
  </r>
  <r>
    <s v="P0259"/>
    <s v="Project-712"/>
    <x v="1"/>
    <x v="0"/>
    <x v="217"/>
    <x v="41"/>
    <x v="1"/>
    <n v="384267"/>
    <n v="926553"/>
    <x v="3"/>
    <x v="0"/>
    <x v="2"/>
    <n v="-542286"/>
    <n v="-58.527251004529688"/>
    <s v="Timeline extended"/>
  </r>
  <r>
    <s v="P0260"/>
    <s v="Project-724"/>
    <x v="4"/>
    <x v="1"/>
    <x v="218"/>
    <x v="221"/>
    <x v="0"/>
    <n v="335024"/>
    <n v="414891"/>
    <x v="2"/>
    <x v="1"/>
    <x v="0"/>
    <n v="-79867"/>
    <n v="-19.250116295605352"/>
    <s v="Work in progress"/>
  </r>
  <r>
    <s v="P0261"/>
    <s v="Project-180"/>
    <x v="6"/>
    <x v="2"/>
    <x v="38"/>
    <x v="222"/>
    <x v="0"/>
    <n v="484969"/>
    <n v="458487"/>
    <x v="0"/>
    <x v="2"/>
    <x v="1"/>
    <n v="26482"/>
    <n v="5.7759543891102698"/>
    <s v="Work in progress"/>
  </r>
  <r>
    <s v="P0262"/>
    <s v="Project-798"/>
    <x v="4"/>
    <x v="5"/>
    <x v="154"/>
    <x v="223"/>
    <x v="0"/>
    <n v="924261"/>
    <n v="794993"/>
    <x v="4"/>
    <x v="1"/>
    <x v="1"/>
    <n v="129268"/>
    <n v="16.26026895834303"/>
    <s v="Work in progress"/>
  </r>
  <r>
    <s v="P0263"/>
    <s v="Project-212"/>
    <x v="6"/>
    <x v="2"/>
    <x v="219"/>
    <x v="224"/>
    <x v="0"/>
    <n v="706921"/>
    <n v="53439"/>
    <x v="0"/>
    <x v="1"/>
    <x v="0"/>
    <n v="653482"/>
    <n v="1222.8559666161418"/>
    <s v="Work in progress"/>
  </r>
  <r>
    <s v="P0264"/>
    <s v="Project-101"/>
    <x v="4"/>
    <x v="4"/>
    <x v="27"/>
    <x v="203"/>
    <x v="0"/>
    <n v="103205"/>
    <n v="434317"/>
    <x v="1"/>
    <x v="1"/>
    <x v="2"/>
    <n v="-331112"/>
    <n v="-76.237402634481271"/>
    <s v="Work in progress"/>
  </r>
  <r>
    <s v="P0265"/>
    <s v="Project-741"/>
    <x v="2"/>
    <x v="6"/>
    <x v="220"/>
    <x v="225"/>
    <x v="2"/>
    <n v="156948"/>
    <n v="647064"/>
    <x v="0"/>
    <x v="2"/>
    <x v="2"/>
    <n v="-490116"/>
    <n v="-75.744594043247659"/>
    <s v="Project delivered successfully"/>
  </r>
  <r>
    <s v="P0266"/>
    <s v="Project-319"/>
    <x v="2"/>
    <x v="3"/>
    <x v="221"/>
    <x v="226"/>
    <x v="2"/>
    <n v="371954"/>
    <n v="767679"/>
    <x v="1"/>
    <x v="1"/>
    <x v="2"/>
    <n v="-395725"/>
    <n v="-51.548238261043998"/>
    <s v="Project delivered successfully"/>
  </r>
  <r>
    <s v="P0267"/>
    <s v="Project-665"/>
    <x v="3"/>
    <x v="6"/>
    <x v="94"/>
    <x v="227"/>
    <x v="0"/>
    <n v="425233"/>
    <n v="384489"/>
    <x v="2"/>
    <x v="1"/>
    <x v="2"/>
    <n v="40744"/>
    <n v="10.596922148618036"/>
    <s v="Work in progress"/>
  </r>
  <r>
    <s v="P0268"/>
    <s v="Project-954"/>
    <x v="6"/>
    <x v="4"/>
    <x v="209"/>
    <x v="228"/>
    <x v="0"/>
    <n v="638770"/>
    <n v="929355"/>
    <x v="2"/>
    <x v="0"/>
    <x v="2"/>
    <n v="-290585"/>
    <n v="-31.267384368728852"/>
    <s v="Work in progress"/>
  </r>
  <r>
    <s v="P0269"/>
    <s v="Project-835"/>
    <x v="7"/>
    <x v="4"/>
    <x v="222"/>
    <x v="229"/>
    <x v="0"/>
    <n v="381336"/>
    <n v="899891"/>
    <x v="1"/>
    <x v="1"/>
    <x v="1"/>
    <n v="-518555"/>
    <n v="-57.624201153250787"/>
    <s v="Work in progress"/>
  </r>
  <r>
    <s v="P0270"/>
    <s v="Project-324"/>
    <x v="6"/>
    <x v="3"/>
    <x v="223"/>
    <x v="192"/>
    <x v="0"/>
    <n v="661442"/>
    <n v="274361"/>
    <x v="3"/>
    <x v="0"/>
    <x v="1"/>
    <n v="387081"/>
    <n v="141.08455647850823"/>
    <s v="Work in progress"/>
  </r>
  <r>
    <s v="P0271"/>
    <s v="Project-484"/>
    <x v="4"/>
    <x v="5"/>
    <x v="224"/>
    <x v="230"/>
    <x v="2"/>
    <n v="660354"/>
    <n v="765922"/>
    <x v="2"/>
    <x v="1"/>
    <x v="0"/>
    <n v="-105568"/>
    <n v="-13.78312674136531"/>
    <s v="Project delivered successfully"/>
  </r>
  <r>
    <s v="P0272"/>
    <s v="Project-502"/>
    <x v="4"/>
    <x v="1"/>
    <x v="204"/>
    <x v="231"/>
    <x v="2"/>
    <n v="268480"/>
    <n v="708929"/>
    <x v="3"/>
    <x v="0"/>
    <x v="2"/>
    <n v="-440449"/>
    <n v="-62.128788637508123"/>
    <s v="Project delivered successfully"/>
  </r>
  <r>
    <s v="P0273"/>
    <s v="Project-737"/>
    <x v="7"/>
    <x v="4"/>
    <x v="225"/>
    <x v="141"/>
    <x v="2"/>
    <n v="565985"/>
    <n v="936030"/>
    <x v="1"/>
    <x v="2"/>
    <x v="2"/>
    <n v="-370045"/>
    <n v="-39.533455124301568"/>
    <s v="Project delivered successfully"/>
  </r>
  <r>
    <s v="P0274"/>
    <s v="Project-229"/>
    <x v="0"/>
    <x v="1"/>
    <x v="226"/>
    <x v="163"/>
    <x v="2"/>
    <n v="733690"/>
    <n v="727247"/>
    <x v="1"/>
    <x v="2"/>
    <x v="2"/>
    <n v="6443"/>
    <n v="0.88594384026334927"/>
    <s v="Project delivered successfully"/>
  </r>
  <r>
    <s v="P0275"/>
    <s v="Project-152"/>
    <x v="4"/>
    <x v="4"/>
    <x v="227"/>
    <x v="232"/>
    <x v="0"/>
    <n v="459355"/>
    <n v="968397"/>
    <x v="2"/>
    <x v="3"/>
    <x v="0"/>
    <n v="-509042"/>
    <n v="-52.565425130395901"/>
    <s v="Work in progress"/>
  </r>
  <r>
    <s v="P0276"/>
    <s v="Project-783"/>
    <x v="3"/>
    <x v="7"/>
    <x v="228"/>
    <x v="233"/>
    <x v="3"/>
    <n v="178514"/>
    <n v="904403"/>
    <x v="3"/>
    <x v="1"/>
    <x v="2"/>
    <n v="-725889"/>
    <n v="-80.261675381439474"/>
    <s v="Project cancelled"/>
  </r>
  <r>
    <s v="P0277"/>
    <s v="Project-829"/>
    <x v="1"/>
    <x v="3"/>
    <x v="116"/>
    <x v="234"/>
    <x v="1"/>
    <n v="869409"/>
    <n v="478520"/>
    <x v="1"/>
    <x v="3"/>
    <x v="1"/>
    <n v="390889"/>
    <n v="81.6870768201956"/>
    <s v="Timeline extended"/>
  </r>
  <r>
    <s v="P0278"/>
    <s v="Project-771"/>
    <x v="1"/>
    <x v="4"/>
    <x v="229"/>
    <x v="235"/>
    <x v="1"/>
    <n v="54983"/>
    <n v="525644"/>
    <x v="2"/>
    <x v="3"/>
    <x v="2"/>
    <n v="-470661"/>
    <n v="-89.539878701174175"/>
    <s v="Timeline extended"/>
  </r>
  <r>
    <s v="P0279"/>
    <s v="Project-809"/>
    <x v="5"/>
    <x v="7"/>
    <x v="87"/>
    <x v="236"/>
    <x v="0"/>
    <n v="745269"/>
    <n v="455615"/>
    <x v="1"/>
    <x v="0"/>
    <x v="0"/>
    <n v="289654"/>
    <n v="63.574289696344501"/>
    <s v="Work in progress"/>
  </r>
  <r>
    <s v="P0280"/>
    <s v="Project-515"/>
    <x v="5"/>
    <x v="6"/>
    <x v="230"/>
    <x v="237"/>
    <x v="1"/>
    <n v="245552"/>
    <n v="802443"/>
    <x v="0"/>
    <x v="2"/>
    <x v="1"/>
    <n v="-556891"/>
    <n v="-69.399446440432527"/>
    <s v="Timeline extended"/>
  </r>
  <r>
    <s v="P0281"/>
    <s v="Project-346"/>
    <x v="1"/>
    <x v="0"/>
    <x v="231"/>
    <x v="238"/>
    <x v="1"/>
    <n v="361173"/>
    <n v="997035"/>
    <x v="0"/>
    <x v="1"/>
    <x v="1"/>
    <n v="-635862"/>
    <n v="-63.775293745956759"/>
    <s v="Timeline extended"/>
  </r>
  <r>
    <s v="P0282"/>
    <s v="Project-935"/>
    <x v="1"/>
    <x v="7"/>
    <x v="206"/>
    <x v="62"/>
    <x v="1"/>
    <n v="726689"/>
    <n v="110570"/>
    <x v="2"/>
    <x v="1"/>
    <x v="1"/>
    <n v="616119"/>
    <n v="557.22076512616445"/>
    <s v="Timeline extended"/>
  </r>
  <r>
    <s v="P0283"/>
    <s v="Project-538"/>
    <x v="2"/>
    <x v="2"/>
    <x v="232"/>
    <x v="239"/>
    <x v="0"/>
    <n v="696956"/>
    <n v="348581"/>
    <x v="1"/>
    <x v="0"/>
    <x v="2"/>
    <n v="348375"/>
    <n v="99.940903262082557"/>
    <s v="Work in progress"/>
  </r>
  <r>
    <s v="P0284"/>
    <s v="Project-302"/>
    <x v="3"/>
    <x v="4"/>
    <x v="15"/>
    <x v="240"/>
    <x v="2"/>
    <n v="217806"/>
    <n v="370323"/>
    <x v="2"/>
    <x v="3"/>
    <x v="0"/>
    <n v="-152517"/>
    <n v="-41.184857543279783"/>
    <s v="Project delivered successfully"/>
  </r>
  <r>
    <s v="P0285"/>
    <s v="Project-283"/>
    <x v="7"/>
    <x v="7"/>
    <x v="233"/>
    <x v="241"/>
    <x v="3"/>
    <n v="879269"/>
    <n v="982573"/>
    <x v="4"/>
    <x v="0"/>
    <x v="0"/>
    <n v="-103304"/>
    <n v="-10.513620870917478"/>
    <s v="Project cancelled"/>
  </r>
  <r>
    <s v="P0286"/>
    <s v="Project-222"/>
    <x v="5"/>
    <x v="1"/>
    <x v="234"/>
    <x v="242"/>
    <x v="2"/>
    <n v="779714"/>
    <n v="723920"/>
    <x v="2"/>
    <x v="3"/>
    <x v="2"/>
    <n v="55794"/>
    <n v="7.7072052160459714"/>
    <s v="Project delivered successfully"/>
  </r>
  <r>
    <s v="P0287"/>
    <s v="Project-500"/>
    <x v="2"/>
    <x v="0"/>
    <x v="235"/>
    <x v="243"/>
    <x v="2"/>
    <n v="257526"/>
    <n v="465643"/>
    <x v="2"/>
    <x v="1"/>
    <x v="0"/>
    <n v="-208117"/>
    <n v="-44.69454066742118"/>
    <s v="Project delivered successfully"/>
  </r>
  <r>
    <s v="P0288"/>
    <s v="Project-866"/>
    <x v="2"/>
    <x v="5"/>
    <x v="236"/>
    <x v="244"/>
    <x v="1"/>
    <n v="289026"/>
    <n v="942040"/>
    <x v="0"/>
    <x v="0"/>
    <x v="1"/>
    <n v="-653014"/>
    <n v="-69.31913719162668"/>
    <s v="Timeline extended"/>
  </r>
  <r>
    <s v="P0289"/>
    <s v="Project-393"/>
    <x v="7"/>
    <x v="4"/>
    <x v="3"/>
    <x v="245"/>
    <x v="0"/>
    <n v="691800"/>
    <n v="1008000"/>
    <x v="0"/>
    <x v="3"/>
    <x v="1"/>
    <n v="-316200"/>
    <n v="-31.36904761904762"/>
    <s v="Work in progress"/>
  </r>
  <r>
    <s v="P0290"/>
    <s v="Project-379"/>
    <x v="2"/>
    <x v="2"/>
    <x v="12"/>
    <x v="91"/>
    <x v="2"/>
    <n v="116786"/>
    <n v="627040"/>
    <x v="1"/>
    <x v="0"/>
    <x v="0"/>
    <n v="-510254"/>
    <n v="-81.375031895891809"/>
    <s v="Project delivered successfully"/>
  </r>
  <r>
    <s v="P0291"/>
    <s v="Project-936"/>
    <x v="6"/>
    <x v="5"/>
    <x v="237"/>
    <x v="246"/>
    <x v="0"/>
    <n v="316902"/>
    <n v="231513"/>
    <x v="2"/>
    <x v="2"/>
    <x v="0"/>
    <n v="85389"/>
    <n v="36.883026007178863"/>
    <s v="Work in progress"/>
  </r>
  <r>
    <s v="P0292"/>
    <s v="Project-983"/>
    <x v="3"/>
    <x v="7"/>
    <x v="238"/>
    <x v="85"/>
    <x v="1"/>
    <n v="414811"/>
    <n v="396447"/>
    <x v="2"/>
    <x v="0"/>
    <x v="2"/>
    <n v="18364"/>
    <n v="4.6321450282131025"/>
    <s v="Timeline extended"/>
  </r>
  <r>
    <s v="P0293"/>
    <s v="Project-709"/>
    <x v="1"/>
    <x v="5"/>
    <x v="239"/>
    <x v="247"/>
    <x v="0"/>
    <n v="510915"/>
    <n v="774402"/>
    <x v="1"/>
    <x v="1"/>
    <x v="2"/>
    <n v="-263487"/>
    <n v="-34.024576382808931"/>
    <s v="Work in progress"/>
  </r>
  <r>
    <s v="P0294"/>
    <s v="Project-297"/>
    <x v="4"/>
    <x v="5"/>
    <x v="240"/>
    <x v="248"/>
    <x v="0"/>
    <n v="682407"/>
    <n v="823720"/>
    <x v="3"/>
    <x v="0"/>
    <x v="2"/>
    <n v="-141313"/>
    <n v="-17.155465449424561"/>
    <s v="Work in progress"/>
  </r>
  <r>
    <s v="P0295"/>
    <s v="Project-610"/>
    <x v="7"/>
    <x v="0"/>
    <x v="241"/>
    <x v="249"/>
    <x v="2"/>
    <n v="412301"/>
    <n v="1188146"/>
    <x v="1"/>
    <x v="1"/>
    <x v="2"/>
    <n v="-775845"/>
    <n v="-65.298793245947877"/>
    <s v="Project delivered successfully"/>
  </r>
  <r>
    <s v="P0296"/>
    <s v="Project-851"/>
    <x v="1"/>
    <x v="6"/>
    <x v="242"/>
    <x v="250"/>
    <x v="2"/>
    <n v="132673"/>
    <n v="911979"/>
    <x v="0"/>
    <x v="1"/>
    <x v="2"/>
    <n v="-779306"/>
    <n v="-85.452186947287174"/>
    <s v="Project delivered successfully"/>
  </r>
  <r>
    <s v="P0297"/>
    <s v="Project-243"/>
    <x v="1"/>
    <x v="5"/>
    <x v="243"/>
    <x v="165"/>
    <x v="2"/>
    <n v="409783"/>
    <n v="552699"/>
    <x v="0"/>
    <x v="0"/>
    <x v="2"/>
    <n v="-142916"/>
    <n v="-25.857835820220409"/>
    <s v="Project delivered successfully"/>
  </r>
  <r>
    <s v="P0298"/>
    <s v="Project-708"/>
    <x v="0"/>
    <x v="5"/>
    <x v="244"/>
    <x v="80"/>
    <x v="1"/>
    <n v="202904"/>
    <n v="1110976"/>
    <x v="2"/>
    <x v="0"/>
    <x v="1"/>
    <n v="-908072"/>
    <n v="-81.736419148568459"/>
    <s v="Timeline extended"/>
  </r>
  <r>
    <s v="P0299"/>
    <s v="Project-300"/>
    <x v="6"/>
    <x v="4"/>
    <x v="43"/>
    <x v="251"/>
    <x v="1"/>
    <n v="969372"/>
    <n v="939041"/>
    <x v="0"/>
    <x v="0"/>
    <x v="0"/>
    <n v="30331"/>
    <n v="3.2299974122535651"/>
    <s v="Timeline extended"/>
  </r>
  <r>
    <s v="P0300"/>
    <s v="Project-223"/>
    <x v="7"/>
    <x v="6"/>
    <x v="245"/>
    <x v="252"/>
    <x v="0"/>
    <n v="309111"/>
    <n v="162639"/>
    <x v="1"/>
    <x v="2"/>
    <x v="2"/>
    <n v="146472"/>
    <n v="90.059579805581691"/>
    <s v="Work in progress"/>
  </r>
  <r>
    <s v="P0301"/>
    <s v="Project-286"/>
    <x v="2"/>
    <x v="0"/>
    <x v="246"/>
    <x v="253"/>
    <x v="0"/>
    <n v="689157"/>
    <n v="602166"/>
    <x v="2"/>
    <x v="2"/>
    <x v="1"/>
    <n v="86991"/>
    <n v="14.446348681260648"/>
    <s v="Work in progress"/>
  </r>
  <r>
    <s v="P0302"/>
    <s v="Project-425"/>
    <x v="4"/>
    <x v="2"/>
    <x v="247"/>
    <x v="254"/>
    <x v="0"/>
    <n v="493881"/>
    <n v="78850"/>
    <x v="1"/>
    <x v="3"/>
    <x v="0"/>
    <n v="415031"/>
    <n v="526.35510462904244"/>
    <s v="Work in progress"/>
  </r>
  <r>
    <s v="P0303"/>
    <s v="Project-563"/>
    <x v="7"/>
    <x v="7"/>
    <x v="114"/>
    <x v="255"/>
    <x v="0"/>
    <n v="294944"/>
    <n v="948598"/>
    <x v="1"/>
    <x v="0"/>
    <x v="0"/>
    <n v="-653654"/>
    <n v="-68.907376992150532"/>
    <s v="Work in progress"/>
  </r>
  <r>
    <s v="P0304"/>
    <s v="Project-448"/>
    <x v="2"/>
    <x v="0"/>
    <x v="248"/>
    <x v="256"/>
    <x v="0"/>
    <n v="485078"/>
    <n v="696495"/>
    <x v="2"/>
    <x v="3"/>
    <x v="0"/>
    <n v="-211417"/>
    <n v="-30.354417476076641"/>
    <s v="Work in progress"/>
  </r>
  <r>
    <s v="P0305"/>
    <s v="Project-870"/>
    <x v="1"/>
    <x v="0"/>
    <x v="158"/>
    <x v="257"/>
    <x v="1"/>
    <n v="331872"/>
    <n v="1123689"/>
    <x v="3"/>
    <x v="3"/>
    <x v="2"/>
    <n v="-791817"/>
    <n v="-70.465849536660059"/>
    <s v="Timeline extended"/>
  </r>
  <r>
    <s v="P0306"/>
    <s v="Project-759"/>
    <x v="4"/>
    <x v="3"/>
    <x v="158"/>
    <x v="258"/>
    <x v="1"/>
    <n v="939974"/>
    <n v="88791"/>
    <x v="0"/>
    <x v="1"/>
    <x v="2"/>
    <n v="851183"/>
    <n v="958.63657352659607"/>
    <s v="Timeline extended"/>
  </r>
  <r>
    <s v="P0307"/>
    <s v="Project-863"/>
    <x v="2"/>
    <x v="0"/>
    <x v="249"/>
    <x v="259"/>
    <x v="0"/>
    <n v="929997"/>
    <n v="826116"/>
    <x v="4"/>
    <x v="3"/>
    <x v="2"/>
    <n v="103881"/>
    <n v="12.57462632366399"/>
    <s v="Work in progress"/>
  </r>
  <r>
    <s v="P0308"/>
    <s v="Project-502"/>
    <x v="3"/>
    <x v="6"/>
    <x v="250"/>
    <x v="260"/>
    <x v="0"/>
    <n v="483073"/>
    <n v="909215"/>
    <x v="4"/>
    <x v="0"/>
    <x v="0"/>
    <n v="-426142"/>
    <n v="-46.86922235114907"/>
    <s v="Work in progress"/>
  </r>
  <r>
    <s v="P0309"/>
    <s v="Project-445"/>
    <x v="2"/>
    <x v="3"/>
    <x v="236"/>
    <x v="261"/>
    <x v="2"/>
    <n v="471399"/>
    <n v="169118"/>
    <x v="4"/>
    <x v="2"/>
    <x v="0"/>
    <n v="302281"/>
    <n v="178.73969654324199"/>
    <s v="Project delivered successfully"/>
  </r>
  <r>
    <s v="P0310"/>
    <s v="Project-610"/>
    <x v="0"/>
    <x v="7"/>
    <x v="237"/>
    <x v="262"/>
    <x v="0"/>
    <n v="531537"/>
    <n v="559222"/>
    <x v="0"/>
    <x v="3"/>
    <x v="1"/>
    <n v="-27685"/>
    <n v="-4.9506278365300371"/>
    <s v="Work in progress"/>
  </r>
  <r>
    <s v="P0311"/>
    <s v="Project-246"/>
    <x v="6"/>
    <x v="5"/>
    <x v="251"/>
    <x v="263"/>
    <x v="0"/>
    <n v="833842"/>
    <n v="1007060"/>
    <x v="3"/>
    <x v="3"/>
    <x v="1"/>
    <n v="-173218"/>
    <n v="-17.200365420133856"/>
    <s v="Work in progress"/>
  </r>
  <r>
    <s v="P0312"/>
    <s v="Project-247"/>
    <x v="1"/>
    <x v="4"/>
    <x v="121"/>
    <x v="264"/>
    <x v="1"/>
    <n v="462156"/>
    <n v="293498"/>
    <x v="1"/>
    <x v="2"/>
    <x v="1"/>
    <n v="168658"/>
    <n v="57.464786812857326"/>
    <s v="Timeline extended"/>
  </r>
  <r>
    <s v="P0313"/>
    <s v="Project-963"/>
    <x v="2"/>
    <x v="4"/>
    <x v="252"/>
    <x v="265"/>
    <x v="1"/>
    <n v="699307"/>
    <n v="659065"/>
    <x v="2"/>
    <x v="3"/>
    <x v="1"/>
    <n v="40242"/>
    <n v="6.1059227845508408"/>
    <s v="Timeline extended"/>
  </r>
  <r>
    <s v="P0314"/>
    <s v="Project-810"/>
    <x v="6"/>
    <x v="7"/>
    <x v="253"/>
    <x v="266"/>
    <x v="0"/>
    <n v="448496"/>
    <n v="284164"/>
    <x v="3"/>
    <x v="0"/>
    <x v="0"/>
    <n v="164332"/>
    <n v="57.829985501330214"/>
    <s v="Work in progress"/>
  </r>
  <r>
    <s v="P0315"/>
    <s v="Project-919"/>
    <x v="5"/>
    <x v="7"/>
    <x v="94"/>
    <x v="121"/>
    <x v="1"/>
    <n v="152548"/>
    <n v="1131622"/>
    <x v="4"/>
    <x v="3"/>
    <x v="2"/>
    <n v="-979074"/>
    <n v="-86.519526838467272"/>
    <s v="Timeline extended"/>
  </r>
  <r>
    <s v="P0316"/>
    <s v="Project-588"/>
    <x v="5"/>
    <x v="6"/>
    <x v="254"/>
    <x v="247"/>
    <x v="0"/>
    <n v="445380"/>
    <n v="403242"/>
    <x v="0"/>
    <x v="1"/>
    <x v="2"/>
    <n v="42138"/>
    <n v="10.449804335857872"/>
    <s v="Work in progress"/>
  </r>
  <r>
    <s v="P0317"/>
    <s v="Project-739"/>
    <x v="6"/>
    <x v="1"/>
    <x v="255"/>
    <x v="189"/>
    <x v="2"/>
    <n v="433433"/>
    <n v="619352"/>
    <x v="0"/>
    <x v="3"/>
    <x v="2"/>
    <n v="-185919"/>
    <n v="-30.018309458918353"/>
    <s v="Project delivered successfully"/>
  </r>
  <r>
    <s v="P0318"/>
    <s v="Project-650"/>
    <x v="6"/>
    <x v="5"/>
    <x v="65"/>
    <x v="267"/>
    <x v="0"/>
    <n v="535940"/>
    <n v="688323"/>
    <x v="2"/>
    <x v="1"/>
    <x v="2"/>
    <n v="-152383"/>
    <n v="-22.138298444189719"/>
    <s v="Work in progress"/>
  </r>
  <r>
    <s v="P0319"/>
    <s v="Project-437"/>
    <x v="0"/>
    <x v="7"/>
    <x v="256"/>
    <x v="268"/>
    <x v="0"/>
    <n v="818813"/>
    <n v="57424"/>
    <x v="1"/>
    <x v="2"/>
    <x v="1"/>
    <n v="761389"/>
    <n v="1325.9072861521315"/>
    <s v="Work in progress"/>
  </r>
  <r>
    <s v="P0320"/>
    <s v="Project-971"/>
    <x v="3"/>
    <x v="0"/>
    <x v="257"/>
    <x v="269"/>
    <x v="1"/>
    <n v="441212"/>
    <n v="765399"/>
    <x v="3"/>
    <x v="2"/>
    <x v="0"/>
    <n v="-324187"/>
    <n v="-42.355294428134869"/>
    <s v="Timeline extended"/>
  </r>
  <r>
    <s v="P0321"/>
    <s v="Project-740"/>
    <x v="1"/>
    <x v="6"/>
    <x v="151"/>
    <x v="270"/>
    <x v="0"/>
    <n v="391768"/>
    <n v="1043281"/>
    <x v="3"/>
    <x v="3"/>
    <x v="2"/>
    <n v="-651513"/>
    <n v="-62.448467862445497"/>
    <s v="Work in progress"/>
  </r>
  <r>
    <s v="P0322"/>
    <s v="Project-878"/>
    <x v="7"/>
    <x v="4"/>
    <x v="258"/>
    <x v="173"/>
    <x v="2"/>
    <n v="723765"/>
    <n v="299283"/>
    <x v="3"/>
    <x v="3"/>
    <x v="0"/>
    <n v="424482"/>
    <n v="141.83298082416977"/>
    <s v="Project delivered successfully"/>
  </r>
  <r>
    <s v="P0323"/>
    <s v="Project-572"/>
    <x v="0"/>
    <x v="2"/>
    <x v="259"/>
    <x v="271"/>
    <x v="0"/>
    <n v="577109"/>
    <n v="303370"/>
    <x v="1"/>
    <x v="2"/>
    <x v="1"/>
    <n v="273739"/>
    <n v="90.232719121864392"/>
    <s v="Work in progress"/>
  </r>
  <r>
    <s v="P0324"/>
    <s v="Project-250"/>
    <x v="3"/>
    <x v="6"/>
    <x v="260"/>
    <x v="272"/>
    <x v="0"/>
    <n v="367234"/>
    <n v="503514"/>
    <x v="1"/>
    <x v="1"/>
    <x v="1"/>
    <n v="-136280"/>
    <n v="-27.065781686308622"/>
    <s v="Work in progress"/>
  </r>
  <r>
    <s v="P0325"/>
    <s v="Project-514"/>
    <x v="6"/>
    <x v="4"/>
    <x v="261"/>
    <x v="273"/>
    <x v="0"/>
    <n v="465732"/>
    <n v="375796"/>
    <x v="1"/>
    <x v="2"/>
    <x v="2"/>
    <n v="89936"/>
    <n v="23.932133391520932"/>
    <s v="Work in progress"/>
  </r>
  <r>
    <s v="P0326"/>
    <s v="Project-397"/>
    <x v="7"/>
    <x v="3"/>
    <x v="262"/>
    <x v="155"/>
    <x v="0"/>
    <n v="977977"/>
    <n v="1070062"/>
    <x v="2"/>
    <x v="2"/>
    <x v="2"/>
    <n v="-92085"/>
    <n v="-8.6055761254955314"/>
    <s v="Work in progress"/>
  </r>
  <r>
    <s v="P0327"/>
    <s v="Project-710"/>
    <x v="6"/>
    <x v="6"/>
    <x v="263"/>
    <x v="274"/>
    <x v="2"/>
    <n v="882886"/>
    <n v="723468"/>
    <x v="0"/>
    <x v="1"/>
    <x v="1"/>
    <n v="159418"/>
    <n v="22.035252423051194"/>
    <s v="Project delivered successfully"/>
  </r>
  <r>
    <s v="P0328"/>
    <s v="Project-362"/>
    <x v="6"/>
    <x v="4"/>
    <x v="264"/>
    <x v="14"/>
    <x v="0"/>
    <n v="223602"/>
    <n v="624935"/>
    <x v="4"/>
    <x v="2"/>
    <x v="1"/>
    <n v="-401333"/>
    <n v="-64.219958875723066"/>
    <s v="Work in progress"/>
  </r>
  <r>
    <s v="P0329"/>
    <s v="Project-863"/>
    <x v="5"/>
    <x v="1"/>
    <x v="265"/>
    <x v="121"/>
    <x v="2"/>
    <n v="154273"/>
    <n v="190887"/>
    <x v="1"/>
    <x v="3"/>
    <x v="0"/>
    <n v="-36614"/>
    <n v="-19.180981418326027"/>
    <s v="Project delivered successfully"/>
  </r>
  <r>
    <s v="P0330"/>
    <s v="Project-243"/>
    <x v="5"/>
    <x v="6"/>
    <x v="41"/>
    <x v="275"/>
    <x v="2"/>
    <n v="306196"/>
    <n v="727590"/>
    <x v="0"/>
    <x v="3"/>
    <x v="1"/>
    <n v="-421394"/>
    <n v="-57.916408966588328"/>
    <s v="Project delivered successfully"/>
  </r>
  <r>
    <s v="P0331"/>
    <s v="Project-445"/>
    <x v="7"/>
    <x v="6"/>
    <x v="138"/>
    <x v="276"/>
    <x v="2"/>
    <n v="940904"/>
    <n v="1069719"/>
    <x v="1"/>
    <x v="2"/>
    <x v="0"/>
    <n v="-128815"/>
    <n v="-12.041947464708022"/>
    <s v="Project delivered successfully"/>
  </r>
  <r>
    <s v="P0332"/>
    <s v="Project-723"/>
    <x v="0"/>
    <x v="5"/>
    <x v="266"/>
    <x v="277"/>
    <x v="0"/>
    <n v="273626"/>
    <n v="506665"/>
    <x v="4"/>
    <x v="3"/>
    <x v="1"/>
    <n v="-233039"/>
    <n v="-45.994690772009115"/>
    <s v="Work in progress"/>
  </r>
  <r>
    <s v="P0333"/>
    <s v="Project-671"/>
    <x v="5"/>
    <x v="7"/>
    <x v="205"/>
    <x v="208"/>
    <x v="1"/>
    <n v="260704"/>
    <n v="431210"/>
    <x v="1"/>
    <x v="0"/>
    <x v="0"/>
    <n v="-170506"/>
    <n v="-39.541290786391784"/>
    <s v="Timeline extended"/>
  </r>
  <r>
    <s v="P0334"/>
    <s v="Project-980"/>
    <x v="1"/>
    <x v="5"/>
    <x v="267"/>
    <x v="160"/>
    <x v="0"/>
    <n v="286579"/>
    <n v="482282"/>
    <x v="0"/>
    <x v="2"/>
    <x v="1"/>
    <n v="-195703"/>
    <n v="-40.57854118544752"/>
    <s v="Work in progress"/>
  </r>
  <r>
    <s v="P0335"/>
    <s v="Project-101"/>
    <x v="6"/>
    <x v="6"/>
    <x v="268"/>
    <x v="278"/>
    <x v="0"/>
    <n v="992302"/>
    <n v="784380"/>
    <x v="2"/>
    <x v="0"/>
    <x v="1"/>
    <n v="207922"/>
    <n v="26.507815089624927"/>
    <s v="Work in progress"/>
  </r>
  <r>
    <s v="P0336"/>
    <s v="Project-996"/>
    <x v="4"/>
    <x v="7"/>
    <x v="28"/>
    <x v="279"/>
    <x v="0"/>
    <n v="444079"/>
    <n v="953733"/>
    <x v="4"/>
    <x v="2"/>
    <x v="0"/>
    <n v="-509654"/>
    <n v="-53.437807017267936"/>
    <s v="Work in progress"/>
  </r>
  <r>
    <s v="P0337"/>
    <s v="Project-403"/>
    <x v="2"/>
    <x v="4"/>
    <x v="269"/>
    <x v="280"/>
    <x v="0"/>
    <n v="590436"/>
    <n v="777662"/>
    <x v="0"/>
    <x v="2"/>
    <x v="0"/>
    <n v="-187226"/>
    <n v="-24.075498095573657"/>
    <s v="Work in progress"/>
  </r>
  <r>
    <s v="P0338"/>
    <s v="Project-353"/>
    <x v="7"/>
    <x v="2"/>
    <x v="194"/>
    <x v="245"/>
    <x v="0"/>
    <n v="136545"/>
    <n v="1160700"/>
    <x v="3"/>
    <x v="0"/>
    <x v="2"/>
    <n v="-1024155"/>
    <n v="-88.235978288963551"/>
    <s v="Work in progress"/>
  </r>
  <r>
    <s v="P0339"/>
    <s v="Project-751"/>
    <x v="7"/>
    <x v="2"/>
    <x v="270"/>
    <x v="109"/>
    <x v="2"/>
    <n v="104459"/>
    <n v="511920"/>
    <x v="3"/>
    <x v="2"/>
    <x v="2"/>
    <n v="-407461"/>
    <n v="-79.594663228629472"/>
    <s v="Project delivered successfully"/>
  </r>
  <r>
    <s v="P0340"/>
    <s v="Project-552"/>
    <x v="5"/>
    <x v="6"/>
    <x v="3"/>
    <x v="281"/>
    <x v="0"/>
    <n v="788705"/>
    <n v="730149"/>
    <x v="3"/>
    <x v="3"/>
    <x v="1"/>
    <n v="58556"/>
    <n v="8.019732958615295"/>
    <s v="Work in progress"/>
  </r>
  <r>
    <s v="P0341"/>
    <s v="Project-136"/>
    <x v="0"/>
    <x v="1"/>
    <x v="271"/>
    <x v="282"/>
    <x v="0"/>
    <n v="920656"/>
    <n v="787758"/>
    <x v="2"/>
    <x v="0"/>
    <x v="1"/>
    <n v="132898"/>
    <n v="16.87040944046268"/>
    <s v="Work in progress"/>
  </r>
  <r>
    <s v="P0342"/>
    <s v="Project-259"/>
    <x v="6"/>
    <x v="3"/>
    <x v="272"/>
    <x v="260"/>
    <x v="2"/>
    <n v="378333"/>
    <n v="957028"/>
    <x v="1"/>
    <x v="2"/>
    <x v="0"/>
    <n v="-578695"/>
    <n v="-60.467927793126222"/>
    <s v="Project delivered successfully"/>
  </r>
  <r>
    <s v="P0343"/>
    <s v="Project-108"/>
    <x v="1"/>
    <x v="4"/>
    <x v="273"/>
    <x v="230"/>
    <x v="0"/>
    <n v="567255"/>
    <n v="118074"/>
    <x v="1"/>
    <x v="3"/>
    <x v="1"/>
    <n v="449181"/>
    <n v="380.42329386655825"/>
    <s v="Work in progress"/>
  </r>
  <r>
    <s v="P0344"/>
    <s v="Project-332"/>
    <x v="0"/>
    <x v="7"/>
    <x v="274"/>
    <x v="22"/>
    <x v="0"/>
    <n v="451345"/>
    <n v="1186921"/>
    <x v="1"/>
    <x v="0"/>
    <x v="2"/>
    <n v="-735576"/>
    <n v="-61.973459059196024"/>
    <s v="Work in progress"/>
  </r>
  <r>
    <s v="P0345"/>
    <s v="Project-198"/>
    <x v="3"/>
    <x v="6"/>
    <x v="48"/>
    <x v="239"/>
    <x v="0"/>
    <n v="141954"/>
    <n v="955607"/>
    <x v="2"/>
    <x v="0"/>
    <x v="0"/>
    <n v="-813653"/>
    <n v="-85.145148580954299"/>
    <s v="Work in progress"/>
  </r>
  <r>
    <s v="P0346"/>
    <s v="Project-758"/>
    <x v="3"/>
    <x v="4"/>
    <x v="275"/>
    <x v="120"/>
    <x v="2"/>
    <n v="859550"/>
    <n v="1132779"/>
    <x v="3"/>
    <x v="3"/>
    <x v="1"/>
    <n v="-273229"/>
    <n v="-24.120238810924285"/>
    <s v="Project delivered successfully"/>
  </r>
  <r>
    <s v="P0347"/>
    <s v="Project-915"/>
    <x v="4"/>
    <x v="6"/>
    <x v="157"/>
    <x v="283"/>
    <x v="0"/>
    <n v="705803"/>
    <n v="408884"/>
    <x v="1"/>
    <x v="2"/>
    <x v="0"/>
    <n v="296919"/>
    <n v="72.616928028487294"/>
    <s v="Work in progress"/>
  </r>
  <r>
    <s v="P0348"/>
    <s v="Project-307"/>
    <x v="5"/>
    <x v="1"/>
    <x v="258"/>
    <x v="189"/>
    <x v="0"/>
    <n v="994545"/>
    <n v="152217"/>
    <x v="2"/>
    <x v="2"/>
    <x v="2"/>
    <n v="842328"/>
    <n v="553.37314491811037"/>
    <s v="Work in progress"/>
  </r>
  <r>
    <s v="P0349"/>
    <s v="Project-230"/>
    <x v="5"/>
    <x v="0"/>
    <x v="179"/>
    <x v="284"/>
    <x v="0"/>
    <n v="663667"/>
    <n v="176101"/>
    <x v="2"/>
    <x v="0"/>
    <x v="2"/>
    <n v="487566"/>
    <n v="276.86725231543261"/>
    <s v="Work in progress"/>
  </r>
  <r>
    <s v="P0350"/>
    <s v="Project-503"/>
    <x v="5"/>
    <x v="0"/>
    <x v="157"/>
    <x v="66"/>
    <x v="2"/>
    <n v="333197"/>
    <n v="781727"/>
    <x v="0"/>
    <x v="1"/>
    <x v="2"/>
    <n v="-448530"/>
    <n v="-57.376808016097691"/>
    <s v="Project delivered successfully"/>
  </r>
  <r>
    <s v="P0351"/>
    <s v="Project-251"/>
    <x v="4"/>
    <x v="1"/>
    <x v="197"/>
    <x v="183"/>
    <x v="2"/>
    <n v="932816"/>
    <n v="119067"/>
    <x v="1"/>
    <x v="2"/>
    <x v="1"/>
    <n v="813749"/>
    <n v="683.43789631048071"/>
    <s v="Project delivered successfully"/>
  </r>
  <r>
    <s v="P0352"/>
    <s v="Project-153"/>
    <x v="3"/>
    <x v="7"/>
    <x v="20"/>
    <x v="285"/>
    <x v="1"/>
    <n v="546626"/>
    <n v="83520"/>
    <x v="3"/>
    <x v="2"/>
    <x v="1"/>
    <n v="463106"/>
    <n v="554.48515325670496"/>
    <s v="Timeline extended"/>
  </r>
  <r>
    <s v="P0353"/>
    <s v="Project-219"/>
    <x v="0"/>
    <x v="5"/>
    <x v="114"/>
    <x v="279"/>
    <x v="0"/>
    <n v="218276"/>
    <n v="1148629"/>
    <x v="4"/>
    <x v="3"/>
    <x v="1"/>
    <n v="-930353"/>
    <n v="-80.996823169186911"/>
    <s v="Work in progress"/>
  </r>
  <r>
    <s v="P0354"/>
    <s v="Project-772"/>
    <x v="4"/>
    <x v="1"/>
    <x v="276"/>
    <x v="280"/>
    <x v="0"/>
    <n v="953977"/>
    <n v="81464"/>
    <x v="2"/>
    <x v="1"/>
    <x v="1"/>
    <n v="872513"/>
    <n v="1071.0411961111656"/>
    <s v="Work in progress"/>
  </r>
  <r>
    <s v="P0355"/>
    <s v="Project-727"/>
    <x v="4"/>
    <x v="6"/>
    <x v="277"/>
    <x v="286"/>
    <x v="0"/>
    <n v="747600"/>
    <n v="183033"/>
    <x v="0"/>
    <x v="1"/>
    <x v="1"/>
    <n v="564567"/>
    <n v="308.45093507728114"/>
    <s v="Work in progress"/>
  </r>
  <r>
    <s v="P0356"/>
    <s v="Project-686"/>
    <x v="0"/>
    <x v="7"/>
    <x v="231"/>
    <x v="287"/>
    <x v="0"/>
    <n v="282415"/>
    <n v="974339"/>
    <x v="4"/>
    <x v="0"/>
    <x v="1"/>
    <n v="-691924"/>
    <n v="-71.014708433101831"/>
    <s v="Work in progress"/>
  </r>
  <r>
    <s v="P0357"/>
    <s v="Project-724"/>
    <x v="5"/>
    <x v="2"/>
    <x v="278"/>
    <x v="56"/>
    <x v="0"/>
    <n v="963107"/>
    <n v="975229"/>
    <x v="2"/>
    <x v="3"/>
    <x v="2"/>
    <n v="-12122"/>
    <n v="-1.2429901079643857"/>
    <s v="Work in progress"/>
  </r>
  <r>
    <s v="P0358"/>
    <s v="Project-519"/>
    <x v="1"/>
    <x v="1"/>
    <x v="279"/>
    <x v="241"/>
    <x v="0"/>
    <n v="405893"/>
    <n v="841789"/>
    <x v="0"/>
    <x v="3"/>
    <x v="2"/>
    <n v="-435896"/>
    <n v="-51.782097413960024"/>
    <s v="Work in progress"/>
  </r>
  <r>
    <s v="P0359"/>
    <s v="Project-521"/>
    <x v="0"/>
    <x v="7"/>
    <x v="56"/>
    <x v="288"/>
    <x v="0"/>
    <n v="504318"/>
    <n v="1056713"/>
    <x v="1"/>
    <x v="2"/>
    <x v="1"/>
    <n v="-552395"/>
    <n v="-52.274837160137146"/>
    <s v="Work in progress"/>
  </r>
  <r>
    <s v="P0360"/>
    <s v="Project-203"/>
    <x v="3"/>
    <x v="1"/>
    <x v="82"/>
    <x v="289"/>
    <x v="2"/>
    <n v="189363"/>
    <n v="162316"/>
    <x v="0"/>
    <x v="0"/>
    <x v="2"/>
    <n v="27047"/>
    <n v="16.663175534143278"/>
    <s v="Project delivered successfully"/>
  </r>
  <r>
    <s v="P0361"/>
    <s v="Project-951"/>
    <x v="7"/>
    <x v="1"/>
    <x v="280"/>
    <x v="94"/>
    <x v="0"/>
    <n v="813942"/>
    <n v="97952"/>
    <x v="2"/>
    <x v="2"/>
    <x v="0"/>
    <n v="715990"/>
    <n v="730.96006207121854"/>
    <s v="Work in progress"/>
  </r>
  <r>
    <s v="P0362"/>
    <s v="Project-353"/>
    <x v="6"/>
    <x v="5"/>
    <x v="96"/>
    <x v="90"/>
    <x v="2"/>
    <n v="328429"/>
    <n v="1126637"/>
    <x v="1"/>
    <x v="1"/>
    <x v="1"/>
    <n v="-798208"/>
    <n v="-70.848729448793179"/>
    <s v="Project delivered successfully"/>
  </r>
  <r>
    <s v="P0363"/>
    <s v="Project-326"/>
    <x v="7"/>
    <x v="5"/>
    <x v="242"/>
    <x v="290"/>
    <x v="0"/>
    <n v="373733"/>
    <n v="822922"/>
    <x v="3"/>
    <x v="3"/>
    <x v="0"/>
    <n v="-449189"/>
    <n v="-54.584638641329306"/>
    <s v="Work in progress"/>
  </r>
  <r>
    <s v="P0364"/>
    <s v="Project-211"/>
    <x v="2"/>
    <x v="6"/>
    <x v="80"/>
    <x v="162"/>
    <x v="0"/>
    <n v="63944"/>
    <n v="544072"/>
    <x v="0"/>
    <x v="0"/>
    <x v="1"/>
    <n v="-480128"/>
    <n v="-88.247143760384645"/>
    <s v="Work in progress"/>
  </r>
  <r>
    <s v="P0365"/>
    <s v="Project-609"/>
    <x v="2"/>
    <x v="7"/>
    <x v="266"/>
    <x v="41"/>
    <x v="0"/>
    <n v="675329"/>
    <n v="942737"/>
    <x v="4"/>
    <x v="2"/>
    <x v="1"/>
    <n v="-267408"/>
    <n v="-28.365068942875904"/>
    <s v="Work in progress"/>
  </r>
  <r>
    <s v="P0366"/>
    <s v="Project-572"/>
    <x v="4"/>
    <x v="7"/>
    <x v="281"/>
    <x v="291"/>
    <x v="0"/>
    <n v="925308"/>
    <n v="1103568"/>
    <x v="1"/>
    <x v="2"/>
    <x v="2"/>
    <n v="-178260"/>
    <n v="-16.153059893001608"/>
    <s v="Work in progress"/>
  </r>
  <r>
    <s v="P0367"/>
    <s v="Project-198"/>
    <x v="6"/>
    <x v="3"/>
    <x v="282"/>
    <x v="292"/>
    <x v="0"/>
    <n v="931993"/>
    <n v="284166"/>
    <x v="1"/>
    <x v="1"/>
    <x v="0"/>
    <n v="647827"/>
    <n v="227.97484568878752"/>
    <s v="Work in progress"/>
  </r>
  <r>
    <s v="P0368"/>
    <s v="Project-252"/>
    <x v="7"/>
    <x v="1"/>
    <x v="283"/>
    <x v="293"/>
    <x v="0"/>
    <n v="628679"/>
    <n v="206010"/>
    <x v="3"/>
    <x v="3"/>
    <x v="2"/>
    <n v="422669"/>
    <n v="205.16916654531335"/>
    <s v="Work in progress"/>
  </r>
  <r>
    <s v="P0369"/>
    <s v="Project-960"/>
    <x v="1"/>
    <x v="0"/>
    <x v="126"/>
    <x v="103"/>
    <x v="1"/>
    <n v="51607"/>
    <n v="809375"/>
    <x v="0"/>
    <x v="1"/>
    <x v="1"/>
    <n v="-757768"/>
    <n v="-93.623845559845563"/>
    <s v="Timeline extended"/>
  </r>
  <r>
    <s v="P0370"/>
    <s v="Project-995"/>
    <x v="5"/>
    <x v="1"/>
    <x v="218"/>
    <x v="294"/>
    <x v="2"/>
    <n v="310314"/>
    <n v="348393"/>
    <x v="4"/>
    <x v="2"/>
    <x v="0"/>
    <n v="-38079"/>
    <n v="-10.929898132281647"/>
    <s v="Project delivered successfully"/>
  </r>
  <r>
    <s v="P0371"/>
    <s v="Project-977"/>
    <x v="3"/>
    <x v="1"/>
    <x v="88"/>
    <x v="295"/>
    <x v="0"/>
    <n v="52953"/>
    <n v="992239"/>
    <x v="3"/>
    <x v="3"/>
    <x v="1"/>
    <n v="-939286"/>
    <n v="-94.663281729502671"/>
    <s v="Work in progress"/>
  </r>
  <r>
    <s v="P0372"/>
    <s v="Project-437"/>
    <x v="2"/>
    <x v="7"/>
    <x v="284"/>
    <x v="277"/>
    <x v="1"/>
    <n v="619229"/>
    <n v="235532"/>
    <x v="0"/>
    <x v="3"/>
    <x v="2"/>
    <n v="383697"/>
    <n v="162.90652650170679"/>
    <s v="Timeline extended"/>
  </r>
  <r>
    <s v="P0373"/>
    <s v="Project-805"/>
    <x v="1"/>
    <x v="1"/>
    <x v="226"/>
    <x v="296"/>
    <x v="2"/>
    <n v="776829"/>
    <n v="679914"/>
    <x v="4"/>
    <x v="1"/>
    <x v="1"/>
    <n v="96915"/>
    <n v="14.254008595204686"/>
    <s v="Project delivered successfully"/>
  </r>
  <r>
    <s v="P0374"/>
    <s v="Project-921"/>
    <x v="3"/>
    <x v="4"/>
    <x v="285"/>
    <x v="297"/>
    <x v="2"/>
    <n v="898115"/>
    <n v="744967"/>
    <x v="4"/>
    <x v="3"/>
    <x v="1"/>
    <n v="153148"/>
    <n v="20.557689132538755"/>
    <s v="Project delivered successfully"/>
  </r>
  <r>
    <s v="P0375"/>
    <s v="Project-262"/>
    <x v="3"/>
    <x v="1"/>
    <x v="286"/>
    <x v="298"/>
    <x v="1"/>
    <n v="556741"/>
    <n v="1140428"/>
    <x v="2"/>
    <x v="1"/>
    <x v="2"/>
    <n v="-583687"/>
    <n v="-51.181398562644901"/>
    <s v="Timeline extended"/>
  </r>
  <r>
    <s v="P0376"/>
    <s v="Project-819"/>
    <x v="5"/>
    <x v="4"/>
    <x v="287"/>
    <x v="299"/>
    <x v="0"/>
    <n v="775578"/>
    <n v="1106956"/>
    <x v="4"/>
    <x v="3"/>
    <x v="1"/>
    <n v="-331378"/>
    <n v="-29.935968547982032"/>
    <s v="Work in progress"/>
  </r>
  <r>
    <s v="P0377"/>
    <s v="Project-780"/>
    <x v="6"/>
    <x v="5"/>
    <x v="43"/>
    <x v="300"/>
    <x v="0"/>
    <n v="946020"/>
    <n v="507563"/>
    <x v="0"/>
    <x v="3"/>
    <x v="0"/>
    <n v="438457"/>
    <n v="86.384744356858164"/>
    <s v="Work in progress"/>
  </r>
  <r>
    <s v="P0378"/>
    <s v="Project-260"/>
    <x v="4"/>
    <x v="0"/>
    <x v="244"/>
    <x v="301"/>
    <x v="0"/>
    <n v="958512"/>
    <n v="1149833"/>
    <x v="3"/>
    <x v="0"/>
    <x v="2"/>
    <n v="-191321"/>
    <n v="-16.639024971452375"/>
    <s v="Work in progress"/>
  </r>
  <r>
    <s v="P0379"/>
    <s v="Project-679"/>
    <x v="7"/>
    <x v="6"/>
    <x v="221"/>
    <x v="302"/>
    <x v="0"/>
    <n v="323298"/>
    <n v="202263"/>
    <x v="3"/>
    <x v="3"/>
    <x v="1"/>
    <n v="121035"/>
    <n v="59.840405808279314"/>
    <s v="Work in progress"/>
  </r>
  <r>
    <s v="P0380"/>
    <s v="Project-900"/>
    <x v="5"/>
    <x v="7"/>
    <x v="288"/>
    <x v="303"/>
    <x v="0"/>
    <n v="961974"/>
    <n v="955336"/>
    <x v="2"/>
    <x v="2"/>
    <x v="2"/>
    <n v="6638"/>
    <n v="0.69483406885116861"/>
    <s v="Work in progress"/>
  </r>
  <r>
    <s v="P0381"/>
    <s v="Project-497"/>
    <x v="1"/>
    <x v="1"/>
    <x v="289"/>
    <x v="304"/>
    <x v="2"/>
    <n v="714407"/>
    <n v="543279"/>
    <x v="0"/>
    <x v="0"/>
    <x v="1"/>
    <n v="171128"/>
    <n v="31.49910083032843"/>
    <s v="Project delivered successfully"/>
  </r>
  <r>
    <s v="P0382"/>
    <s v="Project-376"/>
    <x v="4"/>
    <x v="4"/>
    <x v="290"/>
    <x v="221"/>
    <x v="1"/>
    <n v="662817"/>
    <n v="734914"/>
    <x v="4"/>
    <x v="1"/>
    <x v="2"/>
    <n v="-72097"/>
    <n v="-9.8102635138261078"/>
    <s v="Timeline extended"/>
  </r>
  <r>
    <s v="P0383"/>
    <s v="Project-915"/>
    <x v="1"/>
    <x v="4"/>
    <x v="154"/>
    <x v="305"/>
    <x v="1"/>
    <n v="256946"/>
    <n v="773847"/>
    <x v="2"/>
    <x v="2"/>
    <x v="2"/>
    <n v="-516901"/>
    <n v="-66.796278850987349"/>
    <s v="Timeline extended"/>
  </r>
  <r>
    <s v="P0384"/>
    <s v="Project-603"/>
    <x v="4"/>
    <x v="5"/>
    <x v="291"/>
    <x v="306"/>
    <x v="1"/>
    <n v="588611"/>
    <n v="346161"/>
    <x v="1"/>
    <x v="1"/>
    <x v="0"/>
    <n v="242450"/>
    <n v="70.039663624729528"/>
    <s v="Timeline extended"/>
  </r>
  <r>
    <s v="P0385"/>
    <s v="Project-995"/>
    <x v="6"/>
    <x v="4"/>
    <x v="292"/>
    <x v="269"/>
    <x v="1"/>
    <n v="349837"/>
    <n v="474605"/>
    <x v="0"/>
    <x v="1"/>
    <x v="2"/>
    <n v="-124768"/>
    <n v="-26.288808588194396"/>
    <s v="Timeline extended"/>
  </r>
  <r>
    <s v="P0386"/>
    <s v="Project-491"/>
    <x v="2"/>
    <x v="6"/>
    <x v="118"/>
    <x v="286"/>
    <x v="1"/>
    <n v="764090"/>
    <n v="758666"/>
    <x v="2"/>
    <x v="2"/>
    <x v="0"/>
    <n v="5424"/>
    <n v="0.71493911681820466"/>
    <s v="Timeline extended"/>
  </r>
  <r>
    <s v="P0387"/>
    <s v="Project-234"/>
    <x v="1"/>
    <x v="2"/>
    <x v="293"/>
    <x v="307"/>
    <x v="0"/>
    <n v="311092"/>
    <n v="186597"/>
    <x v="3"/>
    <x v="1"/>
    <x v="2"/>
    <n v="124495"/>
    <n v="66.718650353435478"/>
    <s v="Work in progress"/>
  </r>
  <r>
    <s v="P0388"/>
    <s v="Project-294"/>
    <x v="5"/>
    <x v="3"/>
    <x v="294"/>
    <x v="308"/>
    <x v="0"/>
    <n v="401314"/>
    <n v="634918"/>
    <x v="2"/>
    <x v="0"/>
    <x v="2"/>
    <n v="-233604"/>
    <n v="-36.792782690048163"/>
    <s v="Work in progress"/>
  </r>
  <r>
    <s v="P0389"/>
    <s v="Project-500"/>
    <x v="4"/>
    <x v="6"/>
    <x v="295"/>
    <x v="309"/>
    <x v="0"/>
    <n v="469508"/>
    <n v="1020975"/>
    <x v="1"/>
    <x v="2"/>
    <x v="1"/>
    <n v="-551467"/>
    <n v="-54.013761355566977"/>
    <s v="Work in progress"/>
  </r>
  <r>
    <s v="P0390"/>
    <s v="Project-739"/>
    <x v="4"/>
    <x v="0"/>
    <x v="296"/>
    <x v="310"/>
    <x v="1"/>
    <n v="547303"/>
    <n v="585568"/>
    <x v="0"/>
    <x v="1"/>
    <x v="1"/>
    <n v="-38265"/>
    <n v="-6.5346808568774257"/>
    <s v="Timeline extended"/>
  </r>
  <r>
    <s v="P0391"/>
    <s v="Project-132"/>
    <x v="3"/>
    <x v="6"/>
    <x v="202"/>
    <x v="252"/>
    <x v="0"/>
    <n v="619399"/>
    <n v="492757"/>
    <x v="2"/>
    <x v="1"/>
    <x v="1"/>
    <n v="126642"/>
    <n v="25.700700345200577"/>
    <s v="Work in progress"/>
  </r>
  <r>
    <s v="P0392"/>
    <s v="Project-787"/>
    <x v="3"/>
    <x v="5"/>
    <x v="115"/>
    <x v="311"/>
    <x v="2"/>
    <n v="518897"/>
    <n v="822976"/>
    <x v="4"/>
    <x v="3"/>
    <x v="2"/>
    <n v="-304079"/>
    <n v="-36.948708103273972"/>
    <s v="Project delivered successfully"/>
  </r>
  <r>
    <s v="P0393"/>
    <s v="Project-559"/>
    <x v="0"/>
    <x v="5"/>
    <x v="297"/>
    <x v="312"/>
    <x v="0"/>
    <n v="276325"/>
    <n v="743341"/>
    <x v="0"/>
    <x v="3"/>
    <x v="2"/>
    <n v="-467016"/>
    <n v="-62.826616586465697"/>
    <s v="Work in progress"/>
  </r>
  <r>
    <s v="P0394"/>
    <s v="Project-982"/>
    <x v="1"/>
    <x v="6"/>
    <x v="298"/>
    <x v="313"/>
    <x v="0"/>
    <n v="351635"/>
    <n v="964836"/>
    <x v="2"/>
    <x v="1"/>
    <x v="0"/>
    <n v="-613201"/>
    <n v="-63.554946125559162"/>
    <s v="Work in progress"/>
  </r>
  <r>
    <s v="P0395"/>
    <s v="Project-569"/>
    <x v="3"/>
    <x v="1"/>
    <x v="1"/>
    <x v="257"/>
    <x v="2"/>
    <n v="623624"/>
    <n v="187908"/>
    <x v="2"/>
    <x v="2"/>
    <x v="0"/>
    <n v="435716"/>
    <n v="231.87730165825832"/>
    <s v="Project delivered successfully"/>
  </r>
  <r>
    <s v="P0396"/>
    <s v="Project-474"/>
    <x v="0"/>
    <x v="2"/>
    <x v="283"/>
    <x v="314"/>
    <x v="0"/>
    <n v="66905"/>
    <n v="306532"/>
    <x v="0"/>
    <x v="0"/>
    <x v="0"/>
    <n v="-239627"/>
    <n v="-78.173567523129719"/>
    <s v="Work in progress"/>
  </r>
  <r>
    <s v="P0397"/>
    <s v="Project-121"/>
    <x v="2"/>
    <x v="1"/>
    <x v="299"/>
    <x v="272"/>
    <x v="0"/>
    <n v="80273"/>
    <n v="274335"/>
    <x v="3"/>
    <x v="1"/>
    <x v="1"/>
    <n v="-194062"/>
    <n v="-70.739059908506022"/>
    <s v="Work in progress"/>
  </r>
  <r>
    <s v="P0398"/>
    <s v="Project-849"/>
    <x v="2"/>
    <x v="1"/>
    <x v="300"/>
    <x v="315"/>
    <x v="0"/>
    <n v="175191"/>
    <n v="555982"/>
    <x v="4"/>
    <x v="1"/>
    <x v="1"/>
    <n v="-380791"/>
    <n v="-68.489807223974879"/>
    <s v="Work in progress"/>
  </r>
  <r>
    <s v="P0399"/>
    <s v="Project-769"/>
    <x v="3"/>
    <x v="6"/>
    <x v="272"/>
    <x v="316"/>
    <x v="0"/>
    <n v="428080"/>
    <n v="1034181"/>
    <x v="0"/>
    <x v="1"/>
    <x v="0"/>
    <n v="-606101"/>
    <n v="-58.606858954090249"/>
    <s v="Work in progress"/>
  </r>
  <r>
    <s v="P0400"/>
    <s v="Project-137"/>
    <x v="1"/>
    <x v="7"/>
    <x v="301"/>
    <x v="317"/>
    <x v="2"/>
    <n v="207306"/>
    <n v="667345"/>
    <x v="4"/>
    <x v="3"/>
    <x v="2"/>
    <n v="-460039"/>
    <n v="-68.93570791719425"/>
    <s v="Project delivered successfully"/>
  </r>
  <r>
    <s v="P0401"/>
    <s v="Project-329"/>
    <x v="4"/>
    <x v="7"/>
    <x v="302"/>
    <x v="76"/>
    <x v="0"/>
    <n v="259957"/>
    <n v="593057"/>
    <x v="4"/>
    <x v="2"/>
    <x v="1"/>
    <n v="-333100"/>
    <n v="-56.16660793144672"/>
    <s v="Work in progress"/>
  </r>
  <r>
    <s v="P0402"/>
    <s v="Project-464"/>
    <x v="7"/>
    <x v="7"/>
    <x v="0"/>
    <x v="318"/>
    <x v="2"/>
    <n v="116538"/>
    <n v="462636"/>
    <x v="0"/>
    <x v="1"/>
    <x v="1"/>
    <n v="-346098"/>
    <n v="-74.810001815682298"/>
    <s v="Project delivered successfully"/>
  </r>
  <r>
    <s v="P0403"/>
    <s v="Project-662"/>
    <x v="6"/>
    <x v="2"/>
    <x v="35"/>
    <x v="67"/>
    <x v="0"/>
    <n v="154570"/>
    <n v="1181461"/>
    <x v="2"/>
    <x v="3"/>
    <x v="0"/>
    <n v="-1026891"/>
    <n v="-86.917045928727234"/>
    <s v="Work in progress"/>
  </r>
  <r>
    <s v="P0404"/>
    <s v="Project-537"/>
    <x v="1"/>
    <x v="1"/>
    <x v="303"/>
    <x v="244"/>
    <x v="1"/>
    <n v="737933"/>
    <n v="601934"/>
    <x v="3"/>
    <x v="1"/>
    <x v="1"/>
    <n v="135999"/>
    <n v="22.593673060501647"/>
    <s v="Timeline extended"/>
  </r>
  <r>
    <s v="P0405"/>
    <s v="Project-875"/>
    <x v="6"/>
    <x v="3"/>
    <x v="176"/>
    <x v="259"/>
    <x v="0"/>
    <n v="929771"/>
    <n v="143947"/>
    <x v="4"/>
    <x v="1"/>
    <x v="0"/>
    <n v="785824"/>
    <n v="545.91203706919907"/>
    <s v="Work in progress"/>
  </r>
  <r>
    <s v="P0406"/>
    <s v="Project-382"/>
    <x v="5"/>
    <x v="0"/>
    <x v="304"/>
    <x v="319"/>
    <x v="2"/>
    <n v="312025"/>
    <n v="40910"/>
    <x v="4"/>
    <x v="2"/>
    <x v="1"/>
    <n v="271115"/>
    <n v="662.71082864825223"/>
    <s v="Project delivered successfully"/>
  </r>
  <r>
    <s v="P0407"/>
    <s v="Project-126"/>
    <x v="2"/>
    <x v="7"/>
    <x v="305"/>
    <x v="320"/>
    <x v="2"/>
    <n v="433276"/>
    <n v="637045"/>
    <x v="2"/>
    <x v="3"/>
    <x v="2"/>
    <n v="-203769"/>
    <n v="-31.986594353617093"/>
    <s v="Project delivered successfully"/>
  </r>
  <r>
    <s v="P0408"/>
    <s v="Project-325"/>
    <x v="3"/>
    <x v="7"/>
    <x v="306"/>
    <x v="321"/>
    <x v="0"/>
    <n v="245392"/>
    <n v="514365"/>
    <x v="0"/>
    <x v="0"/>
    <x v="2"/>
    <n v="-268973"/>
    <n v="-52.292243834631044"/>
    <s v="Work in progress"/>
  </r>
  <r>
    <s v="P0409"/>
    <s v="Project-376"/>
    <x v="3"/>
    <x v="5"/>
    <x v="307"/>
    <x v="322"/>
    <x v="1"/>
    <n v="178993"/>
    <n v="782249"/>
    <x v="3"/>
    <x v="2"/>
    <x v="1"/>
    <n v="-603256"/>
    <n v="-77.118155472234534"/>
    <s v="Timeline extended"/>
  </r>
  <r>
    <s v="P0410"/>
    <s v="Project-897"/>
    <x v="6"/>
    <x v="1"/>
    <x v="48"/>
    <x v="323"/>
    <x v="2"/>
    <n v="847762"/>
    <n v="824895"/>
    <x v="4"/>
    <x v="0"/>
    <x v="0"/>
    <n v="22867"/>
    <n v="2.7721103898071875"/>
    <s v="Project delivered successfully"/>
  </r>
  <r>
    <s v="P0411"/>
    <s v="Project-708"/>
    <x v="4"/>
    <x v="1"/>
    <x v="251"/>
    <x v="324"/>
    <x v="0"/>
    <n v="273112"/>
    <n v="174408"/>
    <x v="4"/>
    <x v="3"/>
    <x v="1"/>
    <n v="98704"/>
    <n v="56.593734232374658"/>
    <s v="Work in progress"/>
  </r>
  <r>
    <s v="P0412"/>
    <s v="Project-383"/>
    <x v="6"/>
    <x v="2"/>
    <x v="308"/>
    <x v="268"/>
    <x v="0"/>
    <n v="261588"/>
    <n v="687729"/>
    <x v="0"/>
    <x v="3"/>
    <x v="0"/>
    <n v="-426141"/>
    <n v="-61.963505974010111"/>
    <s v="Work in progress"/>
  </r>
  <r>
    <s v="P0413"/>
    <s v="Project-978"/>
    <x v="5"/>
    <x v="2"/>
    <x v="309"/>
    <x v="108"/>
    <x v="1"/>
    <n v="908985"/>
    <n v="928728"/>
    <x v="2"/>
    <x v="0"/>
    <x v="1"/>
    <n v="-19743"/>
    <n v="-2.125810786365868"/>
    <s v="Timeline extended"/>
  </r>
  <r>
    <s v="P0414"/>
    <s v="Project-580"/>
    <x v="4"/>
    <x v="7"/>
    <x v="310"/>
    <x v="325"/>
    <x v="2"/>
    <n v="746713"/>
    <n v="377238"/>
    <x v="1"/>
    <x v="3"/>
    <x v="2"/>
    <n v="369475"/>
    <n v="97.942147927833361"/>
    <s v="Project delivered successfully"/>
  </r>
  <r>
    <s v="P0415"/>
    <s v="Project-552"/>
    <x v="5"/>
    <x v="1"/>
    <x v="245"/>
    <x v="326"/>
    <x v="0"/>
    <n v="197083"/>
    <n v="317551"/>
    <x v="2"/>
    <x v="2"/>
    <x v="2"/>
    <n v="-120468"/>
    <n v="-37.936583414947521"/>
    <s v="Work in progress"/>
  </r>
  <r>
    <s v="P0416"/>
    <s v="Project-928"/>
    <x v="7"/>
    <x v="3"/>
    <x v="311"/>
    <x v="327"/>
    <x v="0"/>
    <n v="133537"/>
    <n v="878984"/>
    <x v="4"/>
    <x v="1"/>
    <x v="1"/>
    <n v="-745447"/>
    <n v="-84.807800824588384"/>
    <s v="Work in progress"/>
  </r>
  <r>
    <s v="P0417"/>
    <s v="Project-915"/>
    <x v="2"/>
    <x v="0"/>
    <x v="312"/>
    <x v="50"/>
    <x v="1"/>
    <n v="635273"/>
    <n v="646591"/>
    <x v="4"/>
    <x v="0"/>
    <x v="1"/>
    <n v="-11318"/>
    <n v="-1.7504110016996834"/>
    <s v="Timeline extended"/>
  </r>
  <r>
    <s v="P0418"/>
    <s v="Project-758"/>
    <x v="3"/>
    <x v="6"/>
    <x v="313"/>
    <x v="328"/>
    <x v="2"/>
    <n v="591332"/>
    <n v="1015080"/>
    <x v="3"/>
    <x v="1"/>
    <x v="1"/>
    <n v="-423748"/>
    <n v="-41.745281160105606"/>
    <s v="Project delivered successfully"/>
  </r>
  <r>
    <s v="P0419"/>
    <s v="Project-615"/>
    <x v="3"/>
    <x v="1"/>
    <x v="314"/>
    <x v="16"/>
    <x v="2"/>
    <n v="481508"/>
    <n v="1036156"/>
    <x v="2"/>
    <x v="0"/>
    <x v="2"/>
    <n v="-554648"/>
    <n v="-53.529391327174672"/>
    <s v="Project delivered successfully"/>
  </r>
  <r>
    <s v="P0420"/>
    <s v="Project-646"/>
    <x v="7"/>
    <x v="5"/>
    <x v="315"/>
    <x v="329"/>
    <x v="0"/>
    <n v="696592"/>
    <n v="626196"/>
    <x v="1"/>
    <x v="1"/>
    <x v="2"/>
    <n v="70396"/>
    <n v="11.241847600431813"/>
    <s v="Work in progress"/>
  </r>
  <r>
    <s v="P0421"/>
    <s v="Project-291"/>
    <x v="0"/>
    <x v="6"/>
    <x v="153"/>
    <x v="330"/>
    <x v="2"/>
    <n v="186322"/>
    <n v="154506"/>
    <x v="3"/>
    <x v="1"/>
    <x v="0"/>
    <n v="31816"/>
    <n v="20.592080566450495"/>
    <s v="Project delivered successfully"/>
  </r>
  <r>
    <s v="P0422"/>
    <s v="Project-148"/>
    <x v="2"/>
    <x v="1"/>
    <x v="316"/>
    <x v="28"/>
    <x v="0"/>
    <n v="308116"/>
    <n v="314513"/>
    <x v="1"/>
    <x v="2"/>
    <x v="1"/>
    <n v="-6397"/>
    <n v="-2.0339381837952644"/>
    <s v="Work in progress"/>
  </r>
  <r>
    <s v="P0423"/>
    <s v="Project-611"/>
    <x v="4"/>
    <x v="4"/>
    <x v="317"/>
    <x v="331"/>
    <x v="0"/>
    <n v="859721"/>
    <n v="1020602"/>
    <x v="3"/>
    <x v="1"/>
    <x v="1"/>
    <n v="-160881"/>
    <n v="-15.763343595250646"/>
    <s v="Work in progress"/>
  </r>
  <r>
    <s v="P0424"/>
    <s v="Project-116"/>
    <x v="7"/>
    <x v="2"/>
    <x v="301"/>
    <x v="105"/>
    <x v="2"/>
    <n v="83087"/>
    <n v="992048"/>
    <x v="2"/>
    <x v="0"/>
    <x v="2"/>
    <n v="-908961"/>
    <n v="-91.62469961130914"/>
    <s v="Project delivered successfully"/>
  </r>
  <r>
    <s v="P0425"/>
    <s v="Project-271"/>
    <x v="4"/>
    <x v="5"/>
    <x v="318"/>
    <x v="332"/>
    <x v="3"/>
    <n v="125952"/>
    <n v="70733"/>
    <x v="4"/>
    <x v="1"/>
    <x v="1"/>
    <n v="55219"/>
    <n v="78.066814640973803"/>
    <s v="Project cancelled"/>
  </r>
  <r>
    <s v="P0426"/>
    <s v="Project-319"/>
    <x v="6"/>
    <x v="0"/>
    <x v="319"/>
    <x v="333"/>
    <x v="0"/>
    <n v="796055"/>
    <n v="792129"/>
    <x v="1"/>
    <x v="3"/>
    <x v="0"/>
    <n v="3926"/>
    <n v="0.49562634368896985"/>
    <s v="Work in progress"/>
  </r>
  <r>
    <s v="P0427"/>
    <s v="Project-257"/>
    <x v="1"/>
    <x v="7"/>
    <x v="320"/>
    <x v="84"/>
    <x v="0"/>
    <n v="86368"/>
    <n v="685949"/>
    <x v="2"/>
    <x v="1"/>
    <x v="1"/>
    <n v="-599581"/>
    <n v="-87.408976469096103"/>
    <s v="Work in progress"/>
  </r>
  <r>
    <s v="P0428"/>
    <s v="Project-576"/>
    <x v="3"/>
    <x v="5"/>
    <x v="119"/>
    <x v="334"/>
    <x v="2"/>
    <n v="694936"/>
    <n v="755959"/>
    <x v="1"/>
    <x v="1"/>
    <x v="2"/>
    <n v="-61023"/>
    <n v="-8.0722631782940599"/>
    <s v="Project delivered successfully"/>
  </r>
  <r>
    <s v="P0429"/>
    <s v="Project-145"/>
    <x v="4"/>
    <x v="1"/>
    <x v="121"/>
    <x v="261"/>
    <x v="0"/>
    <n v="907247"/>
    <n v="901985"/>
    <x v="2"/>
    <x v="3"/>
    <x v="1"/>
    <n v="5262"/>
    <n v="0.5833799896894073"/>
    <s v="Work in progress"/>
  </r>
  <r>
    <s v="P0430"/>
    <s v="Project-472"/>
    <x v="5"/>
    <x v="7"/>
    <x v="321"/>
    <x v="335"/>
    <x v="1"/>
    <n v="140693"/>
    <n v="769270"/>
    <x v="3"/>
    <x v="3"/>
    <x v="2"/>
    <n v="-628577"/>
    <n v="-81.71084274701991"/>
    <s v="Timeline extended"/>
  </r>
  <r>
    <s v="P0431"/>
    <s v="Project-617"/>
    <x v="4"/>
    <x v="1"/>
    <x v="322"/>
    <x v="98"/>
    <x v="2"/>
    <n v="504256"/>
    <n v="1127584"/>
    <x v="2"/>
    <x v="0"/>
    <x v="0"/>
    <n v="-623328"/>
    <n v="-55.2799614042058"/>
    <s v="Project delivered successfully"/>
  </r>
  <r>
    <s v="P0432"/>
    <s v="Project-198"/>
    <x v="1"/>
    <x v="7"/>
    <x v="198"/>
    <x v="336"/>
    <x v="0"/>
    <n v="633188"/>
    <n v="553343"/>
    <x v="3"/>
    <x v="3"/>
    <x v="0"/>
    <n v="79845"/>
    <n v="14.429567194308051"/>
    <s v="Work in progress"/>
  </r>
  <r>
    <s v="P0433"/>
    <s v="Project-991"/>
    <x v="2"/>
    <x v="0"/>
    <x v="318"/>
    <x v="68"/>
    <x v="3"/>
    <n v="851926"/>
    <n v="621082"/>
    <x v="4"/>
    <x v="3"/>
    <x v="1"/>
    <n v="230844"/>
    <n v="37.168039002901388"/>
    <s v="Project cancelled"/>
  </r>
  <r>
    <s v="P0434"/>
    <s v="Project-844"/>
    <x v="3"/>
    <x v="2"/>
    <x v="323"/>
    <x v="163"/>
    <x v="2"/>
    <n v="428630"/>
    <n v="1157710"/>
    <x v="3"/>
    <x v="0"/>
    <x v="1"/>
    <n v="-729080"/>
    <n v="-62.976047542130587"/>
    <s v="Project delivered successfully"/>
  </r>
  <r>
    <s v="P0435"/>
    <s v="Project-136"/>
    <x v="6"/>
    <x v="0"/>
    <x v="233"/>
    <x v="337"/>
    <x v="1"/>
    <n v="750526"/>
    <n v="407403"/>
    <x v="0"/>
    <x v="0"/>
    <x v="2"/>
    <n v="343123"/>
    <n v="84.222011129029482"/>
    <s v="Timeline extended"/>
  </r>
  <r>
    <s v="P0436"/>
    <s v="Project-379"/>
    <x v="7"/>
    <x v="4"/>
    <x v="158"/>
    <x v="338"/>
    <x v="2"/>
    <n v="272182"/>
    <n v="357367"/>
    <x v="4"/>
    <x v="1"/>
    <x v="0"/>
    <n v="-85185"/>
    <n v="-23.83683999921649"/>
    <s v="Project delivered successfully"/>
  </r>
  <r>
    <s v="P0437"/>
    <s v="Project-448"/>
    <x v="6"/>
    <x v="3"/>
    <x v="324"/>
    <x v="339"/>
    <x v="1"/>
    <n v="206405"/>
    <n v="1058512"/>
    <x v="2"/>
    <x v="2"/>
    <x v="0"/>
    <n v="-852107"/>
    <n v="-80.500457245642949"/>
    <s v="Timeline extended"/>
  </r>
  <r>
    <s v="P0438"/>
    <s v="Project-596"/>
    <x v="1"/>
    <x v="2"/>
    <x v="325"/>
    <x v="27"/>
    <x v="0"/>
    <n v="869482"/>
    <n v="817069"/>
    <x v="2"/>
    <x v="0"/>
    <x v="0"/>
    <n v="52413"/>
    <n v="6.4147581171235233"/>
    <s v="Work in progress"/>
  </r>
  <r>
    <s v="P0439"/>
    <s v="Project-401"/>
    <x v="3"/>
    <x v="0"/>
    <x v="326"/>
    <x v="190"/>
    <x v="0"/>
    <n v="672087"/>
    <n v="775512"/>
    <x v="0"/>
    <x v="3"/>
    <x v="0"/>
    <n v="-103425"/>
    <n v="-13.336350694766812"/>
    <s v="Work in progress"/>
  </r>
  <r>
    <s v="P0440"/>
    <s v="Project-280"/>
    <x v="4"/>
    <x v="4"/>
    <x v="4"/>
    <x v="340"/>
    <x v="1"/>
    <n v="181016"/>
    <n v="307972"/>
    <x v="2"/>
    <x v="1"/>
    <x v="1"/>
    <n v="-126956"/>
    <n v="-41.223228085670129"/>
    <s v="Timeline extended"/>
  </r>
  <r>
    <s v="P0441"/>
    <s v="Project-706"/>
    <x v="2"/>
    <x v="3"/>
    <x v="51"/>
    <x v="341"/>
    <x v="0"/>
    <n v="279147"/>
    <n v="214616"/>
    <x v="4"/>
    <x v="3"/>
    <x v="1"/>
    <n v="64531"/>
    <n v="30.068121668468333"/>
    <s v="Work in progress"/>
  </r>
  <r>
    <s v="P0442"/>
    <s v="Project-198"/>
    <x v="0"/>
    <x v="4"/>
    <x v="30"/>
    <x v="342"/>
    <x v="0"/>
    <n v="662545"/>
    <n v="514948"/>
    <x v="4"/>
    <x v="0"/>
    <x v="2"/>
    <n v="147597"/>
    <n v="28.662505728733773"/>
    <s v="Work in progress"/>
  </r>
  <r>
    <s v="P0443"/>
    <s v="Project-799"/>
    <x v="2"/>
    <x v="1"/>
    <x v="159"/>
    <x v="184"/>
    <x v="2"/>
    <n v="98070"/>
    <n v="656264"/>
    <x v="3"/>
    <x v="2"/>
    <x v="0"/>
    <n v="-558194"/>
    <n v="-85.056318798532288"/>
    <s v="Project delivered successfully"/>
  </r>
  <r>
    <s v="P0444"/>
    <s v="Project-215"/>
    <x v="0"/>
    <x v="6"/>
    <x v="155"/>
    <x v="250"/>
    <x v="1"/>
    <n v="841598"/>
    <n v="599385"/>
    <x v="1"/>
    <x v="1"/>
    <x v="1"/>
    <n v="242213"/>
    <n v="40.410253843522945"/>
    <s v="Timeline extended"/>
  </r>
  <r>
    <s v="P0445"/>
    <s v="Project-290"/>
    <x v="5"/>
    <x v="1"/>
    <x v="327"/>
    <x v="138"/>
    <x v="0"/>
    <n v="450337"/>
    <n v="667559"/>
    <x v="2"/>
    <x v="0"/>
    <x v="1"/>
    <n v="-217222"/>
    <n v="-32.539745550580548"/>
    <s v="Work in progress"/>
  </r>
  <r>
    <s v="P0446"/>
    <s v="Project-352"/>
    <x v="2"/>
    <x v="7"/>
    <x v="328"/>
    <x v="343"/>
    <x v="1"/>
    <n v="720037"/>
    <n v="586490"/>
    <x v="0"/>
    <x v="0"/>
    <x v="0"/>
    <n v="133547"/>
    <n v="22.770550222510188"/>
    <s v="Timeline extended"/>
  </r>
  <r>
    <s v="P0447"/>
    <s v="Project-260"/>
    <x v="3"/>
    <x v="2"/>
    <x v="235"/>
    <x v="301"/>
    <x v="2"/>
    <n v="761921"/>
    <n v="1107280"/>
    <x v="4"/>
    <x v="3"/>
    <x v="1"/>
    <n v="-345359"/>
    <n v="-31.189852611805506"/>
    <s v="Project delivered successfully"/>
  </r>
  <r>
    <s v="P0448"/>
    <s v="Project-355"/>
    <x v="0"/>
    <x v="1"/>
    <x v="135"/>
    <x v="344"/>
    <x v="0"/>
    <n v="525125"/>
    <n v="1169987"/>
    <x v="4"/>
    <x v="2"/>
    <x v="2"/>
    <n v="-644862"/>
    <n v="-55.117022667773227"/>
    <s v="Work in progress"/>
  </r>
  <r>
    <s v="P0449"/>
    <s v="Project-422"/>
    <x v="7"/>
    <x v="5"/>
    <x v="329"/>
    <x v="209"/>
    <x v="1"/>
    <n v="923841"/>
    <n v="577929"/>
    <x v="4"/>
    <x v="0"/>
    <x v="2"/>
    <n v="345912"/>
    <n v="59.85371905545491"/>
    <s v="Timeline extended"/>
  </r>
  <r>
    <s v="P0450"/>
    <s v="Project-227"/>
    <x v="3"/>
    <x v="4"/>
    <x v="330"/>
    <x v="345"/>
    <x v="0"/>
    <n v="87664"/>
    <n v="239843"/>
    <x v="1"/>
    <x v="3"/>
    <x v="0"/>
    <n v="-152179"/>
    <n v="-63.449423164319995"/>
    <s v="Work in progress"/>
  </r>
  <r>
    <s v="P0451"/>
    <s v="Project-117"/>
    <x v="7"/>
    <x v="2"/>
    <x v="300"/>
    <x v="346"/>
    <x v="0"/>
    <n v="966358"/>
    <n v="838459"/>
    <x v="1"/>
    <x v="1"/>
    <x v="2"/>
    <n v="127899"/>
    <n v="15.25405535631438"/>
    <s v="Work in progress"/>
  </r>
  <r>
    <s v="P0452"/>
    <s v="Project-892"/>
    <x v="2"/>
    <x v="6"/>
    <x v="161"/>
    <x v="149"/>
    <x v="0"/>
    <n v="558034"/>
    <n v="1045967"/>
    <x v="2"/>
    <x v="3"/>
    <x v="1"/>
    <n v="-487933"/>
    <n v="-46.648986057877543"/>
    <s v="Work in progress"/>
  </r>
  <r>
    <s v="P0453"/>
    <s v="Project-834"/>
    <x v="7"/>
    <x v="5"/>
    <x v="162"/>
    <x v="347"/>
    <x v="0"/>
    <n v="837725"/>
    <n v="335056"/>
    <x v="0"/>
    <x v="1"/>
    <x v="2"/>
    <n v="502669"/>
    <n v="150.0253688935581"/>
    <s v="Work in progress"/>
  </r>
  <r>
    <s v="P0454"/>
    <s v="Project-665"/>
    <x v="0"/>
    <x v="1"/>
    <x v="331"/>
    <x v="348"/>
    <x v="0"/>
    <n v="989947"/>
    <n v="536313"/>
    <x v="1"/>
    <x v="3"/>
    <x v="1"/>
    <n v="453634"/>
    <n v="84.583815794135148"/>
    <s v="Work in progress"/>
  </r>
  <r>
    <s v="P0455"/>
    <s v="Project-669"/>
    <x v="3"/>
    <x v="7"/>
    <x v="332"/>
    <x v="349"/>
    <x v="1"/>
    <n v="548477"/>
    <n v="400371"/>
    <x v="3"/>
    <x v="2"/>
    <x v="0"/>
    <n v="148106"/>
    <n v="36.992189744012428"/>
    <s v="Timeline extended"/>
  </r>
  <r>
    <s v="P0456"/>
    <s v="Project-422"/>
    <x v="4"/>
    <x v="0"/>
    <x v="217"/>
    <x v="350"/>
    <x v="2"/>
    <n v="361356"/>
    <n v="515774"/>
    <x v="1"/>
    <x v="3"/>
    <x v="0"/>
    <n v="-154418"/>
    <n v="-29.939081845924765"/>
    <s v="Project delivered successfully"/>
  </r>
  <r>
    <s v="P0457"/>
    <s v="Project-971"/>
    <x v="1"/>
    <x v="7"/>
    <x v="333"/>
    <x v="4"/>
    <x v="2"/>
    <n v="125276"/>
    <n v="232546"/>
    <x v="4"/>
    <x v="2"/>
    <x v="1"/>
    <n v="-107270"/>
    <n v="-46.128507908112802"/>
    <s v="Project delivered successfully"/>
  </r>
  <r>
    <s v="P0458"/>
    <s v="Project-785"/>
    <x v="0"/>
    <x v="5"/>
    <x v="334"/>
    <x v="223"/>
    <x v="2"/>
    <n v="848991"/>
    <n v="158773"/>
    <x v="0"/>
    <x v="2"/>
    <x v="1"/>
    <n v="690218"/>
    <n v="434.72000906955213"/>
    <s v="Project delivered successfully"/>
  </r>
  <r>
    <s v="P0459"/>
    <s v="Project-891"/>
    <x v="0"/>
    <x v="3"/>
    <x v="22"/>
    <x v="351"/>
    <x v="0"/>
    <n v="115231"/>
    <n v="139658"/>
    <x v="2"/>
    <x v="1"/>
    <x v="2"/>
    <n v="-24427"/>
    <n v="-17.490584141259362"/>
    <s v="Work in progress"/>
  </r>
  <r>
    <s v="P0460"/>
    <s v="Project-725"/>
    <x v="4"/>
    <x v="1"/>
    <x v="335"/>
    <x v="352"/>
    <x v="0"/>
    <n v="682565"/>
    <n v="596980"/>
    <x v="1"/>
    <x v="3"/>
    <x v="1"/>
    <n v="85585"/>
    <n v="14.336326175081243"/>
    <s v="Work in progress"/>
  </r>
  <r>
    <s v="P0461"/>
    <s v="Project-387"/>
    <x v="3"/>
    <x v="5"/>
    <x v="336"/>
    <x v="40"/>
    <x v="1"/>
    <n v="220116"/>
    <n v="586497"/>
    <x v="4"/>
    <x v="3"/>
    <x v="0"/>
    <n v="-366381"/>
    <n v="-62.469373244875939"/>
    <s v="Timeline extended"/>
  </r>
  <r>
    <s v="P0462"/>
    <s v="Project-953"/>
    <x v="3"/>
    <x v="3"/>
    <x v="276"/>
    <x v="12"/>
    <x v="0"/>
    <n v="333891"/>
    <n v="742923"/>
    <x v="3"/>
    <x v="3"/>
    <x v="1"/>
    <n v="-409032"/>
    <n v="-55.057118974644744"/>
    <s v="Work in progress"/>
  </r>
  <r>
    <s v="P0463"/>
    <s v="Project-762"/>
    <x v="6"/>
    <x v="3"/>
    <x v="12"/>
    <x v="353"/>
    <x v="0"/>
    <n v="811816"/>
    <n v="873170"/>
    <x v="3"/>
    <x v="2"/>
    <x v="2"/>
    <n v="-61354"/>
    <n v="-7.026581307191039"/>
    <s v="Work in progress"/>
  </r>
  <r>
    <s v="P0464"/>
    <s v="Project-738"/>
    <x v="2"/>
    <x v="4"/>
    <x v="337"/>
    <x v="42"/>
    <x v="2"/>
    <n v="516725"/>
    <n v="957445"/>
    <x v="2"/>
    <x v="0"/>
    <x v="2"/>
    <n v="-440720"/>
    <n v="-46.030842502702505"/>
    <s v="Project delivered successfully"/>
  </r>
  <r>
    <s v="P0465"/>
    <s v="Project-254"/>
    <x v="7"/>
    <x v="2"/>
    <x v="309"/>
    <x v="354"/>
    <x v="0"/>
    <n v="473345"/>
    <n v="954577"/>
    <x v="2"/>
    <x v="3"/>
    <x v="1"/>
    <n v="-481232"/>
    <n v="-50.413114918964105"/>
    <s v="Work in progress"/>
  </r>
  <r>
    <s v="P0466"/>
    <s v="Project-589"/>
    <x v="2"/>
    <x v="4"/>
    <x v="338"/>
    <x v="355"/>
    <x v="1"/>
    <n v="312181"/>
    <n v="137966"/>
    <x v="1"/>
    <x v="3"/>
    <x v="2"/>
    <n v="174215"/>
    <n v="126.27386457533017"/>
    <s v="Timeline extended"/>
  </r>
  <r>
    <s v="P0467"/>
    <s v="Project-485"/>
    <x v="4"/>
    <x v="1"/>
    <x v="339"/>
    <x v="356"/>
    <x v="0"/>
    <n v="940726"/>
    <n v="723187"/>
    <x v="2"/>
    <x v="0"/>
    <x v="2"/>
    <n v="217539"/>
    <n v="30.080601559485999"/>
    <s v="Work in progress"/>
  </r>
  <r>
    <s v="P0468"/>
    <s v="Project-884"/>
    <x v="2"/>
    <x v="3"/>
    <x v="133"/>
    <x v="198"/>
    <x v="0"/>
    <n v="147847"/>
    <n v="207297"/>
    <x v="4"/>
    <x v="1"/>
    <x v="0"/>
    <n v="-59450"/>
    <n v="-28.67865912193616"/>
    <s v="Work in progress"/>
  </r>
  <r>
    <s v="P0469"/>
    <s v="Project-203"/>
    <x v="4"/>
    <x v="6"/>
    <x v="340"/>
    <x v="264"/>
    <x v="0"/>
    <n v="678030"/>
    <n v="722456"/>
    <x v="4"/>
    <x v="3"/>
    <x v="1"/>
    <n v="-44426"/>
    <n v="-6.1493018259935557"/>
    <s v="Work in progress"/>
  </r>
  <r>
    <s v="P0470"/>
    <s v="Project-492"/>
    <x v="3"/>
    <x v="5"/>
    <x v="341"/>
    <x v="357"/>
    <x v="2"/>
    <n v="827725"/>
    <n v="735906"/>
    <x v="4"/>
    <x v="0"/>
    <x v="0"/>
    <n v="91819"/>
    <n v="12.477001138732392"/>
    <s v="Project delivered successfully"/>
  </r>
  <r>
    <s v="P0471"/>
    <s v="Project-910"/>
    <x v="7"/>
    <x v="0"/>
    <x v="342"/>
    <x v="287"/>
    <x v="0"/>
    <n v="98503"/>
    <n v="360453"/>
    <x v="1"/>
    <x v="3"/>
    <x v="0"/>
    <n v="-261950"/>
    <n v="-72.672442731784727"/>
    <s v="Work in progress"/>
  </r>
  <r>
    <s v="P0472"/>
    <s v="Project-345"/>
    <x v="2"/>
    <x v="3"/>
    <x v="343"/>
    <x v="210"/>
    <x v="0"/>
    <n v="864639"/>
    <n v="640784"/>
    <x v="1"/>
    <x v="2"/>
    <x v="2"/>
    <n v="223855"/>
    <n v="34.934548927563739"/>
    <s v="Work in progress"/>
  </r>
  <r>
    <s v="P0473"/>
    <s v="Project-275"/>
    <x v="0"/>
    <x v="5"/>
    <x v="326"/>
    <x v="322"/>
    <x v="1"/>
    <n v="552376"/>
    <n v="715628"/>
    <x v="2"/>
    <x v="0"/>
    <x v="0"/>
    <n v="-163252"/>
    <n v="-22.812410917404012"/>
    <s v="Timeline extended"/>
  </r>
  <r>
    <s v="P0474"/>
    <s v="Project-138"/>
    <x v="5"/>
    <x v="6"/>
    <x v="203"/>
    <x v="358"/>
    <x v="1"/>
    <n v="345385"/>
    <n v="790397"/>
    <x v="1"/>
    <x v="2"/>
    <x v="1"/>
    <n v="-445012"/>
    <n v="-56.302339204222683"/>
    <s v="Timeline extended"/>
  </r>
  <r>
    <s v="P0475"/>
    <s v="Project-576"/>
    <x v="6"/>
    <x v="0"/>
    <x v="344"/>
    <x v="359"/>
    <x v="0"/>
    <n v="967562"/>
    <n v="140078"/>
    <x v="4"/>
    <x v="0"/>
    <x v="1"/>
    <n v="827484"/>
    <n v="590.73087851054413"/>
    <s v="Work in progress"/>
  </r>
  <r>
    <s v="P0476"/>
    <s v="Project-781"/>
    <x v="1"/>
    <x v="4"/>
    <x v="135"/>
    <x v="360"/>
    <x v="0"/>
    <n v="408315"/>
    <n v="1174818"/>
    <x v="0"/>
    <x v="1"/>
    <x v="1"/>
    <n v="-766503"/>
    <n v="-65.244403814037582"/>
    <s v="Work in progress"/>
  </r>
  <r>
    <s v="P0477"/>
    <s v="Project-858"/>
    <x v="0"/>
    <x v="4"/>
    <x v="130"/>
    <x v="79"/>
    <x v="0"/>
    <n v="720194"/>
    <n v="473092"/>
    <x v="4"/>
    <x v="2"/>
    <x v="0"/>
    <n v="247102"/>
    <n v="52.231278482832089"/>
    <s v="Work in progress"/>
  </r>
  <r>
    <s v="P0478"/>
    <s v="Project-637"/>
    <x v="3"/>
    <x v="2"/>
    <x v="345"/>
    <x v="187"/>
    <x v="1"/>
    <n v="524329"/>
    <n v="912479"/>
    <x v="0"/>
    <x v="3"/>
    <x v="1"/>
    <n v="-388150"/>
    <n v="-42.537965257282636"/>
    <s v="Timeline extended"/>
  </r>
  <r>
    <s v="P0479"/>
    <s v="Project-966"/>
    <x v="1"/>
    <x v="5"/>
    <x v="346"/>
    <x v="264"/>
    <x v="3"/>
    <n v="309966"/>
    <n v="718839"/>
    <x v="2"/>
    <x v="0"/>
    <x v="1"/>
    <n v="-408873"/>
    <n v="-56.879635078230315"/>
    <s v="Project cancelled"/>
  </r>
  <r>
    <s v="P0480"/>
    <s v="Project-917"/>
    <x v="5"/>
    <x v="3"/>
    <x v="347"/>
    <x v="361"/>
    <x v="0"/>
    <n v="953734"/>
    <n v="158863"/>
    <x v="3"/>
    <x v="3"/>
    <x v="0"/>
    <n v="794871"/>
    <n v="500.34998709579952"/>
    <s v="Work in progress"/>
  </r>
  <r>
    <s v="P0481"/>
    <s v="Project-507"/>
    <x v="5"/>
    <x v="7"/>
    <x v="348"/>
    <x v="134"/>
    <x v="2"/>
    <n v="732550"/>
    <n v="70478"/>
    <x v="1"/>
    <x v="1"/>
    <x v="0"/>
    <n v="662072"/>
    <n v="939.40236669599028"/>
    <s v="Project delivered successfully"/>
  </r>
  <r>
    <s v="P0482"/>
    <s v="Project-624"/>
    <x v="7"/>
    <x v="4"/>
    <x v="331"/>
    <x v="226"/>
    <x v="0"/>
    <n v="122832"/>
    <n v="189574"/>
    <x v="1"/>
    <x v="0"/>
    <x v="0"/>
    <n v="-66742"/>
    <n v="-35.206304662031712"/>
    <s v="Work in progress"/>
  </r>
  <r>
    <s v="P0483"/>
    <s v="Project-927"/>
    <x v="1"/>
    <x v="4"/>
    <x v="349"/>
    <x v="362"/>
    <x v="0"/>
    <n v="333527"/>
    <n v="805128"/>
    <x v="4"/>
    <x v="1"/>
    <x v="0"/>
    <n v="-471601"/>
    <n v="-58.574661420295904"/>
    <s v="Work in progress"/>
  </r>
  <r>
    <s v="P0484"/>
    <s v="Project-605"/>
    <x v="7"/>
    <x v="2"/>
    <x v="83"/>
    <x v="363"/>
    <x v="0"/>
    <n v="816334"/>
    <n v="694622"/>
    <x v="4"/>
    <x v="0"/>
    <x v="2"/>
    <n v="121712"/>
    <n v="17.522047962776877"/>
    <s v="Work in progress"/>
  </r>
  <r>
    <s v="P0485"/>
    <s v="Project-924"/>
    <x v="0"/>
    <x v="0"/>
    <x v="91"/>
    <x v="364"/>
    <x v="0"/>
    <n v="436435"/>
    <n v="1083063"/>
    <x v="0"/>
    <x v="2"/>
    <x v="0"/>
    <n v="-646628"/>
    <n v="-59.703636815217585"/>
    <s v="Work in progress"/>
  </r>
  <r>
    <s v="P0486"/>
    <s v="Project-135"/>
    <x v="4"/>
    <x v="2"/>
    <x v="350"/>
    <x v="74"/>
    <x v="0"/>
    <n v="992164"/>
    <n v="712701"/>
    <x v="1"/>
    <x v="3"/>
    <x v="0"/>
    <n v="279463"/>
    <n v="39.211815333498897"/>
    <s v="Work in progress"/>
  </r>
  <r>
    <s v="P0487"/>
    <s v="Project-784"/>
    <x v="4"/>
    <x v="6"/>
    <x v="104"/>
    <x v="309"/>
    <x v="0"/>
    <n v="813389"/>
    <n v="288432"/>
    <x v="2"/>
    <x v="2"/>
    <x v="1"/>
    <n v="524957"/>
    <n v="182.00373051533811"/>
    <s v="Work in progress"/>
  </r>
  <r>
    <s v="P0488"/>
    <s v="Project-119"/>
    <x v="4"/>
    <x v="3"/>
    <x v="351"/>
    <x v="365"/>
    <x v="2"/>
    <n v="839106"/>
    <n v="1187500"/>
    <x v="4"/>
    <x v="2"/>
    <x v="1"/>
    <n v="-348394"/>
    <n v="-29.338442105263159"/>
    <s v="Project delivered successfully"/>
  </r>
  <r>
    <s v="P0489"/>
    <s v="Project-420"/>
    <x v="1"/>
    <x v="5"/>
    <x v="352"/>
    <x v="366"/>
    <x v="0"/>
    <n v="426244"/>
    <n v="611556"/>
    <x v="1"/>
    <x v="2"/>
    <x v="0"/>
    <n v="-185312"/>
    <n v="-30.301722164446097"/>
    <s v="Work in progress"/>
  </r>
  <r>
    <s v="P0490"/>
    <s v="Project-875"/>
    <x v="4"/>
    <x v="1"/>
    <x v="327"/>
    <x v="367"/>
    <x v="2"/>
    <n v="421513"/>
    <n v="1108181"/>
    <x v="3"/>
    <x v="2"/>
    <x v="0"/>
    <n v="-686668"/>
    <n v="-61.963524009164573"/>
    <s v="Project delivered successfully"/>
  </r>
  <r>
    <s v="P0491"/>
    <s v="Project-611"/>
    <x v="0"/>
    <x v="1"/>
    <x v="139"/>
    <x v="368"/>
    <x v="0"/>
    <n v="597108"/>
    <n v="894638"/>
    <x v="0"/>
    <x v="0"/>
    <x v="0"/>
    <n v="-297530"/>
    <n v="-33.257026864497149"/>
    <s v="Work in progress"/>
  </r>
  <r>
    <s v="P0492"/>
    <s v="Project-499"/>
    <x v="7"/>
    <x v="5"/>
    <x v="226"/>
    <x v="88"/>
    <x v="0"/>
    <n v="790400"/>
    <n v="1007602"/>
    <x v="4"/>
    <x v="3"/>
    <x v="1"/>
    <n v="-217202"/>
    <n v="-21.556328788549447"/>
    <s v="Work in progress"/>
  </r>
  <r>
    <s v="P0493"/>
    <s v="Project-753"/>
    <x v="1"/>
    <x v="0"/>
    <x v="353"/>
    <x v="369"/>
    <x v="0"/>
    <n v="468882"/>
    <n v="123375"/>
    <x v="4"/>
    <x v="0"/>
    <x v="1"/>
    <n v="345507"/>
    <n v="280.04620060790273"/>
    <s v="Work in progress"/>
  </r>
  <r>
    <s v="P0494"/>
    <s v="Project-982"/>
    <x v="7"/>
    <x v="6"/>
    <x v="354"/>
    <x v="370"/>
    <x v="0"/>
    <n v="93794"/>
    <n v="734388"/>
    <x v="2"/>
    <x v="0"/>
    <x v="0"/>
    <n v="-640594"/>
    <n v="-87.228277150498101"/>
    <s v="Work in progress"/>
  </r>
  <r>
    <s v="P0495"/>
    <s v="Project-570"/>
    <x v="1"/>
    <x v="4"/>
    <x v="355"/>
    <x v="67"/>
    <x v="0"/>
    <n v="969580"/>
    <n v="352904"/>
    <x v="4"/>
    <x v="0"/>
    <x v="1"/>
    <n v="616676"/>
    <n v="174.74327295808493"/>
    <s v="Work in progress"/>
  </r>
  <r>
    <s v="P0496"/>
    <s v="Project-242"/>
    <x v="7"/>
    <x v="0"/>
    <x v="356"/>
    <x v="371"/>
    <x v="0"/>
    <n v="178544"/>
    <n v="557930"/>
    <x v="1"/>
    <x v="2"/>
    <x v="1"/>
    <n v="-379386"/>
    <n v="-67.998852902693883"/>
    <s v="Work in progress"/>
  </r>
  <r>
    <s v="P0497"/>
    <s v="Project-191"/>
    <x v="5"/>
    <x v="4"/>
    <x v="357"/>
    <x v="59"/>
    <x v="0"/>
    <n v="87555"/>
    <n v="537866"/>
    <x v="1"/>
    <x v="1"/>
    <x v="0"/>
    <n v="-450311"/>
    <n v="-83.721782005183442"/>
    <s v="Work in progress"/>
  </r>
  <r>
    <s v="P0498"/>
    <s v="Project-453"/>
    <x v="7"/>
    <x v="4"/>
    <x v="11"/>
    <x v="108"/>
    <x v="0"/>
    <n v="760568"/>
    <n v="563910"/>
    <x v="1"/>
    <x v="2"/>
    <x v="1"/>
    <n v="196658"/>
    <n v="34.874004717064778"/>
    <s v="Work in progress"/>
  </r>
  <r>
    <s v="P0499"/>
    <s v="Project-933"/>
    <x v="4"/>
    <x v="1"/>
    <x v="358"/>
    <x v="186"/>
    <x v="2"/>
    <n v="868838"/>
    <n v="78423"/>
    <x v="3"/>
    <x v="0"/>
    <x v="0"/>
    <n v="790415"/>
    <n v="1007.8867169070298"/>
    <s v="Project delivered successfully"/>
  </r>
  <r>
    <s v="P0500"/>
    <s v="Project-899"/>
    <x v="5"/>
    <x v="0"/>
    <x v="138"/>
    <x v="172"/>
    <x v="2"/>
    <n v="504788"/>
    <n v="789904"/>
    <x v="3"/>
    <x v="2"/>
    <x v="2"/>
    <n v="-285116"/>
    <n v="-36.095019141566567"/>
    <s v="Project delivered successfully"/>
  </r>
  <r>
    <s v="P0501"/>
    <s v="Project-826"/>
    <x v="7"/>
    <x v="6"/>
    <x v="145"/>
    <x v="139"/>
    <x v="0"/>
    <n v="90262"/>
    <n v="1126141"/>
    <x v="4"/>
    <x v="3"/>
    <x v="2"/>
    <n v="-1035879"/>
    <n v="-91.984840264229788"/>
    <s v="Work in progress"/>
  </r>
  <r>
    <s v="P0502"/>
    <s v="Project-953"/>
    <x v="1"/>
    <x v="2"/>
    <x v="4"/>
    <x v="372"/>
    <x v="0"/>
    <n v="927752"/>
    <n v="817189"/>
    <x v="3"/>
    <x v="3"/>
    <x v="2"/>
    <n v="110563"/>
    <n v="13.529673062167994"/>
    <s v="Work in progress"/>
  </r>
  <r>
    <s v="P0503"/>
    <s v="Project-150"/>
    <x v="1"/>
    <x v="4"/>
    <x v="95"/>
    <x v="373"/>
    <x v="0"/>
    <n v="792021"/>
    <n v="968974"/>
    <x v="3"/>
    <x v="2"/>
    <x v="1"/>
    <n v="-176953"/>
    <n v="-18.261893507978542"/>
    <s v="Work in progress"/>
  </r>
  <r>
    <s v="P0504"/>
    <s v="Project-764"/>
    <x v="6"/>
    <x v="7"/>
    <x v="305"/>
    <x v="374"/>
    <x v="2"/>
    <n v="466432"/>
    <n v="36220"/>
    <x v="2"/>
    <x v="2"/>
    <x v="2"/>
    <n v="430212"/>
    <n v="1187.7747101049144"/>
    <s v="Project delivered successfully"/>
  </r>
  <r>
    <s v="P0505"/>
    <s v="Project-797"/>
    <x v="1"/>
    <x v="7"/>
    <x v="359"/>
    <x v="375"/>
    <x v="0"/>
    <n v="511333"/>
    <n v="924840"/>
    <x v="3"/>
    <x v="1"/>
    <x v="1"/>
    <n v="-413507"/>
    <n v="-44.711193287487568"/>
    <s v="Work in progress"/>
  </r>
  <r>
    <s v="P0506"/>
    <s v="Project-674"/>
    <x v="3"/>
    <x v="2"/>
    <x v="283"/>
    <x v="376"/>
    <x v="0"/>
    <n v="786496"/>
    <n v="646139"/>
    <x v="0"/>
    <x v="2"/>
    <x v="0"/>
    <n v="140357"/>
    <n v="21.722415765028888"/>
    <s v="Work in progress"/>
  </r>
  <r>
    <s v="P0507"/>
    <s v="Project-289"/>
    <x v="0"/>
    <x v="7"/>
    <x v="360"/>
    <x v="366"/>
    <x v="0"/>
    <n v="342428"/>
    <n v="740114"/>
    <x v="0"/>
    <x v="2"/>
    <x v="2"/>
    <n v="-397686"/>
    <n v="-53.73307355353365"/>
    <s v="Work in progress"/>
  </r>
  <r>
    <s v="P0508"/>
    <s v="Project-224"/>
    <x v="1"/>
    <x v="3"/>
    <x v="283"/>
    <x v="107"/>
    <x v="1"/>
    <n v="725531"/>
    <n v="157636"/>
    <x v="0"/>
    <x v="1"/>
    <x v="1"/>
    <n v="567895"/>
    <n v="360.25717475703522"/>
    <s v="Timeline extended"/>
  </r>
  <r>
    <s v="P0509"/>
    <s v="Project-249"/>
    <x v="5"/>
    <x v="4"/>
    <x v="361"/>
    <x v="98"/>
    <x v="0"/>
    <n v="927059"/>
    <n v="530846"/>
    <x v="4"/>
    <x v="2"/>
    <x v="2"/>
    <n v="396213"/>
    <n v="74.63803061528202"/>
    <s v="Work in progress"/>
  </r>
  <r>
    <s v="P0510"/>
    <s v="Project-413"/>
    <x v="6"/>
    <x v="2"/>
    <x v="362"/>
    <x v="243"/>
    <x v="2"/>
    <n v="981837"/>
    <n v="445721"/>
    <x v="1"/>
    <x v="2"/>
    <x v="1"/>
    <n v="536116"/>
    <n v="120.28062397777984"/>
    <s v="Project delivered successfully"/>
  </r>
  <r>
    <s v="P0511"/>
    <s v="Project-669"/>
    <x v="1"/>
    <x v="0"/>
    <x v="319"/>
    <x v="27"/>
    <x v="0"/>
    <n v="473751"/>
    <n v="628780"/>
    <x v="2"/>
    <x v="2"/>
    <x v="1"/>
    <n v="-155029"/>
    <n v="-24.655523394510006"/>
    <s v="Work in progress"/>
  </r>
  <r>
    <s v="P0512"/>
    <s v="Project-441"/>
    <x v="3"/>
    <x v="4"/>
    <x v="363"/>
    <x v="141"/>
    <x v="1"/>
    <n v="139023"/>
    <n v="311253"/>
    <x v="4"/>
    <x v="2"/>
    <x v="0"/>
    <n v="-172230"/>
    <n v="-55.334406415359851"/>
    <s v="Timeline extended"/>
  </r>
  <r>
    <s v="P0513"/>
    <s v="Project-404"/>
    <x v="4"/>
    <x v="2"/>
    <x v="217"/>
    <x v="249"/>
    <x v="2"/>
    <n v="257012"/>
    <n v="87326"/>
    <x v="1"/>
    <x v="2"/>
    <x v="1"/>
    <n v="169686"/>
    <n v="194.31326294574353"/>
    <s v="Project delivered successfully"/>
  </r>
  <r>
    <s v="P0514"/>
    <s v="Project-791"/>
    <x v="5"/>
    <x v="1"/>
    <x v="307"/>
    <x v="377"/>
    <x v="0"/>
    <n v="214772"/>
    <n v="1088440"/>
    <x v="2"/>
    <x v="0"/>
    <x v="1"/>
    <n v="-873668"/>
    <n v="-80.267906361397962"/>
    <s v="Work in progress"/>
  </r>
  <r>
    <s v="P0515"/>
    <s v="Project-781"/>
    <x v="3"/>
    <x v="6"/>
    <x v="364"/>
    <x v="222"/>
    <x v="1"/>
    <n v="526799"/>
    <n v="379706"/>
    <x v="2"/>
    <x v="2"/>
    <x v="2"/>
    <n v="147093"/>
    <n v="38.738655696775922"/>
    <s v="Timeline extended"/>
  </r>
  <r>
    <s v="P0516"/>
    <s v="Project-937"/>
    <x v="4"/>
    <x v="0"/>
    <x v="95"/>
    <x v="235"/>
    <x v="0"/>
    <n v="91516"/>
    <n v="1152886"/>
    <x v="2"/>
    <x v="1"/>
    <x v="0"/>
    <n v="-1061370"/>
    <n v="-92.062007865478463"/>
    <s v="Work in progress"/>
  </r>
  <r>
    <s v="P0517"/>
    <s v="Project-882"/>
    <x v="2"/>
    <x v="6"/>
    <x v="365"/>
    <x v="378"/>
    <x v="1"/>
    <n v="327721"/>
    <n v="411598"/>
    <x v="0"/>
    <x v="2"/>
    <x v="1"/>
    <n v="-83877"/>
    <n v="-20.378378903687576"/>
    <s v="Timeline extended"/>
  </r>
  <r>
    <s v="P0518"/>
    <s v="Project-153"/>
    <x v="2"/>
    <x v="1"/>
    <x v="267"/>
    <x v="379"/>
    <x v="1"/>
    <n v="305623"/>
    <n v="273415"/>
    <x v="0"/>
    <x v="0"/>
    <x v="2"/>
    <n v="32208"/>
    <n v="11.77989503136258"/>
    <s v="Timeline extended"/>
  </r>
  <r>
    <s v="P0519"/>
    <s v="Project-543"/>
    <x v="5"/>
    <x v="4"/>
    <x v="216"/>
    <x v="59"/>
    <x v="0"/>
    <n v="589303"/>
    <n v="837449"/>
    <x v="0"/>
    <x v="1"/>
    <x v="0"/>
    <n v="-248146"/>
    <n v="-29.631177540363652"/>
    <s v="Work in progress"/>
  </r>
  <r>
    <s v="P0520"/>
    <s v="Project-712"/>
    <x v="7"/>
    <x v="0"/>
    <x v="260"/>
    <x v="380"/>
    <x v="2"/>
    <n v="141104"/>
    <n v="468701"/>
    <x v="2"/>
    <x v="1"/>
    <x v="1"/>
    <n v="-327597"/>
    <n v="-69.894666322452906"/>
    <s v="Project delivered successfully"/>
  </r>
  <r>
    <s v="P0521"/>
    <s v="Project-363"/>
    <x v="0"/>
    <x v="6"/>
    <x v="49"/>
    <x v="82"/>
    <x v="0"/>
    <n v="426556"/>
    <n v="1162133"/>
    <x v="2"/>
    <x v="2"/>
    <x v="2"/>
    <n v="-735577"/>
    <n v="-63.295423157246198"/>
    <s v="Work in progress"/>
  </r>
  <r>
    <s v="P0522"/>
    <s v="Project-152"/>
    <x v="6"/>
    <x v="7"/>
    <x v="366"/>
    <x v="381"/>
    <x v="0"/>
    <n v="403884"/>
    <n v="217460"/>
    <x v="0"/>
    <x v="3"/>
    <x v="0"/>
    <n v="186424"/>
    <n v="85.727949967810162"/>
    <s v="Work in progress"/>
  </r>
  <r>
    <s v="P0523"/>
    <s v="Project-671"/>
    <x v="0"/>
    <x v="6"/>
    <x v="367"/>
    <x v="228"/>
    <x v="0"/>
    <n v="802644"/>
    <n v="40372"/>
    <x v="2"/>
    <x v="0"/>
    <x v="0"/>
    <n v="762272"/>
    <n v="1888.1204795402755"/>
    <s v="Work in progress"/>
  </r>
  <r>
    <s v="P0524"/>
    <s v="Project-719"/>
    <x v="3"/>
    <x v="2"/>
    <x v="368"/>
    <x v="382"/>
    <x v="2"/>
    <n v="464452"/>
    <n v="529900"/>
    <x v="0"/>
    <x v="3"/>
    <x v="0"/>
    <n v="-65448"/>
    <n v="-12.351009624457445"/>
    <s v="Project delivered successfully"/>
  </r>
  <r>
    <s v="P0525"/>
    <s v="Project-104"/>
    <x v="4"/>
    <x v="4"/>
    <x v="369"/>
    <x v="267"/>
    <x v="0"/>
    <n v="378784"/>
    <n v="1178626"/>
    <x v="0"/>
    <x v="2"/>
    <x v="0"/>
    <n v="-799842"/>
    <n v="-67.862239590845604"/>
    <s v="Work in progress"/>
  </r>
  <r>
    <s v="P0526"/>
    <s v="Project-202"/>
    <x v="0"/>
    <x v="3"/>
    <x v="315"/>
    <x v="262"/>
    <x v="0"/>
    <n v="657478"/>
    <n v="363477"/>
    <x v="0"/>
    <x v="0"/>
    <x v="1"/>
    <n v="294001"/>
    <n v="80.885723168178458"/>
    <s v="Work in progress"/>
  </r>
  <r>
    <s v="P0527"/>
    <s v="Project-295"/>
    <x v="4"/>
    <x v="6"/>
    <x v="35"/>
    <x v="383"/>
    <x v="2"/>
    <n v="179516"/>
    <n v="308427"/>
    <x v="1"/>
    <x v="3"/>
    <x v="1"/>
    <n v="-128911"/>
    <n v="-41.796275942119202"/>
    <s v="Project delivered successfully"/>
  </r>
  <r>
    <s v="P0528"/>
    <s v="Project-873"/>
    <x v="4"/>
    <x v="0"/>
    <x v="219"/>
    <x v="300"/>
    <x v="0"/>
    <n v="223441"/>
    <n v="1119433"/>
    <x v="2"/>
    <x v="0"/>
    <x v="0"/>
    <n v="-895992"/>
    <n v="-80.039805866005381"/>
    <s v="Work in progress"/>
  </r>
  <r>
    <s v="P0529"/>
    <s v="Project-976"/>
    <x v="3"/>
    <x v="0"/>
    <x v="63"/>
    <x v="384"/>
    <x v="0"/>
    <n v="709006"/>
    <n v="1057945"/>
    <x v="4"/>
    <x v="2"/>
    <x v="0"/>
    <n v="-348939"/>
    <n v="-32.98271649282335"/>
    <s v="Work in progress"/>
  </r>
  <r>
    <s v="P0530"/>
    <s v="Project-983"/>
    <x v="3"/>
    <x v="5"/>
    <x v="16"/>
    <x v="385"/>
    <x v="0"/>
    <n v="137007"/>
    <n v="745030"/>
    <x v="0"/>
    <x v="0"/>
    <x v="1"/>
    <n v="-608023"/>
    <n v="-81.610539172919218"/>
    <s v="Work in progress"/>
  </r>
  <r>
    <s v="P0531"/>
    <s v="Project-449"/>
    <x v="3"/>
    <x v="6"/>
    <x v="116"/>
    <x v="386"/>
    <x v="0"/>
    <n v="731266"/>
    <n v="125856"/>
    <x v="4"/>
    <x v="2"/>
    <x v="2"/>
    <n v="605410"/>
    <n v="481.03387998982964"/>
    <s v="Work in progress"/>
  </r>
  <r>
    <s v="P0532"/>
    <s v="Project-146"/>
    <x v="0"/>
    <x v="4"/>
    <x v="99"/>
    <x v="229"/>
    <x v="0"/>
    <n v="792003"/>
    <n v="454477"/>
    <x v="1"/>
    <x v="3"/>
    <x v="0"/>
    <n v="337526"/>
    <n v="74.266904595832131"/>
    <s v="Work in progress"/>
  </r>
  <r>
    <s v="P0533"/>
    <s v="Project-966"/>
    <x v="2"/>
    <x v="4"/>
    <x v="176"/>
    <x v="39"/>
    <x v="0"/>
    <n v="97728"/>
    <n v="822539"/>
    <x v="2"/>
    <x v="0"/>
    <x v="1"/>
    <n v="-724811"/>
    <n v="-88.118739658545067"/>
    <s v="Work in progress"/>
  </r>
  <r>
    <s v="P0534"/>
    <s v="Project-922"/>
    <x v="3"/>
    <x v="1"/>
    <x v="19"/>
    <x v="18"/>
    <x v="3"/>
    <n v="851310"/>
    <n v="252368"/>
    <x v="0"/>
    <x v="1"/>
    <x v="1"/>
    <n v="598942"/>
    <n v="237.32882140366451"/>
    <s v="Project cancelled"/>
  </r>
  <r>
    <s v="P0535"/>
    <s v="Project-919"/>
    <x v="6"/>
    <x v="5"/>
    <x v="370"/>
    <x v="387"/>
    <x v="2"/>
    <n v="559958"/>
    <n v="851993"/>
    <x v="0"/>
    <x v="2"/>
    <x v="2"/>
    <n v="-292035"/>
    <n v="-34.276690066702429"/>
    <s v="Project delivered successfully"/>
  </r>
  <r>
    <s v="P0536"/>
    <s v="Project-755"/>
    <x v="0"/>
    <x v="6"/>
    <x v="367"/>
    <x v="388"/>
    <x v="0"/>
    <n v="965357"/>
    <n v="237746"/>
    <x v="0"/>
    <x v="0"/>
    <x v="1"/>
    <n v="727611"/>
    <n v="306.04552757985414"/>
    <s v="Work in progress"/>
  </r>
  <r>
    <s v="P0537"/>
    <s v="Project-368"/>
    <x v="3"/>
    <x v="7"/>
    <x v="176"/>
    <x v="231"/>
    <x v="0"/>
    <n v="59145"/>
    <n v="810985"/>
    <x v="4"/>
    <x v="1"/>
    <x v="0"/>
    <n v="-751840"/>
    <n v="-92.70701677589598"/>
    <s v="Work in progress"/>
  </r>
  <r>
    <s v="P0538"/>
    <s v="Project-469"/>
    <x v="1"/>
    <x v="1"/>
    <x v="371"/>
    <x v="276"/>
    <x v="0"/>
    <n v="662866"/>
    <n v="768360"/>
    <x v="1"/>
    <x v="1"/>
    <x v="1"/>
    <n v="-105494"/>
    <n v="-13.729762090686656"/>
    <s v="Work in progress"/>
  </r>
  <r>
    <s v="P0539"/>
    <s v="Project-735"/>
    <x v="4"/>
    <x v="5"/>
    <x v="372"/>
    <x v="389"/>
    <x v="2"/>
    <n v="68226"/>
    <n v="678431"/>
    <x v="2"/>
    <x v="1"/>
    <x v="0"/>
    <n v="-610205"/>
    <n v="-89.943560951666427"/>
    <s v="Project delivered successfully"/>
  </r>
  <r>
    <s v="P0540"/>
    <s v="Project-205"/>
    <x v="6"/>
    <x v="6"/>
    <x v="104"/>
    <x v="376"/>
    <x v="0"/>
    <n v="314946"/>
    <n v="835064"/>
    <x v="1"/>
    <x v="1"/>
    <x v="1"/>
    <n v="-520118"/>
    <n v="-62.284806913003074"/>
    <s v="Work in progress"/>
  </r>
  <r>
    <s v="P0541"/>
    <s v="Project-769"/>
    <x v="3"/>
    <x v="6"/>
    <x v="373"/>
    <x v="111"/>
    <x v="0"/>
    <n v="598407"/>
    <n v="1126123"/>
    <x v="0"/>
    <x v="2"/>
    <x v="0"/>
    <n v="-527716"/>
    <n v="-46.861310886999021"/>
    <s v="Work in progress"/>
  </r>
  <r>
    <s v="P0542"/>
    <s v="Project-758"/>
    <x v="5"/>
    <x v="1"/>
    <x v="374"/>
    <x v="390"/>
    <x v="1"/>
    <n v="113560"/>
    <n v="304244"/>
    <x v="1"/>
    <x v="0"/>
    <x v="0"/>
    <n v="-190684"/>
    <n v="-62.674695310343012"/>
    <s v="Timeline extended"/>
  </r>
  <r>
    <s v="P0543"/>
    <s v="Project-756"/>
    <x v="4"/>
    <x v="7"/>
    <x v="371"/>
    <x v="391"/>
    <x v="0"/>
    <n v="107353"/>
    <n v="237977"/>
    <x v="4"/>
    <x v="1"/>
    <x v="1"/>
    <n v="-130624"/>
    <n v="-54.889338045273284"/>
    <s v="Work in progress"/>
  </r>
  <r>
    <s v="P0544"/>
    <s v="Project-219"/>
    <x v="4"/>
    <x v="5"/>
    <x v="375"/>
    <x v="392"/>
    <x v="0"/>
    <n v="295741"/>
    <n v="499092"/>
    <x v="3"/>
    <x v="0"/>
    <x v="0"/>
    <n v="-203351"/>
    <n v="-40.744191451676244"/>
    <s v="Work in progress"/>
  </r>
  <r>
    <s v="P0545"/>
    <s v="Project-930"/>
    <x v="3"/>
    <x v="6"/>
    <x v="376"/>
    <x v="393"/>
    <x v="1"/>
    <n v="798081"/>
    <n v="108944"/>
    <x v="3"/>
    <x v="0"/>
    <x v="1"/>
    <n v="689137"/>
    <n v="632.56076516375379"/>
    <s v="Timeline extended"/>
  </r>
  <r>
    <s v="P0546"/>
    <s v="Project-886"/>
    <x v="2"/>
    <x v="6"/>
    <x v="377"/>
    <x v="73"/>
    <x v="2"/>
    <n v="435145"/>
    <n v="474056"/>
    <x v="2"/>
    <x v="3"/>
    <x v="1"/>
    <n v="-38911"/>
    <n v="-8.2081019963886135"/>
    <s v="Project delivered successfully"/>
  </r>
  <r>
    <s v="P0547"/>
    <s v="Project-703"/>
    <x v="7"/>
    <x v="5"/>
    <x v="7"/>
    <x v="280"/>
    <x v="0"/>
    <n v="505342"/>
    <n v="645929"/>
    <x v="2"/>
    <x v="0"/>
    <x v="1"/>
    <n v="-140587"/>
    <n v="-21.765085636347028"/>
    <s v="Work in progress"/>
  </r>
  <r>
    <s v="P0548"/>
    <s v="Project-157"/>
    <x v="2"/>
    <x v="3"/>
    <x v="378"/>
    <x v="394"/>
    <x v="2"/>
    <n v="645929"/>
    <n v="948965"/>
    <x v="1"/>
    <x v="2"/>
    <x v="0"/>
    <n v="-303036"/>
    <n v="-31.933316824118908"/>
    <s v="Project delivered successfully"/>
  </r>
  <r>
    <s v="P0549"/>
    <s v="Project-445"/>
    <x v="3"/>
    <x v="1"/>
    <x v="38"/>
    <x v="395"/>
    <x v="0"/>
    <n v="101712"/>
    <n v="521592"/>
    <x v="2"/>
    <x v="2"/>
    <x v="1"/>
    <n v="-419880"/>
    <n v="-80.49970091565821"/>
    <s v="Work in progress"/>
  </r>
  <r>
    <s v="P0550"/>
    <s v="Project-840"/>
    <x v="4"/>
    <x v="1"/>
    <x v="180"/>
    <x v="396"/>
    <x v="2"/>
    <n v="495405"/>
    <n v="1074733"/>
    <x v="4"/>
    <x v="1"/>
    <x v="2"/>
    <n v="-579328"/>
    <n v="-53.904365084165093"/>
    <s v="Project delivered successfully"/>
  </r>
  <r>
    <s v="P0551"/>
    <s v="Project-573"/>
    <x v="6"/>
    <x v="0"/>
    <x v="291"/>
    <x v="39"/>
    <x v="0"/>
    <n v="704373"/>
    <n v="1032220"/>
    <x v="0"/>
    <x v="0"/>
    <x v="0"/>
    <n v="-327847"/>
    <n v="-31.761349324756349"/>
    <s v="Work in progress"/>
  </r>
  <r>
    <s v="P0552"/>
    <s v="Project-216"/>
    <x v="5"/>
    <x v="7"/>
    <x v="64"/>
    <x v="122"/>
    <x v="1"/>
    <n v="380429"/>
    <n v="299861"/>
    <x v="0"/>
    <x v="2"/>
    <x v="2"/>
    <n v="80568"/>
    <n v="26.868449048058935"/>
    <s v="Timeline extended"/>
  </r>
  <r>
    <s v="P0553"/>
    <s v="Project-929"/>
    <x v="6"/>
    <x v="2"/>
    <x v="92"/>
    <x v="192"/>
    <x v="3"/>
    <n v="165278"/>
    <n v="618310"/>
    <x v="1"/>
    <x v="2"/>
    <x v="2"/>
    <n v="-453032"/>
    <n v="-73.269395610616044"/>
    <s v="Project cancelled"/>
  </r>
  <r>
    <s v="P0554"/>
    <s v="Project-890"/>
    <x v="6"/>
    <x v="3"/>
    <x v="379"/>
    <x v="17"/>
    <x v="1"/>
    <n v="559272"/>
    <n v="214740"/>
    <x v="0"/>
    <x v="2"/>
    <x v="2"/>
    <n v="344532"/>
    <n v="160.44146409611625"/>
    <s v="Timeline extended"/>
  </r>
  <r>
    <s v="P0555"/>
    <s v="Project-226"/>
    <x v="4"/>
    <x v="5"/>
    <x v="380"/>
    <x v="91"/>
    <x v="1"/>
    <n v="748309"/>
    <n v="1130221"/>
    <x v="1"/>
    <x v="1"/>
    <x v="2"/>
    <n v="-381912"/>
    <n v="-33.79091345851829"/>
    <s v="Timeline extended"/>
  </r>
  <r>
    <s v="P0556"/>
    <s v="Project-492"/>
    <x v="2"/>
    <x v="5"/>
    <x v="381"/>
    <x v="21"/>
    <x v="0"/>
    <n v="215201"/>
    <n v="845982"/>
    <x v="2"/>
    <x v="2"/>
    <x v="1"/>
    <n v="-630781"/>
    <n v="-74.561988316536286"/>
    <s v="Work in progress"/>
  </r>
  <r>
    <s v="P0557"/>
    <s v="Project-740"/>
    <x v="5"/>
    <x v="5"/>
    <x v="382"/>
    <x v="397"/>
    <x v="0"/>
    <n v="860944"/>
    <n v="509367"/>
    <x v="2"/>
    <x v="0"/>
    <x v="2"/>
    <n v="351577"/>
    <n v="69.022335565515633"/>
    <s v="Work in progress"/>
  </r>
  <r>
    <s v="P0558"/>
    <s v="Project-157"/>
    <x v="0"/>
    <x v="3"/>
    <x v="383"/>
    <x v="55"/>
    <x v="0"/>
    <n v="676365"/>
    <n v="951080"/>
    <x v="4"/>
    <x v="2"/>
    <x v="0"/>
    <n v="-274715"/>
    <n v="-28.884531269714429"/>
    <s v="Work in progress"/>
  </r>
  <r>
    <s v="P0559"/>
    <s v="Project-733"/>
    <x v="1"/>
    <x v="6"/>
    <x v="348"/>
    <x v="42"/>
    <x v="2"/>
    <n v="784391"/>
    <n v="595156"/>
    <x v="0"/>
    <x v="2"/>
    <x v="2"/>
    <n v="189235"/>
    <n v="31.795865285740209"/>
    <s v="Project delivered successfully"/>
  </r>
  <r>
    <s v="P0560"/>
    <s v="Project-612"/>
    <x v="4"/>
    <x v="5"/>
    <x v="372"/>
    <x v="324"/>
    <x v="1"/>
    <n v="506770"/>
    <n v="1176615"/>
    <x v="4"/>
    <x v="1"/>
    <x v="2"/>
    <n v="-669845"/>
    <n v="-56.929836862525129"/>
    <s v="Timeline extended"/>
  </r>
  <r>
    <s v="P0561"/>
    <s v="Project-850"/>
    <x v="3"/>
    <x v="5"/>
    <x v="279"/>
    <x v="144"/>
    <x v="0"/>
    <n v="314208"/>
    <n v="208308"/>
    <x v="3"/>
    <x v="0"/>
    <x v="2"/>
    <n v="105900"/>
    <n v="50.838181922921834"/>
    <s v="Work in progress"/>
  </r>
  <r>
    <s v="P0562"/>
    <s v="Project-901"/>
    <x v="0"/>
    <x v="7"/>
    <x v="255"/>
    <x v="176"/>
    <x v="1"/>
    <n v="669902"/>
    <n v="600093"/>
    <x v="4"/>
    <x v="2"/>
    <x v="1"/>
    <n v="69809"/>
    <n v="11.633030213650217"/>
    <s v="Timeline extended"/>
  </r>
  <r>
    <s v="P0563"/>
    <s v="Project-195"/>
    <x v="1"/>
    <x v="4"/>
    <x v="384"/>
    <x v="278"/>
    <x v="1"/>
    <n v="232639"/>
    <n v="1065790"/>
    <x v="1"/>
    <x v="0"/>
    <x v="2"/>
    <n v="-833151"/>
    <n v="-78.172153989059751"/>
    <s v="Timeline extended"/>
  </r>
  <r>
    <s v="P0564"/>
    <s v="Project-737"/>
    <x v="3"/>
    <x v="4"/>
    <x v="385"/>
    <x v="398"/>
    <x v="3"/>
    <n v="167639"/>
    <n v="1191341"/>
    <x v="1"/>
    <x v="0"/>
    <x v="2"/>
    <n v="-1023702"/>
    <n v="-85.928546066995096"/>
    <s v="Project cancelled"/>
  </r>
  <r>
    <s v="P0565"/>
    <s v="Project-217"/>
    <x v="6"/>
    <x v="0"/>
    <x v="386"/>
    <x v="397"/>
    <x v="1"/>
    <n v="342155"/>
    <n v="1107264"/>
    <x v="4"/>
    <x v="2"/>
    <x v="2"/>
    <n v="-765109"/>
    <n v="-69.099058580428874"/>
    <s v="Timeline extended"/>
  </r>
  <r>
    <s v="P0566"/>
    <s v="Project-659"/>
    <x v="7"/>
    <x v="0"/>
    <x v="387"/>
    <x v="399"/>
    <x v="0"/>
    <n v="383296"/>
    <n v="958567"/>
    <x v="2"/>
    <x v="1"/>
    <x v="0"/>
    <n v="-575271"/>
    <n v="-60.013645368555359"/>
    <s v="Work in progress"/>
  </r>
  <r>
    <s v="P0567"/>
    <s v="Project-700"/>
    <x v="3"/>
    <x v="5"/>
    <x v="388"/>
    <x v="191"/>
    <x v="0"/>
    <n v="778871"/>
    <n v="479158"/>
    <x v="3"/>
    <x v="0"/>
    <x v="1"/>
    <n v="299713"/>
    <n v="62.549931337888545"/>
    <s v="Work in progress"/>
  </r>
  <r>
    <s v="P0568"/>
    <s v="Project-587"/>
    <x v="5"/>
    <x v="7"/>
    <x v="20"/>
    <x v="378"/>
    <x v="0"/>
    <n v="60960"/>
    <n v="998057"/>
    <x v="4"/>
    <x v="3"/>
    <x v="1"/>
    <n v="-937097"/>
    <n v="-93.892132413279001"/>
    <s v="Work in progress"/>
  </r>
  <r>
    <s v="P0569"/>
    <s v="Project-336"/>
    <x v="5"/>
    <x v="5"/>
    <x v="389"/>
    <x v="400"/>
    <x v="0"/>
    <n v="536744"/>
    <n v="587873"/>
    <x v="2"/>
    <x v="2"/>
    <x v="1"/>
    <n v="-51129"/>
    <n v="-8.6972866588531872"/>
    <s v="Work in progress"/>
  </r>
  <r>
    <s v="P0570"/>
    <s v="Project-984"/>
    <x v="7"/>
    <x v="0"/>
    <x v="199"/>
    <x v="401"/>
    <x v="2"/>
    <n v="171789"/>
    <n v="1019243"/>
    <x v="4"/>
    <x v="0"/>
    <x v="0"/>
    <n v="-847454"/>
    <n v="-83.145432443489923"/>
    <s v="Project delivered successfully"/>
  </r>
  <r>
    <s v="P0571"/>
    <s v="Project-996"/>
    <x v="0"/>
    <x v="3"/>
    <x v="390"/>
    <x v="402"/>
    <x v="1"/>
    <n v="371064"/>
    <n v="744364"/>
    <x v="0"/>
    <x v="0"/>
    <x v="2"/>
    <n v="-373300"/>
    <n v="-50.150195334540626"/>
    <s v="Timeline extended"/>
  </r>
  <r>
    <s v="P0572"/>
    <s v="Project-371"/>
    <x v="1"/>
    <x v="3"/>
    <x v="391"/>
    <x v="74"/>
    <x v="1"/>
    <n v="857819"/>
    <n v="280483"/>
    <x v="1"/>
    <x v="0"/>
    <x v="0"/>
    <n v="577336"/>
    <n v="205.83636084896412"/>
    <s v="Timeline extended"/>
  </r>
  <r>
    <s v="P0573"/>
    <s v="Project-288"/>
    <x v="3"/>
    <x v="6"/>
    <x v="392"/>
    <x v="62"/>
    <x v="2"/>
    <n v="458540"/>
    <n v="32438"/>
    <x v="0"/>
    <x v="2"/>
    <x v="1"/>
    <n v="426102"/>
    <n v="1313.5890005549047"/>
    <s v="Project delivered successfully"/>
  </r>
  <r>
    <s v="P0574"/>
    <s v="Project-803"/>
    <x v="5"/>
    <x v="2"/>
    <x v="144"/>
    <x v="132"/>
    <x v="0"/>
    <n v="638248"/>
    <n v="385239"/>
    <x v="0"/>
    <x v="3"/>
    <x v="1"/>
    <n v="253009"/>
    <n v="65.675853171667455"/>
    <s v="Work in progress"/>
  </r>
  <r>
    <s v="P0575"/>
    <s v="Project-546"/>
    <x v="0"/>
    <x v="4"/>
    <x v="5"/>
    <x v="344"/>
    <x v="0"/>
    <n v="172994"/>
    <n v="446428"/>
    <x v="3"/>
    <x v="0"/>
    <x v="1"/>
    <n v="-273434"/>
    <n v="-61.249294399096833"/>
    <s v="Work in progress"/>
  </r>
  <r>
    <s v="P0576"/>
    <s v="Project-680"/>
    <x v="7"/>
    <x v="7"/>
    <x v="393"/>
    <x v="403"/>
    <x v="0"/>
    <n v="344772"/>
    <n v="495393"/>
    <x v="2"/>
    <x v="0"/>
    <x v="0"/>
    <n v="-150621"/>
    <n v="-30.40434564073372"/>
    <s v="Work in progress"/>
  </r>
  <r>
    <s v="P0577"/>
    <s v="Project-889"/>
    <x v="2"/>
    <x v="1"/>
    <x v="156"/>
    <x v="404"/>
    <x v="0"/>
    <n v="957701"/>
    <n v="830458"/>
    <x v="1"/>
    <x v="1"/>
    <x v="1"/>
    <n v="127243"/>
    <n v="15.322027122383069"/>
    <s v="Work in progress"/>
  </r>
  <r>
    <s v="P0578"/>
    <s v="Project-960"/>
    <x v="4"/>
    <x v="4"/>
    <x v="281"/>
    <x v="91"/>
    <x v="0"/>
    <n v="780456"/>
    <n v="1003248"/>
    <x v="0"/>
    <x v="2"/>
    <x v="2"/>
    <n v="-222792"/>
    <n v="-22.207071431988901"/>
    <s v="Work in progress"/>
  </r>
  <r>
    <s v="P0579"/>
    <s v="Project-346"/>
    <x v="2"/>
    <x v="1"/>
    <x v="161"/>
    <x v="61"/>
    <x v="0"/>
    <n v="883884"/>
    <n v="873445"/>
    <x v="1"/>
    <x v="2"/>
    <x v="0"/>
    <n v="10439"/>
    <n v="1.1951525282072712"/>
    <s v="Work in progress"/>
  </r>
  <r>
    <s v="P0580"/>
    <s v="Project-175"/>
    <x v="2"/>
    <x v="2"/>
    <x v="7"/>
    <x v="405"/>
    <x v="0"/>
    <n v="877530"/>
    <n v="81039"/>
    <x v="2"/>
    <x v="0"/>
    <x v="2"/>
    <n v="796491"/>
    <n v="982.84899863028909"/>
    <s v="Work in progress"/>
  </r>
  <r>
    <s v="P0581"/>
    <s v="Project-253"/>
    <x v="5"/>
    <x v="2"/>
    <x v="367"/>
    <x v="20"/>
    <x v="0"/>
    <n v="513675"/>
    <n v="735191"/>
    <x v="4"/>
    <x v="1"/>
    <x v="1"/>
    <n v="-221516"/>
    <n v="-30.13040148750461"/>
    <s v="Work in progress"/>
  </r>
  <r>
    <s v="P0582"/>
    <s v="Project-755"/>
    <x v="6"/>
    <x v="5"/>
    <x v="91"/>
    <x v="370"/>
    <x v="2"/>
    <n v="744595"/>
    <n v="719963"/>
    <x v="0"/>
    <x v="0"/>
    <x v="1"/>
    <n v="24632"/>
    <n v="3.4212869272448723"/>
    <s v="Project delivered successfully"/>
  </r>
  <r>
    <s v="P0583"/>
    <s v="Project-534"/>
    <x v="6"/>
    <x v="0"/>
    <x v="394"/>
    <x v="406"/>
    <x v="0"/>
    <n v="399005"/>
    <n v="1025262"/>
    <x v="2"/>
    <x v="0"/>
    <x v="0"/>
    <n v="-626257"/>
    <n v="-61.082630586133099"/>
    <s v="Work in progress"/>
  </r>
  <r>
    <s v="P0584"/>
    <s v="Project-185"/>
    <x v="7"/>
    <x v="2"/>
    <x v="145"/>
    <x v="63"/>
    <x v="0"/>
    <n v="77949"/>
    <n v="1015217"/>
    <x v="1"/>
    <x v="2"/>
    <x v="2"/>
    <n v="-937268"/>
    <n v="-92.321937083401878"/>
    <s v="Work in progress"/>
  </r>
  <r>
    <s v="P0585"/>
    <s v="Project-796"/>
    <x v="3"/>
    <x v="2"/>
    <x v="395"/>
    <x v="365"/>
    <x v="0"/>
    <n v="203893"/>
    <n v="914884"/>
    <x v="2"/>
    <x v="1"/>
    <x v="0"/>
    <n v="-710991"/>
    <n v="-77.713786665850535"/>
    <s v="Work in progress"/>
  </r>
  <r>
    <s v="P0586"/>
    <s v="Project-384"/>
    <x v="6"/>
    <x v="1"/>
    <x v="45"/>
    <x v="254"/>
    <x v="3"/>
    <n v="252684"/>
    <n v="1063687"/>
    <x v="4"/>
    <x v="0"/>
    <x v="2"/>
    <n v="-811003"/>
    <n v="-76.244515538875618"/>
    <s v="Project cancelled"/>
  </r>
  <r>
    <s v="P0587"/>
    <s v="Project-319"/>
    <x v="2"/>
    <x v="0"/>
    <x v="33"/>
    <x v="243"/>
    <x v="0"/>
    <n v="989536"/>
    <n v="436321"/>
    <x v="2"/>
    <x v="2"/>
    <x v="1"/>
    <n v="553215"/>
    <n v="126.79082602029239"/>
    <s v="Work in progress"/>
  </r>
  <r>
    <s v="P0588"/>
    <s v="Project-168"/>
    <x v="6"/>
    <x v="2"/>
    <x v="298"/>
    <x v="312"/>
    <x v="0"/>
    <n v="385681"/>
    <n v="359326"/>
    <x v="1"/>
    <x v="0"/>
    <x v="0"/>
    <n v="26355"/>
    <n v="7.3345652694210823"/>
    <s v="Work in progress"/>
  </r>
  <r>
    <s v="P0589"/>
    <s v="Project-146"/>
    <x v="2"/>
    <x v="4"/>
    <x v="396"/>
    <x v="264"/>
    <x v="2"/>
    <n v="458519"/>
    <n v="606435"/>
    <x v="0"/>
    <x v="0"/>
    <x v="0"/>
    <n v="-147916"/>
    <n v="-24.391072415015625"/>
    <s v="Project delivered successfully"/>
  </r>
  <r>
    <s v="P0590"/>
    <s v="Project-193"/>
    <x v="1"/>
    <x v="6"/>
    <x v="179"/>
    <x v="40"/>
    <x v="2"/>
    <n v="428147"/>
    <n v="806691"/>
    <x v="0"/>
    <x v="1"/>
    <x v="2"/>
    <n v="-378544"/>
    <n v="-46.925526626676138"/>
    <s v="Project delivered successfully"/>
  </r>
  <r>
    <s v="P0591"/>
    <s v="Project-849"/>
    <x v="5"/>
    <x v="2"/>
    <x v="397"/>
    <x v="407"/>
    <x v="1"/>
    <n v="263065"/>
    <n v="600722"/>
    <x v="3"/>
    <x v="1"/>
    <x v="1"/>
    <n v="-337657"/>
    <n v="-56.208529070019075"/>
    <s v="Timeline extended"/>
  </r>
  <r>
    <s v="P0592"/>
    <s v="Project-552"/>
    <x v="5"/>
    <x v="6"/>
    <x v="398"/>
    <x v="290"/>
    <x v="0"/>
    <n v="832086"/>
    <n v="1105091"/>
    <x v="1"/>
    <x v="1"/>
    <x v="1"/>
    <n v="-273005"/>
    <n v="-24.704300369833796"/>
    <s v="Work in progress"/>
  </r>
  <r>
    <s v="P0593"/>
    <s v="Project-303"/>
    <x v="3"/>
    <x v="0"/>
    <x v="399"/>
    <x v="139"/>
    <x v="0"/>
    <n v="455519"/>
    <n v="743757"/>
    <x v="3"/>
    <x v="0"/>
    <x v="2"/>
    <n v="-288238"/>
    <n v="-38.754324329048337"/>
    <s v="Work in progress"/>
  </r>
  <r>
    <s v="P0594"/>
    <s v="Project-317"/>
    <x v="6"/>
    <x v="5"/>
    <x v="400"/>
    <x v="224"/>
    <x v="0"/>
    <n v="624989"/>
    <n v="746775"/>
    <x v="3"/>
    <x v="3"/>
    <x v="2"/>
    <n v="-121786"/>
    <n v="-16.308258846372738"/>
    <s v="Work in progress"/>
  </r>
  <r>
    <s v="P0595"/>
    <s v="Project-573"/>
    <x v="6"/>
    <x v="7"/>
    <x v="254"/>
    <x v="408"/>
    <x v="2"/>
    <n v="886943"/>
    <n v="964464"/>
    <x v="4"/>
    <x v="1"/>
    <x v="2"/>
    <n v="-77521"/>
    <n v="-8.0377287280810901"/>
    <s v="Project delivered successfully"/>
  </r>
  <r>
    <s v="P0596"/>
    <s v="Project-531"/>
    <x v="4"/>
    <x v="0"/>
    <x v="122"/>
    <x v="409"/>
    <x v="0"/>
    <n v="130664"/>
    <n v="520073"/>
    <x v="1"/>
    <x v="3"/>
    <x v="2"/>
    <n v="-389409"/>
    <n v="-74.875834738584786"/>
    <s v="Work in progress"/>
  </r>
  <r>
    <s v="P0597"/>
    <s v="Project-440"/>
    <x v="0"/>
    <x v="1"/>
    <x v="401"/>
    <x v="100"/>
    <x v="0"/>
    <n v="461496"/>
    <n v="919515"/>
    <x v="0"/>
    <x v="3"/>
    <x v="2"/>
    <n v="-458019"/>
    <n v="-49.810932937472472"/>
    <s v="Work in progress"/>
  </r>
  <r>
    <s v="P0598"/>
    <s v="Project-650"/>
    <x v="1"/>
    <x v="7"/>
    <x v="170"/>
    <x v="410"/>
    <x v="0"/>
    <n v="89427"/>
    <n v="239637"/>
    <x v="1"/>
    <x v="3"/>
    <x v="1"/>
    <n v="-150210"/>
    <n v="-62.682306989321347"/>
    <s v="Work in progress"/>
  </r>
  <r>
    <s v="P0599"/>
    <s v="Project-711"/>
    <x v="5"/>
    <x v="4"/>
    <x v="402"/>
    <x v="411"/>
    <x v="0"/>
    <n v="147180"/>
    <n v="917708"/>
    <x v="4"/>
    <x v="2"/>
    <x v="1"/>
    <n v="-770528"/>
    <n v="-83.962218919307659"/>
    <s v="Work in progress"/>
  </r>
  <r>
    <s v="P0600"/>
    <s v="Project-388"/>
    <x v="1"/>
    <x v="3"/>
    <x v="134"/>
    <x v="412"/>
    <x v="0"/>
    <n v="677838"/>
    <n v="910480"/>
    <x v="1"/>
    <x v="0"/>
    <x v="0"/>
    <n v="-232642"/>
    <n v="-25.5515771900536"/>
    <s v="Work in progress"/>
  </r>
  <r>
    <s v="P0601"/>
    <s v="Project-353"/>
    <x v="5"/>
    <x v="6"/>
    <x v="377"/>
    <x v="413"/>
    <x v="2"/>
    <n v="974471"/>
    <n v="277387"/>
    <x v="1"/>
    <x v="1"/>
    <x v="1"/>
    <n v="697084"/>
    <n v="251.30377414947347"/>
    <s v="Project delivered successfully"/>
  </r>
  <r>
    <s v="P0602"/>
    <s v="Project-833"/>
    <x v="1"/>
    <x v="6"/>
    <x v="195"/>
    <x v="218"/>
    <x v="2"/>
    <n v="974165"/>
    <n v="700207"/>
    <x v="3"/>
    <x v="0"/>
    <x v="2"/>
    <n v="273958"/>
    <n v="39.125287236488639"/>
    <s v="Project delivered successfully"/>
  </r>
  <r>
    <s v="P0603"/>
    <s v="Project-456"/>
    <x v="7"/>
    <x v="6"/>
    <x v="284"/>
    <x v="234"/>
    <x v="0"/>
    <n v="127952"/>
    <n v="732551"/>
    <x v="1"/>
    <x v="0"/>
    <x v="1"/>
    <n v="-604599"/>
    <n v="-82.533366277569755"/>
    <s v="Work in progress"/>
  </r>
  <r>
    <s v="P0604"/>
    <s v="Project-122"/>
    <x v="2"/>
    <x v="0"/>
    <x v="380"/>
    <x v="315"/>
    <x v="0"/>
    <n v="116046"/>
    <n v="943457"/>
    <x v="3"/>
    <x v="2"/>
    <x v="1"/>
    <n v="-827411"/>
    <n v="-87.69991637138736"/>
    <s v="Work in progress"/>
  </r>
  <r>
    <s v="P0605"/>
    <s v="Project-861"/>
    <x v="5"/>
    <x v="6"/>
    <x v="403"/>
    <x v="414"/>
    <x v="2"/>
    <n v="156918"/>
    <n v="681631"/>
    <x v="3"/>
    <x v="2"/>
    <x v="1"/>
    <n v="-524713"/>
    <n v="-76.979039979108933"/>
    <s v="Project delivered successfully"/>
  </r>
  <r>
    <s v="P0606"/>
    <s v="Project-621"/>
    <x v="1"/>
    <x v="5"/>
    <x v="127"/>
    <x v="68"/>
    <x v="0"/>
    <n v="871632"/>
    <n v="1196827"/>
    <x v="2"/>
    <x v="2"/>
    <x v="0"/>
    <n v="-325195"/>
    <n v="-27.17142912049945"/>
    <s v="Work in progress"/>
  </r>
  <r>
    <s v="P0607"/>
    <s v="Project-857"/>
    <x v="6"/>
    <x v="6"/>
    <x v="404"/>
    <x v="415"/>
    <x v="0"/>
    <n v="379586"/>
    <n v="713565"/>
    <x v="4"/>
    <x v="0"/>
    <x v="0"/>
    <n v="-333979"/>
    <n v="-46.804285524093807"/>
    <s v="Work in progress"/>
  </r>
  <r>
    <s v="P0608"/>
    <s v="Project-936"/>
    <x v="0"/>
    <x v="1"/>
    <x v="288"/>
    <x v="149"/>
    <x v="0"/>
    <n v="504887"/>
    <n v="897595"/>
    <x v="3"/>
    <x v="3"/>
    <x v="2"/>
    <n v="-392708"/>
    <n v="-43.751134977356159"/>
    <s v="Work in progress"/>
  </r>
  <r>
    <s v="P0609"/>
    <s v="Project-199"/>
    <x v="7"/>
    <x v="4"/>
    <x v="405"/>
    <x v="416"/>
    <x v="2"/>
    <n v="665358"/>
    <n v="934711"/>
    <x v="1"/>
    <x v="0"/>
    <x v="2"/>
    <n v="-269353"/>
    <n v="-28.816714471103904"/>
    <s v="Project delivered successfully"/>
  </r>
  <r>
    <s v="P0610"/>
    <s v="Project-901"/>
    <x v="7"/>
    <x v="6"/>
    <x v="406"/>
    <x v="417"/>
    <x v="1"/>
    <n v="632456"/>
    <n v="86795"/>
    <x v="3"/>
    <x v="2"/>
    <x v="0"/>
    <n v="545661"/>
    <n v="628.67791923497896"/>
    <s v="Timeline extended"/>
  </r>
  <r>
    <s v="P0611"/>
    <s v="Project-279"/>
    <x v="0"/>
    <x v="6"/>
    <x v="19"/>
    <x v="418"/>
    <x v="2"/>
    <n v="884754"/>
    <n v="717693"/>
    <x v="3"/>
    <x v="0"/>
    <x v="1"/>
    <n v="167061"/>
    <n v="23.277501661573961"/>
    <s v="Project delivered successfully"/>
  </r>
  <r>
    <s v="P0612"/>
    <s v="Project-322"/>
    <x v="1"/>
    <x v="7"/>
    <x v="334"/>
    <x v="188"/>
    <x v="0"/>
    <n v="120246"/>
    <n v="1114655"/>
    <x v="3"/>
    <x v="2"/>
    <x v="1"/>
    <n v="-994409"/>
    <n v="-89.212267472895206"/>
    <s v="Work in progress"/>
  </r>
  <r>
    <s v="P0613"/>
    <s v="Project-861"/>
    <x v="6"/>
    <x v="4"/>
    <x v="407"/>
    <x v="53"/>
    <x v="0"/>
    <n v="744252"/>
    <n v="1162801"/>
    <x v="0"/>
    <x v="2"/>
    <x v="0"/>
    <n v="-418549"/>
    <n v="-35.994895085229544"/>
    <s v="Work in progress"/>
  </r>
  <r>
    <s v="P0614"/>
    <s v="Project-758"/>
    <x v="3"/>
    <x v="6"/>
    <x v="82"/>
    <x v="262"/>
    <x v="1"/>
    <n v="589871"/>
    <n v="318715"/>
    <x v="0"/>
    <x v="1"/>
    <x v="2"/>
    <n v="271156"/>
    <n v="85.07789090566807"/>
    <s v="Timeline extended"/>
  </r>
  <r>
    <s v="P0615"/>
    <s v="Project-541"/>
    <x v="0"/>
    <x v="0"/>
    <x v="340"/>
    <x v="419"/>
    <x v="0"/>
    <n v="394864"/>
    <n v="1129695"/>
    <x v="0"/>
    <x v="3"/>
    <x v="1"/>
    <n v="-734831"/>
    <n v="-65.04684892825054"/>
    <s v="Work in progress"/>
  </r>
  <r>
    <s v="P0616"/>
    <s v="Project-707"/>
    <x v="1"/>
    <x v="2"/>
    <x v="162"/>
    <x v="129"/>
    <x v="3"/>
    <n v="498431"/>
    <n v="300153"/>
    <x v="0"/>
    <x v="2"/>
    <x v="2"/>
    <n v="198278"/>
    <n v="66.058976588606484"/>
    <s v="Project cancelled"/>
  </r>
  <r>
    <s v="P0617"/>
    <s v="Project-868"/>
    <x v="0"/>
    <x v="5"/>
    <x v="121"/>
    <x v="420"/>
    <x v="1"/>
    <n v="730213"/>
    <n v="1188786"/>
    <x v="2"/>
    <x v="1"/>
    <x v="1"/>
    <n v="-458573"/>
    <n v="-38.574899098744432"/>
    <s v="Timeline extended"/>
  </r>
  <r>
    <s v="P0618"/>
    <s v="Project-424"/>
    <x v="0"/>
    <x v="0"/>
    <x v="215"/>
    <x v="421"/>
    <x v="0"/>
    <n v="449325"/>
    <n v="330374"/>
    <x v="3"/>
    <x v="3"/>
    <x v="2"/>
    <n v="118951"/>
    <n v="36.004951963532235"/>
    <s v="Work in progress"/>
  </r>
  <r>
    <s v="P0619"/>
    <s v="Project-615"/>
    <x v="5"/>
    <x v="3"/>
    <x v="408"/>
    <x v="237"/>
    <x v="1"/>
    <n v="289285"/>
    <n v="1189940"/>
    <x v="2"/>
    <x v="2"/>
    <x v="1"/>
    <n v="-900655"/>
    <n v="-75.689110375313035"/>
    <s v="Timeline extended"/>
  </r>
  <r>
    <s v="P0620"/>
    <s v="Project-115"/>
    <x v="1"/>
    <x v="0"/>
    <x v="409"/>
    <x v="288"/>
    <x v="0"/>
    <n v="371901"/>
    <n v="411610"/>
    <x v="1"/>
    <x v="3"/>
    <x v="2"/>
    <n v="-39709"/>
    <n v="-9.6472388911834024"/>
    <s v="Work in progress"/>
  </r>
  <r>
    <s v="P0621"/>
    <s v="Project-891"/>
    <x v="3"/>
    <x v="7"/>
    <x v="410"/>
    <x v="422"/>
    <x v="1"/>
    <n v="843091"/>
    <n v="673341"/>
    <x v="4"/>
    <x v="3"/>
    <x v="2"/>
    <n v="169750"/>
    <n v="25.21010899380849"/>
    <s v="Timeline extended"/>
  </r>
  <r>
    <s v="P0622"/>
    <s v="Project-435"/>
    <x v="2"/>
    <x v="7"/>
    <x v="195"/>
    <x v="423"/>
    <x v="0"/>
    <n v="313382"/>
    <n v="911450"/>
    <x v="2"/>
    <x v="0"/>
    <x v="2"/>
    <n v="-598068"/>
    <n v="-65.617203357287835"/>
    <s v="Work in progress"/>
  </r>
  <r>
    <s v="P0623"/>
    <s v="Project-858"/>
    <x v="5"/>
    <x v="6"/>
    <x v="411"/>
    <x v="140"/>
    <x v="0"/>
    <n v="695558"/>
    <n v="849227"/>
    <x v="0"/>
    <x v="1"/>
    <x v="0"/>
    <n v="-153669"/>
    <n v="-18.09516183541032"/>
    <s v="Work in progress"/>
  </r>
  <r>
    <s v="P0624"/>
    <s v="Project-357"/>
    <x v="0"/>
    <x v="0"/>
    <x v="412"/>
    <x v="196"/>
    <x v="2"/>
    <n v="955643"/>
    <n v="668100"/>
    <x v="0"/>
    <x v="3"/>
    <x v="2"/>
    <n v="287543"/>
    <n v="43.038916329890739"/>
    <s v="Project delivered successfully"/>
  </r>
  <r>
    <s v="P0625"/>
    <s v="Project-596"/>
    <x v="2"/>
    <x v="7"/>
    <x v="259"/>
    <x v="14"/>
    <x v="2"/>
    <n v="65064"/>
    <n v="331335"/>
    <x v="1"/>
    <x v="0"/>
    <x v="0"/>
    <n v="-266271"/>
    <n v="-80.363076644483684"/>
    <s v="Project delivered successfully"/>
  </r>
  <r>
    <s v="P0626"/>
    <s v="Project-995"/>
    <x v="4"/>
    <x v="2"/>
    <x v="400"/>
    <x v="424"/>
    <x v="0"/>
    <n v="212187"/>
    <n v="215525"/>
    <x v="3"/>
    <x v="3"/>
    <x v="0"/>
    <n v="-3338"/>
    <n v="-1.548776244055214"/>
    <s v="Work in progress"/>
  </r>
  <r>
    <s v="P0627"/>
    <s v="Project-259"/>
    <x v="2"/>
    <x v="4"/>
    <x v="317"/>
    <x v="295"/>
    <x v="2"/>
    <n v="737312"/>
    <n v="1091029"/>
    <x v="4"/>
    <x v="0"/>
    <x v="2"/>
    <n v="-353717"/>
    <n v="-32.420494780615364"/>
    <s v="Project delivered successfully"/>
  </r>
  <r>
    <s v="P0628"/>
    <s v="Project-574"/>
    <x v="0"/>
    <x v="0"/>
    <x v="105"/>
    <x v="315"/>
    <x v="0"/>
    <n v="710980"/>
    <n v="1199424"/>
    <x v="2"/>
    <x v="2"/>
    <x v="0"/>
    <n v="-488444"/>
    <n v="-40.723213809295125"/>
    <s v="Work in progress"/>
  </r>
  <r>
    <s v="P0629"/>
    <s v="Project-951"/>
    <x v="0"/>
    <x v="5"/>
    <x v="413"/>
    <x v="351"/>
    <x v="0"/>
    <n v="674078"/>
    <n v="996994"/>
    <x v="3"/>
    <x v="2"/>
    <x v="0"/>
    <n v="-322916"/>
    <n v="-32.388961217419563"/>
    <s v="Work in progress"/>
  </r>
  <r>
    <s v="P0630"/>
    <s v="Project-763"/>
    <x v="6"/>
    <x v="2"/>
    <x v="414"/>
    <x v="425"/>
    <x v="0"/>
    <n v="939417"/>
    <n v="1022300"/>
    <x v="3"/>
    <x v="0"/>
    <x v="0"/>
    <n v="-82883"/>
    <n v="-8.1075026900127156"/>
    <s v="Work in progress"/>
  </r>
  <r>
    <s v="P0631"/>
    <s v="Project-789"/>
    <x v="1"/>
    <x v="6"/>
    <x v="242"/>
    <x v="426"/>
    <x v="0"/>
    <n v="94258"/>
    <n v="604281"/>
    <x v="2"/>
    <x v="2"/>
    <x v="1"/>
    <n v="-510023"/>
    <n v="-84.401627719554313"/>
    <s v="Work in progress"/>
  </r>
  <r>
    <s v="P0632"/>
    <s v="Project-774"/>
    <x v="1"/>
    <x v="4"/>
    <x v="415"/>
    <x v="55"/>
    <x v="0"/>
    <n v="709830"/>
    <n v="75706"/>
    <x v="2"/>
    <x v="2"/>
    <x v="2"/>
    <n v="634124"/>
    <n v="837.61392756188422"/>
    <s v="Work in progress"/>
  </r>
  <r>
    <s v="P0633"/>
    <s v="Project-479"/>
    <x v="5"/>
    <x v="5"/>
    <x v="416"/>
    <x v="41"/>
    <x v="0"/>
    <n v="989507"/>
    <n v="553324"/>
    <x v="2"/>
    <x v="2"/>
    <x v="0"/>
    <n v="436183"/>
    <n v="78.829582667659466"/>
    <s v="Work in progress"/>
  </r>
  <r>
    <s v="P0634"/>
    <s v="Project-644"/>
    <x v="3"/>
    <x v="6"/>
    <x v="164"/>
    <x v="427"/>
    <x v="0"/>
    <n v="995075"/>
    <n v="538197"/>
    <x v="2"/>
    <x v="3"/>
    <x v="2"/>
    <n v="456878"/>
    <n v="84.890476907154806"/>
    <s v="Work in progress"/>
  </r>
  <r>
    <s v="P0635"/>
    <s v="Project-790"/>
    <x v="5"/>
    <x v="5"/>
    <x v="417"/>
    <x v="395"/>
    <x v="0"/>
    <n v="861100"/>
    <n v="605087"/>
    <x v="0"/>
    <x v="0"/>
    <x v="0"/>
    <n v="256013"/>
    <n v="42.310114082768266"/>
    <s v="Work in progress"/>
  </r>
  <r>
    <s v="P0636"/>
    <s v="Project-526"/>
    <x v="7"/>
    <x v="6"/>
    <x v="230"/>
    <x v="428"/>
    <x v="0"/>
    <n v="389403"/>
    <n v="673874"/>
    <x v="3"/>
    <x v="1"/>
    <x v="2"/>
    <n v="-284471"/>
    <n v="-42.214271510697849"/>
    <s v="Work in progress"/>
  </r>
  <r>
    <s v="P0637"/>
    <s v="Project-712"/>
    <x v="0"/>
    <x v="5"/>
    <x v="418"/>
    <x v="429"/>
    <x v="3"/>
    <n v="686480"/>
    <n v="90964"/>
    <x v="3"/>
    <x v="1"/>
    <x v="0"/>
    <n v="595516"/>
    <n v="654.6721780044852"/>
    <s v="Project cancelled"/>
  </r>
  <r>
    <s v="P0638"/>
    <s v="Project-367"/>
    <x v="2"/>
    <x v="4"/>
    <x v="418"/>
    <x v="430"/>
    <x v="0"/>
    <n v="408720"/>
    <n v="389523"/>
    <x v="0"/>
    <x v="0"/>
    <x v="1"/>
    <n v="19197"/>
    <n v="4.9283354256359697"/>
    <s v="Work in progress"/>
  </r>
  <r>
    <s v="P0639"/>
    <s v="Project-934"/>
    <x v="4"/>
    <x v="2"/>
    <x v="108"/>
    <x v="25"/>
    <x v="1"/>
    <n v="679769"/>
    <n v="1024727"/>
    <x v="3"/>
    <x v="3"/>
    <x v="1"/>
    <n v="-344958"/>
    <n v="-33.663404984937451"/>
    <s v="Timeline extended"/>
  </r>
  <r>
    <s v="P0640"/>
    <s v="Project-676"/>
    <x v="0"/>
    <x v="5"/>
    <x v="271"/>
    <x v="431"/>
    <x v="2"/>
    <n v="947937"/>
    <n v="558089"/>
    <x v="2"/>
    <x v="2"/>
    <x v="1"/>
    <n v="389848"/>
    <n v="69.854091372523015"/>
    <s v="Project delivered successfully"/>
  </r>
  <r>
    <s v="P0641"/>
    <s v="Project-516"/>
    <x v="0"/>
    <x v="5"/>
    <x v="146"/>
    <x v="432"/>
    <x v="2"/>
    <n v="213118"/>
    <n v="856576"/>
    <x v="4"/>
    <x v="2"/>
    <x v="0"/>
    <n v="-643458"/>
    <n v="-75.119779213986845"/>
    <s v="Project delivered successfully"/>
  </r>
  <r>
    <s v="P0642"/>
    <s v="Project-267"/>
    <x v="5"/>
    <x v="1"/>
    <x v="164"/>
    <x v="433"/>
    <x v="2"/>
    <n v="252049"/>
    <n v="695508"/>
    <x v="3"/>
    <x v="3"/>
    <x v="2"/>
    <n v="-443459"/>
    <n v="-63.760445602351091"/>
    <s v="Project delivered successfully"/>
  </r>
  <r>
    <s v="P0643"/>
    <s v="Project-941"/>
    <x v="4"/>
    <x v="0"/>
    <x v="419"/>
    <x v="283"/>
    <x v="1"/>
    <n v="821888"/>
    <n v="1190940"/>
    <x v="4"/>
    <x v="1"/>
    <x v="0"/>
    <n v="-369052"/>
    <n v="-30.988294960283476"/>
    <s v="Timeline extended"/>
  </r>
  <r>
    <s v="P0644"/>
    <s v="Project-142"/>
    <x v="4"/>
    <x v="4"/>
    <x v="269"/>
    <x v="434"/>
    <x v="0"/>
    <n v="520471"/>
    <n v="899251"/>
    <x v="4"/>
    <x v="0"/>
    <x v="1"/>
    <n v="-378780"/>
    <n v="-42.12172129917009"/>
    <s v="Work in progress"/>
  </r>
  <r>
    <s v="P0645"/>
    <s v="Project-655"/>
    <x v="4"/>
    <x v="6"/>
    <x v="41"/>
    <x v="137"/>
    <x v="0"/>
    <n v="55397"/>
    <n v="705221"/>
    <x v="0"/>
    <x v="0"/>
    <x v="0"/>
    <n v="-649824"/>
    <n v="-92.144731935095521"/>
    <s v="Work in progress"/>
  </r>
  <r>
    <s v="P0646"/>
    <s v="Project-384"/>
    <x v="5"/>
    <x v="4"/>
    <x v="400"/>
    <x v="316"/>
    <x v="2"/>
    <n v="936357"/>
    <n v="484933"/>
    <x v="1"/>
    <x v="3"/>
    <x v="2"/>
    <n v="451424"/>
    <n v="93.089973254037147"/>
    <s v="Project delivered successfully"/>
  </r>
  <r>
    <s v="P0647"/>
    <s v="Project-496"/>
    <x v="0"/>
    <x v="7"/>
    <x v="56"/>
    <x v="55"/>
    <x v="2"/>
    <n v="657769"/>
    <n v="48637"/>
    <x v="3"/>
    <x v="2"/>
    <x v="1"/>
    <n v="609132"/>
    <n v="1252.404547977877"/>
    <s v="Project delivered successfully"/>
  </r>
  <r>
    <s v="P0648"/>
    <s v="Project-111"/>
    <x v="5"/>
    <x v="6"/>
    <x v="397"/>
    <x v="124"/>
    <x v="1"/>
    <n v="203305"/>
    <n v="654225"/>
    <x v="0"/>
    <x v="2"/>
    <x v="0"/>
    <n v="-450920"/>
    <n v="-68.924299743971872"/>
    <s v="Timeline extended"/>
  </r>
  <r>
    <s v="P0649"/>
    <s v="Project-706"/>
    <x v="1"/>
    <x v="4"/>
    <x v="274"/>
    <x v="259"/>
    <x v="0"/>
    <n v="526552"/>
    <n v="1036425"/>
    <x v="0"/>
    <x v="2"/>
    <x v="2"/>
    <n v="-509873"/>
    <n v="-49.195359046723105"/>
    <s v="Work in progress"/>
  </r>
  <r>
    <s v="P0650"/>
    <s v="Project-401"/>
    <x v="1"/>
    <x v="2"/>
    <x v="420"/>
    <x v="325"/>
    <x v="2"/>
    <n v="372452"/>
    <n v="348316"/>
    <x v="4"/>
    <x v="0"/>
    <x v="1"/>
    <n v="24136"/>
    <n v="6.9293400245753851"/>
    <s v="Project delivered successfully"/>
  </r>
  <r>
    <s v="P0651"/>
    <s v="Project-997"/>
    <x v="5"/>
    <x v="6"/>
    <x v="421"/>
    <x v="20"/>
    <x v="0"/>
    <n v="250798"/>
    <n v="1104013"/>
    <x v="3"/>
    <x v="1"/>
    <x v="2"/>
    <n v="-853215"/>
    <n v="-77.283057355302887"/>
    <s v="Work in progress"/>
  </r>
  <r>
    <s v="P0652"/>
    <s v="Project-352"/>
    <x v="4"/>
    <x v="6"/>
    <x v="422"/>
    <x v="149"/>
    <x v="0"/>
    <n v="506435"/>
    <n v="526221"/>
    <x v="0"/>
    <x v="0"/>
    <x v="2"/>
    <n v="-19786"/>
    <n v="-3.7600171790939552"/>
    <s v="Work in progress"/>
  </r>
  <r>
    <s v="P0653"/>
    <s v="Project-598"/>
    <x v="6"/>
    <x v="4"/>
    <x v="423"/>
    <x v="354"/>
    <x v="0"/>
    <n v="546574"/>
    <n v="53119"/>
    <x v="2"/>
    <x v="3"/>
    <x v="1"/>
    <n v="493455"/>
    <n v="928.96138858035738"/>
    <s v="Work in progress"/>
  </r>
  <r>
    <s v="P0654"/>
    <s v="Project-853"/>
    <x v="0"/>
    <x v="6"/>
    <x v="313"/>
    <x v="435"/>
    <x v="2"/>
    <n v="575418"/>
    <n v="731477"/>
    <x v="0"/>
    <x v="0"/>
    <x v="0"/>
    <n v="-156059"/>
    <n v="-21.334778810543597"/>
    <s v="Project delivered successfully"/>
  </r>
  <r>
    <s v="P0655"/>
    <s v="Project-134"/>
    <x v="5"/>
    <x v="1"/>
    <x v="424"/>
    <x v="193"/>
    <x v="1"/>
    <n v="698581"/>
    <n v="260882"/>
    <x v="2"/>
    <x v="3"/>
    <x v="0"/>
    <n v="437699"/>
    <n v="167.77661931447935"/>
    <s v="Timeline extended"/>
  </r>
  <r>
    <s v="P0656"/>
    <s v="Project-826"/>
    <x v="5"/>
    <x v="0"/>
    <x v="425"/>
    <x v="132"/>
    <x v="0"/>
    <n v="588359"/>
    <n v="506113"/>
    <x v="1"/>
    <x v="0"/>
    <x v="0"/>
    <n v="82246"/>
    <n v="16.250521128680752"/>
    <s v="Work in progress"/>
  </r>
  <r>
    <s v="P0657"/>
    <s v="Project-948"/>
    <x v="5"/>
    <x v="6"/>
    <x v="61"/>
    <x v="436"/>
    <x v="1"/>
    <n v="921949"/>
    <n v="1096777"/>
    <x v="2"/>
    <x v="1"/>
    <x v="0"/>
    <n v="-174828"/>
    <n v="-15.940159211945545"/>
    <s v="Timeline extended"/>
  </r>
  <r>
    <s v="P0658"/>
    <s v="Project-189"/>
    <x v="6"/>
    <x v="0"/>
    <x v="303"/>
    <x v="437"/>
    <x v="0"/>
    <n v="422384"/>
    <n v="58634"/>
    <x v="2"/>
    <x v="3"/>
    <x v="2"/>
    <n v="363750"/>
    <n v="620.37384452706613"/>
    <s v="Work in progress"/>
  </r>
  <r>
    <s v="P0659"/>
    <s v="Project-875"/>
    <x v="6"/>
    <x v="4"/>
    <x v="36"/>
    <x v="415"/>
    <x v="0"/>
    <n v="576406"/>
    <n v="434042"/>
    <x v="4"/>
    <x v="2"/>
    <x v="0"/>
    <n v="142364"/>
    <n v="32.799590823007911"/>
    <s v="Work in progress"/>
  </r>
  <r>
    <s v="P0660"/>
    <s v="Project-704"/>
    <x v="7"/>
    <x v="5"/>
    <x v="21"/>
    <x v="438"/>
    <x v="0"/>
    <n v="706023"/>
    <n v="535341"/>
    <x v="0"/>
    <x v="2"/>
    <x v="0"/>
    <n v="170682"/>
    <n v="31.882855974042712"/>
    <s v="Work in progress"/>
  </r>
  <r>
    <s v="P0661"/>
    <s v="Project-701"/>
    <x v="1"/>
    <x v="3"/>
    <x v="426"/>
    <x v="280"/>
    <x v="0"/>
    <n v="112408"/>
    <n v="337919"/>
    <x v="1"/>
    <x v="0"/>
    <x v="2"/>
    <n v="-225511"/>
    <n v="-66.735223529899173"/>
    <s v="Work in progress"/>
  </r>
  <r>
    <s v="P0662"/>
    <s v="Project-517"/>
    <x v="2"/>
    <x v="3"/>
    <x v="427"/>
    <x v="320"/>
    <x v="0"/>
    <n v="101786"/>
    <n v="144090"/>
    <x v="0"/>
    <x v="0"/>
    <x v="2"/>
    <n v="-42304"/>
    <n v="-29.359428135193284"/>
    <s v="Work in progress"/>
  </r>
  <r>
    <s v="P0663"/>
    <s v="Project-214"/>
    <x v="4"/>
    <x v="5"/>
    <x v="337"/>
    <x v="102"/>
    <x v="0"/>
    <n v="655559"/>
    <n v="1085374"/>
    <x v="2"/>
    <x v="1"/>
    <x v="1"/>
    <n v="-429815"/>
    <n v="-39.600635357029006"/>
    <s v="Work in progress"/>
  </r>
  <r>
    <s v="P0664"/>
    <s v="Project-716"/>
    <x v="3"/>
    <x v="5"/>
    <x v="102"/>
    <x v="439"/>
    <x v="2"/>
    <n v="69158"/>
    <n v="538377"/>
    <x v="2"/>
    <x v="1"/>
    <x v="2"/>
    <n v="-469219"/>
    <n v="-87.154354662253397"/>
    <s v="Project delivered successfully"/>
  </r>
  <r>
    <s v="P0665"/>
    <s v="Project-295"/>
    <x v="6"/>
    <x v="5"/>
    <x v="180"/>
    <x v="440"/>
    <x v="2"/>
    <n v="867519"/>
    <n v="489319"/>
    <x v="0"/>
    <x v="2"/>
    <x v="1"/>
    <n v="378200"/>
    <n v="77.291092314011919"/>
    <s v="Project delivered successfully"/>
  </r>
  <r>
    <s v="P0666"/>
    <s v="Project-925"/>
    <x v="2"/>
    <x v="2"/>
    <x v="428"/>
    <x v="143"/>
    <x v="0"/>
    <n v="138114"/>
    <n v="1156327"/>
    <x v="1"/>
    <x v="0"/>
    <x v="1"/>
    <n v="-1018213"/>
    <n v="-88.055800824507259"/>
    <s v="Work in progress"/>
  </r>
  <r>
    <s v="P0667"/>
    <s v="Project-600"/>
    <x v="6"/>
    <x v="3"/>
    <x v="51"/>
    <x v="441"/>
    <x v="0"/>
    <n v="758481"/>
    <n v="1021006"/>
    <x v="1"/>
    <x v="3"/>
    <x v="0"/>
    <n v="-262525"/>
    <n v="-25.712385627508556"/>
    <s v="Work in progress"/>
  </r>
  <r>
    <s v="P0668"/>
    <s v="Project-725"/>
    <x v="4"/>
    <x v="5"/>
    <x v="429"/>
    <x v="442"/>
    <x v="0"/>
    <n v="571358"/>
    <n v="212482"/>
    <x v="4"/>
    <x v="1"/>
    <x v="0"/>
    <n v="358876"/>
    <n v="168.8971301098446"/>
    <s v="Work in progress"/>
  </r>
  <r>
    <s v="P0669"/>
    <s v="Project-592"/>
    <x v="3"/>
    <x v="2"/>
    <x v="222"/>
    <x v="256"/>
    <x v="0"/>
    <n v="594162"/>
    <n v="401784"/>
    <x v="2"/>
    <x v="3"/>
    <x v="0"/>
    <n v="192378"/>
    <n v="47.880950958724085"/>
    <s v="Work in progress"/>
  </r>
  <r>
    <s v="P0670"/>
    <s v="Project-174"/>
    <x v="7"/>
    <x v="7"/>
    <x v="430"/>
    <x v="443"/>
    <x v="0"/>
    <n v="289139"/>
    <n v="394758"/>
    <x v="2"/>
    <x v="3"/>
    <x v="2"/>
    <n v="-105619"/>
    <n v="-26.755379245005802"/>
    <s v="Work in progress"/>
  </r>
  <r>
    <s v="P0671"/>
    <s v="Project-512"/>
    <x v="5"/>
    <x v="6"/>
    <x v="126"/>
    <x v="444"/>
    <x v="0"/>
    <n v="919875"/>
    <n v="1124531"/>
    <x v="4"/>
    <x v="1"/>
    <x v="2"/>
    <n v="-204656"/>
    <n v="-18.199231501843879"/>
    <s v="Work in progress"/>
  </r>
  <r>
    <s v="P0672"/>
    <s v="Project-475"/>
    <x v="7"/>
    <x v="2"/>
    <x v="431"/>
    <x v="163"/>
    <x v="1"/>
    <n v="615109"/>
    <n v="719224"/>
    <x v="0"/>
    <x v="0"/>
    <x v="0"/>
    <n v="-104115"/>
    <n v="-14.476018597822096"/>
    <s v="Timeline extended"/>
  </r>
  <r>
    <s v="P0673"/>
    <s v="Project-519"/>
    <x v="6"/>
    <x v="3"/>
    <x v="390"/>
    <x v="223"/>
    <x v="1"/>
    <n v="689963"/>
    <n v="937730"/>
    <x v="2"/>
    <x v="3"/>
    <x v="0"/>
    <n v="-247767"/>
    <n v="-26.421997803205617"/>
    <s v="Timeline extended"/>
  </r>
  <r>
    <s v="P0674"/>
    <s v="Project-828"/>
    <x v="7"/>
    <x v="4"/>
    <x v="4"/>
    <x v="389"/>
    <x v="0"/>
    <n v="372726"/>
    <n v="1122926"/>
    <x v="0"/>
    <x v="0"/>
    <x v="2"/>
    <n v="-750200"/>
    <n v="-66.807607981291724"/>
    <s v="Work in progress"/>
  </r>
  <r>
    <s v="P0675"/>
    <s v="Project-376"/>
    <x v="2"/>
    <x v="7"/>
    <x v="432"/>
    <x v="445"/>
    <x v="0"/>
    <n v="172603"/>
    <n v="844356"/>
    <x v="1"/>
    <x v="3"/>
    <x v="1"/>
    <n v="-671753"/>
    <n v="-79.558030025250019"/>
    <s v="Work in progress"/>
  </r>
  <r>
    <s v="P0676"/>
    <s v="Project-860"/>
    <x v="0"/>
    <x v="3"/>
    <x v="433"/>
    <x v="298"/>
    <x v="0"/>
    <n v="990291"/>
    <n v="899025"/>
    <x v="3"/>
    <x v="0"/>
    <x v="1"/>
    <n v="91266"/>
    <n v="10.151664302994911"/>
    <s v="Work in progress"/>
  </r>
  <r>
    <s v="P0677"/>
    <s v="Project-775"/>
    <x v="6"/>
    <x v="6"/>
    <x v="48"/>
    <x v="389"/>
    <x v="2"/>
    <n v="464921"/>
    <n v="933922"/>
    <x v="4"/>
    <x v="0"/>
    <x v="0"/>
    <n v="-469001"/>
    <n v="-50.218433659341997"/>
    <s v="Project delivered successfully"/>
  </r>
  <r>
    <s v="P0678"/>
    <s v="Project-493"/>
    <x v="6"/>
    <x v="2"/>
    <x v="100"/>
    <x v="325"/>
    <x v="0"/>
    <n v="643669"/>
    <n v="1085888"/>
    <x v="2"/>
    <x v="0"/>
    <x v="0"/>
    <n v="-442219"/>
    <n v="-40.724181499381153"/>
    <s v="Work in progress"/>
  </r>
  <r>
    <s v="P0679"/>
    <s v="Project-968"/>
    <x v="2"/>
    <x v="1"/>
    <x v="23"/>
    <x v="342"/>
    <x v="0"/>
    <n v="948232"/>
    <n v="1192320"/>
    <x v="4"/>
    <x v="0"/>
    <x v="0"/>
    <n v="-244088"/>
    <n v="-20.47168545356951"/>
    <s v="Work in progress"/>
  </r>
  <r>
    <s v="P0680"/>
    <s v="Project-556"/>
    <x v="1"/>
    <x v="0"/>
    <x v="270"/>
    <x v="320"/>
    <x v="2"/>
    <n v="547821"/>
    <n v="261745"/>
    <x v="1"/>
    <x v="1"/>
    <x v="1"/>
    <n v="286076"/>
    <n v="109.2956885518348"/>
    <s v="Project delivered successfully"/>
  </r>
  <r>
    <s v="P0681"/>
    <s v="Project-291"/>
    <x v="3"/>
    <x v="6"/>
    <x v="206"/>
    <x v="173"/>
    <x v="0"/>
    <n v="442949"/>
    <n v="247522"/>
    <x v="1"/>
    <x v="3"/>
    <x v="0"/>
    <n v="195427"/>
    <n v="78.95338596165189"/>
    <s v="Work in progress"/>
  </r>
  <r>
    <s v="P0682"/>
    <s v="Project-838"/>
    <x v="5"/>
    <x v="3"/>
    <x v="343"/>
    <x v="446"/>
    <x v="0"/>
    <n v="225725"/>
    <n v="308336"/>
    <x v="1"/>
    <x v="0"/>
    <x v="1"/>
    <n v="-82611"/>
    <n v="-26.792525037621296"/>
    <s v="Work in progress"/>
  </r>
  <r>
    <s v="P0683"/>
    <s v="Project-788"/>
    <x v="2"/>
    <x v="5"/>
    <x v="116"/>
    <x v="447"/>
    <x v="0"/>
    <n v="918450"/>
    <n v="702810"/>
    <x v="1"/>
    <x v="2"/>
    <x v="2"/>
    <n v="215640"/>
    <n v="30.682545780509667"/>
    <s v="Work in progress"/>
  </r>
  <r>
    <s v="P0684"/>
    <s v="Project-198"/>
    <x v="3"/>
    <x v="2"/>
    <x v="17"/>
    <x v="392"/>
    <x v="0"/>
    <n v="937024"/>
    <n v="128991"/>
    <x v="3"/>
    <x v="3"/>
    <x v="2"/>
    <n v="808033"/>
    <n v="626.42587467342685"/>
    <s v="Work in progress"/>
  </r>
  <r>
    <s v="P0685"/>
    <s v="Project-647"/>
    <x v="4"/>
    <x v="5"/>
    <x v="434"/>
    <x v="448"/>
    <x v="0"/>
    <n v="928058"/>
    <n v="1157287"/>
    <x v="0"/>
    <x v="3"/>
    <x v="2"/>
    <n v="-229229"/>
    <n v="-19.807446208243938"/>
    <s v="Work in progress"/>
  </r>
  <r>
    <s v="P0686"/>
    <s v="Project-195"/>
    <x v="3"/>
    <x v="5"/>
    <x v="409"/>
    <x v="280"/>
    <x v="0"/>
    <n v="660505"/>
    <n v="695655"/>
    <x v="0"/>
    <x v="0"/>
    <x v="0"/>
    <n v="-35150"/>
    <n v="-5.0527919730326092"/>
    <s v="Work in progress"/>
  </r>
  <r>
    <s v="P0687"/>
    <s v="Project-763"/>
    <x v="4"/>
    <x v="5"/>
    <x v="435"/>
    <x v="310"/>
    <x v="0"/>
    <n v="828873"/>
    <n v="1085350"/>
    <x v="3"/>
    <x v="3"/>
    <x v="2"/>
    <n v="-256477"/>
    <n v="-23.63081033767909"/>
    <s v="Work in progress"/>
  </r>
  <r>
    <s v="P0688"/>
    <s v="Project-762"/>
    <x v="2"/>
    <x v="5"/>
    <x v="436"/>
    <x v="449"/>
    <x v="0"/>
    <n v="999756"/>
    <n v="669395"/>
    <x v="0"/>
    <x v="2"/>
    <x v="1"/>
    <n v="330361"/>
    <n v="49.352176218824461"/>
    <s v="Work in progress"/>
  </r>
  <r>
    <s v="P0689"/>
    <s v="Project-289"/>
    <x v="6"/>
    <x v="5"/>
    <x v="417"/>
    <x v="233"/>
    <x v="2"/>
    <n v="516548"/>
    <n v="454502"/>
    <x v="1"/>
    <x v="2"/>
    <x v="1"/>
    <n v="62046"/>
    <n v="13.651425076237288"/>
    <s v="Project delivered successfully"/>
  </r>
  <r>
    <s v="P0690"/>
    <s v="Project-835"/>
    <x v="6"/>
    <x v="7"/>
    <x v="437"/>
    <x v="219"/>
    <x v="0"/>
    <n v="384943"/>
    <n v="258552"/>
    <x v="0"/>
    <x v="2"/>
    <x v="1"/>
    <n v="126391"/>
    <n v="48.884170302298955"/>
    <s v="Work in progress"/>
  </r>
  <r>
    <s v="P0691"/>
    <s v="Project-136"/>
    <x v="1"/>
    <x v="3"/>
    <x v="45"/>
    <x v="367"/>
    <x v="0"/>
    <n v="374329"/>
    <n v="626715"/>
    <x v="4"/>
    <x v="3"/>
    <x v="0"/>
    <n v="-252386"/>
    <n v="-40.271255674429369"/>
    <s v="Work in progress"/>
  </r>
  <r>
    <s v="P0692"/>
    <s v="Project-879"/>
    <x v="2"/>
    <x v="6"/>
    <x v="343"/>
    <x v="450"/>
    <x v="2"/>
    <n v="521529"/>
    <n v="117513"/>
    <x v="0"/>
    <x v="3"/>
    <x v="0"/>
    <n v="404016"/>
    <n v="343.80536621480178"/>
    <s v="Project delivered successfully"/>
  </r>
  <r>
    <s v="P0693"/>
    <s v="Project-468"/>
    <x v="4"/>
    <x v="3"/>
    <x v="331"/>
    <x v="451"/>
    <x v="2"/>
    <n v="353682"/>
    <n v="781247"/>
    <x v="4"/>
    <x v="0"/>
    <x v="1"/>
    <n v="-427565"/>
    <n v="-54.728530157555809"/>
    <s v="Project delivered successfully"/>
  </r>
  <r>
    <s v="P0694"/>
    <s v="Project-794"/>
    <x v="3"/>
    <x v="6"/>
    <x v="438"/>
    <x v="284"/>
    <x v="1"/>
    <n v="856775"/>
    <n v="236924"/>
    <x v="2"/>
    <x v="3"/>
    <x v="1"/>
    <n v="619851"/>
    <n v="261.62440276206718"/>
    <s v="Timeline extended"/>
  </r>
  <r>
    <s v="P0695"/>
    <s v="Project-624"/>
    <x v="3"/>
    <x v="0"/>
    <x v="439"/>
    <x v="417"/>
    <x v="0"/>
    <n v="548905"/>
    <n v="871688"/>
    <x v="4"/>
    <x v="3"/>
    <x v="1"/>
    <n v="-322783"/>
    <n v="-37.029648222758603"/>
    <s v="Work in progress"/>
  </r>
  <r>
    <s v="P0696"/>
    <s v="Project-378"/>
    <x v="4"/>
    <x v="2"/>
    <x v="440"/>
    <x v="43"/>
    <x v="0"/>
    <n v="261470"/>
    <n v="653031"/>
    <x v="4"/>
    <x v="0"/>
    <x v="1"/>
    <n v="-391561"/>
    <n v="-59.960553174351602"/>
    <s v="Work in progress"/>
  </r>
  <r>
    <s v="P0697"/>
    <s v="Project-316"/>
    <x v="7"/>
    <x v="1"/>
    <x v="200"/>
    <x v="452"/>
    <x v="2"/>
    <n v="484448"/>
    <n v="276968"/>
    <x v="1"/>
    <x v="2"/>
    <x v="2"/>
    <n v="207480"/>
    <n v="74.911181075070047"/>
    <s v="Project delivered successfully"/>
  </r>
  <r>
    <s v="P0698"/>
    <s v="Project-966"/>
    <x v="1"/>
    <x v="7"/>
    <x v="88"/>
    <x v="258"/>
    <x v="2"/>
    <n v="170026"/>
    <n v="868147"/>
    <x v="1"/>
    <x v="0"/>
    <x v="1"/>
    <n v="-698121"/>
    <n v="-80.415067955081341"/>
    <s v="Project delivered successfully"/>
  </r>
  <r>
    <s v="P0699"/>
    <s v="Project-972"/>
    <x v="0"/>
    <x v="2"/>
    <x v="441"/>
    <x v="385"/>
    <x v="0"/>
    <n v="284257"/>
    <n v="1086042"/>
    <x v="1"/>
    <x v="1"/>
    <x v="0"/>
    <n v="-801785"/>
    <n v="-73.826334524815792"/>
    <s v="Work in progress"/>
  </r>
  <r>
    <s v="P0700"/>
    <s v="Project-897"/>
    <x v="6"/>
    <x v="7"/>
    <x v="206"/>
    <x v="180"/>
    <x v="1"/>
    <n v="103106"/>
    <n v="834069"/>
    <x v="4"/>
    <x v="3"/>
    <x v="0"/>
    <n v="-730963"/>
    <n v="-87.638193003216756"/>
    <s v="Timeline extended"/>
  </r>
  <r>
    <s v="P0701"/>
    <s v="Project-372"/>
    <x v="5"/>
    <x v="6"/>
    <x v="61"/>
    <x v="453"/>
    <x v="0"/>
    <n v="950754"/>
    <n v="98745"/>
    <x v="3"/>
    <x v="3"/>
    <x v="0"/>
    <n v="852009"/>
    <n v="862.83761203098891"/>
    <s v="Work in progress"/>
  </r>
  <r>
    <s v="P0702"/>
    <s v="Project-980"/>
    <x v="3"/>
    <x v="3"/>
    <x v="174"/>
    <x v="284"/>
    <x v="3"/>
    <n v="131227"/>
    <n v="974803"/>
    <x v="1"/>
    <x v="1"/>
    <x v="0"/>
    <n v="-843576"/>
    <n v="-86.538100518771486"/>
    <s v="Project cancelled"/>
  </r>
  <r>
    <s v="P0703"/>
    <s v="Project-161"/>
    <x v="5"/>
    <x v="5"/>
    <x v="348"/>
    <x v="233"/>
    <x v="1"/>
    <n v="496295"/>
    <n v="557831"/>
    <x v="1"/>
    <x v="1"/>
    <x v="0"/>
    <n v="-61536"/>
    <n v="-11.031298009612229"/>
    <s v="Timeline extended"/>
  </r>
  <r>
    <s v="P0704"/>
    <s v="Project-695"/>
    <x v="0"/>
    <x v="0"/>
    <x v="44"/>
    <x v="410"/>
    <x v="2"/>
    <n v="730388"/>
    <n v="517843"/>
    <x v="4"/>
    <x v="1"/>
    <x v="1"/>
    <n v="212545"/>
    <n v="41.04429334759763"/>
    <s v="Project delivered successfully"/>
  </r>
  <r>
    <s v="P0705"/>
    <s v="Project-979"/>
    <x v="2"/>
    <x v="0"/>
    <x v="442"/>
    <x v="227"/>
    <x v="1"/>
    <n v="616423"/>
    <n v="1129628"/>
    <x v="2"/>
    <x v="0"/>
    <x v="1"/>
    <n v="-513205"/>
    <n v="-45.431327835358189"/>
    <s v="Timeline extended"/>
  </r>
  <r>
    <s v="P0706"/>
    <s v="Project-828"/>
    <x v="5"/>
    <x v="4"/>
    <x v="443"/>
    <x v="454"/>
    <x v="2"/>
    <n v="736426"/>
    <n v="1041987"/>
    <x v="2"/>
    <x v="2"/>
    <x v="2"/>
    <n v="-305561"/>
    <n v="-29.324838025810301"/>
    <s v="Project delivered successfully"/>
  </r>
  <r>
    <s v="P0707"/>
    <s v="Project-441"/>
    <x v="0"/>
    <x v="1"/>
    <x v="444"/>
    <x v="29"/>
    <x v="0"/>
    <n v="693887"/>
    <n v="626575"/>
    <x v="0"/>
    <x v="0"/>
    <x v="2"/>
    <n v="67312"/>
    <n v="10.742848022982084"/>
    <s v="Work in progress"/>
  </r>
  <r>
    <s v="P0708"/>
    <s v="Project-496"/>
    <x v="6"/>
    <x v="0"/>
    <x v="180"/>
    <x v="455"/>
    <x v="0"/>
    <n v="804077"/>
    <n v="634730"/>
    <x v="2"/>
    <x v="1"/>
    <x v="2"/>
    <n v="169347"/>
    <n v="26.680163219006509"/>
    <s v="Work in progress"/>
  </r>
  <r>
    <s v="P0709"/>
    <s v="Project-798"/>
    <x v="4"/>
    <x v="5"/>
    <x v="23"/>
    <x v="408"/>
    <x v="0"/>
    <n v="133470"/>
    <n v="674838"/>
    <x v="1"/>
    <x v="0"/>
    <x v="1"/>
    <n v="-541368"/>
    <n v="-80.221919927449264"/>
    <s v="Work in progress"/>
  </r>
  <r>
    <s v="P0710"/>
    <s v="Project-118"/>
    <x v="7"/>
    <x v="3"/>
    <x v="86"/>
    <x v="456"/>
    <x v="0"/>
    <n v="857342"/>
    <n v="506848"/>
    <x v="3"/>
    <x v="3"/>
    <x v="2"/>
    <n v="350494"/>
    <n v="69.151698339541639"/>
    <s v="Work in progress"/>
  </r>
  <r>
    <s v="P0711"/>
    <s v="Project-276"/>
    <x v="6"/>
    <x v="1"/>
    <x v="400"/>
    <x v="192"/>
    <x v="2"/>
    <n v="818378"/>
    <n v="44425"/>
    <x v="0"/>
    <x v="0"/>
    <x v="1"/>
    <n v="773953"/>
    <n v="1742.1564434440068"/>
    <s v="Project delivered successfully"/>
  </r>
  <r>
    <s v="P0712"/>
    <s v="Project-711"/>
    <x v="3"/>
    <x v="6"/>
    <x v="212"/>
    <x v="256"/>
    <x v="0"/>
    <n v="188213"/>
    <n v="343625"/>
    <x v="3"/>
    <x v="1"/>
    <x v="0"/>
    <n v="-155412"/>
    <n v="-45.227209894507091"/>
    <s v="Work in progress"/>
  </r>
  <r>
    <s v="P0713"/>
    <s v="Project-495"/>
    <x v="0"/>
    <x v="2"/>
    <x v="132"/>
    <x v="25"/>
    <x v="0"/>
    <n v="95950"/>
    <n v="107347"/>
    <x v="3"/>
    <x v="3"/>
    <x v="1"/>
    <n v="-11397"/>
    <n v="-10.616971131005059"/>
    <s v="Work in progress"/>
  </r>
  <r>
    <s v="P0714"/>
    <s v="Project-544"/>
    <x v="5"/>
    <x v="6"/>
    <x v="98"/>
    <x v="457"/>
    <x v="2"/>
    <n v="761083"/>
    <n v="546066"/>
    <x v="1"/>
    <x v="2"/>
    <x v="1"/>
    <n v="215017"/>
    <n v="39.375643237264356"/>
    <s v="Project delivered successfully"/>
  </r>
  <r>
    <s v="P0715"/>
    <s v="Project-332"/>
    <x v="3"/>
    <x v="5"/>
    <x v="445"/>
    <x v="263"/>
    <x v="1"/>
    <n v="328369"/>
    <n v="1129106"/>
    <x v="4"/>
    <x v="0"/>
    <x v="0"/>
    <n v="-800737"/>
    <n v="-70.917788055328728"/>
    <s v="Timeline extended"/>
  </r>
  <r>
    <s v="P0716"/>
    <s v="Project-175"/>
    <x v="7"/>
    <x v="5"/>
    <x v="186"/>
    <x v="78"/>
    <x v="0"/>
    <n v="543466"/>
    <n v="712851"/>
    <x v="4"/>
    <x v="0"/>
    <x v="0"/>
    <n v="-169385"/>
    <n v="-23.761627605207821"/>
    <s v="Work in progress"/>
  </r>
  <r>
    <s v="P0717"/>
    <s v="Project-364"/>
    <x v="4"/>
    <x v="0"/>
    <x v="274"/>
    <x v="172"/>
    <x v="0"/>
    <n v="345103"/>
    <n v="1060605"/>
    <x v="4"/>
    <x v="1"/>
    <x v="0"/>
    <n v="-715502"/>
    <n v="-67.461684604541745"/>
    <s v="Work in progress"/>
  </r>
  <r>
    <s v="P0718"/>
    <s v="Project-554"/>
    <x v="2"/>
    <x v="1"/>
    <x v="254"/>
    <x v="458"/>
    <x v="0"/>
    <n v="885624"/>
    <n v="979856"/>
    <x v="2"/>
    <x v="2"/>
    <x v="2"/>
    <n v="-94232"/>
    <n v="-9.6169233030159536"/>
    <s v="Work in progress"/>
  </r>
  <r>
    <s v="P0719"/>
    <s v="Project-895"/>
    <x v="3"/>
    <x v="3"/>
    <x v="446"/>
    <x v="459"/>
    <x v="2"/>
    <n v="129711"/>
    <n v="357980"/>
    <x v="4"/>
    <x v="3"/>
    <x v="2"/>
    <n v="-228269"/>
    <n v="-63.765852840940838"/>
    <s v="Project delivered successfully"/>
  </r>
  <r>
    <s v="P0720"/>
    <s v="Project-817"/>
    <x v="2"/>
    <x v="6"/>
    <x v="153"/>
    <x v="460"/>
    <x v="0"/>
    <n v="191123"/>
    <n v="198535"/>
    <x v="1"/>
    <x v="1"/>
    <x v="2"/>
    <n v="-7412"/>
    <n v="-3.7333467650540206"/>
    <s v="Work in progress"/>
  </r>
  <r>
    <s v="P0721"/>
    <s v="Project-834"/>
    <x v="0"/>
    <x v="4"/>
    <x v="10"/>
    <x v="189"/>
    <x v="2"/>
    <n v="252500"/>
    <n v="640832"/>
    <x v="2"/>
    <x v="1"/>
    <x v="0"/>
    <n v="-388332"/>
    <n v="-60.598097473284732"/>
    <s v="Project delivered successfully"/>
  </r>
  <r>
    <s v="P0722"/>
    <s v="Project-483"/>
    <x v="7"/>
    <x v="6"/>
    <x v="447"/>
    <x v="423"/>
    <x v="0"/>
    <n v="829572"/>
    <n v="443437"/>
    <x v="4"/>
    <x v="0"/>
    <x v="2"/>
    <n v="386135"/>
    <n v="87.077758509100505"/>
    <s v="Work in progress"/>
  </r>
  <r>
    <s v="P0723"/>
    <s v="Project-663"/>
    <x v="5"/>
    <x v="7"/>
    <x v="282"/>
    <x v="147"/>
    <x v="0"/>
    <n v="315593"/>
    <n v="532270"/>
    <x v="3"/>
    <x v="2"/>
    <x v="0"/>
    <n v="-216677"/>
    <n v="-40.708099272925395"/>
    <s v="Work in progress"/>
  </r>
  <r>
    <s v="P0724"/>
    <s v="Project-950"/>
    <x v="7"/>
    <x v="7"/>
    <x v="222"/>
    <x v="147"/>
    <x v="1"/>
    <n v="416357"/>
    <n v="627131"/>
    <x v="1"/>
    <x v="1"/>
    <x v="0"/>
    <n v="-210774"/>
    <n v="-33.609245915127779"/>
    <s v="Timeline extended"/>
  </r>
  <r>
    <s v="P0725"/>
    <s v="Project-605"/>
    <x v="7"/>
    <x v="3"/>
    <x v="5"/>
    <x v="155"/>
    <x v="0"/>
    <n v="734550"/>
    <n v="998817"/>
    <x v="1"/>
    <x v="0"/>
    <x v="0"/>
    <n v="-264267"/>
    <n v="-26.457999813779704"/>
    <s v="Work in progress"/>
  </r>
  <r>
    <s v="P0726"/>
    <s v="Project-466"/>
    <x v="1"/>
    <x v="3"/>
    <x v="249"/>
    <x v="316"/>
    <x v="0"/>
    <n v="674533"/>
    <n v="59251"/>
    <x v="0"/>
    <x v="3"/>
    <x v="2"/>
    <n v="615282"/>
    <n v="1038.4331066142345"/>
    <s v="Work in progress"/>
  </r>
  <r>
    <s v="P0727"/>
    <s v="Project-243"/>
    <x v="7"/>
    <x v="7"/>
    <x v="448"/>
    <x v="328"/>
    <x v="0"/>
    <n v="147069"/>
    <n v="1001388"/>
    <x v="1"/>
    <x v="1"/>
    <x v="2"/>
    <n v="-854319"/>
    <n v="-85.313484882982422"/>
    <s v="Work in progress"/>
  </r>
  <r>
    <s v="P0728"/>
    <s v="Project-984"/>
    <x v="7"/>
    <x v="4"/>
    <x v="179"/>
    <x v="88"/>
    <x v="0"/>
    <n v="731501"/>
    <n v="869052"/>
    <x v="3"/>
    <x v="3"/>
    <x v="0"/>
    <n v="-137551"/>
    <n v="-15.827706512383607"/>
    <s v="Work in progress"/>
  </r>
  <r>
    <s v="P0729"/>
    <s v="Project-168"/>
    <x v="6"/>
    <x v="1"/>
    <x v="266"/>
    <x v="392"/>
    <x v="0"/>
    <n v="283597"/>
    <n v="1019181"/>
    <x v="1"/>
    <x v="3"/>
    <x v="2"/>
    <n v="-735584"/>
    <n v="-72.174029931876674"/>
    <s v="Work in progress"/>
  </r>
  <r>
    <s v="P0730"/>
    <s v="Project-198"/>
    <x v="3"/>
    <x v="7"/>
    <x v="362"/>
    <x v="146"/>
    <x v="0"/>
    <n v="598196"/>
    <n v="429185"/>
    <x v="0"/>
    <x v="0"/>
    <x v="1"/>
    <n v="169011"/>
    <n v="39.379521651502266"/>
    <s v="Work in progress"/>
  </r>
  <r>
    <s v="P0731"/>
    <s v="Project-495"/>
    <x v="5"/>
    <x v="3"/>
    <x v="95"/>
    <x v="385"/>
    <x v="0"/>
    <n v="416991"/>
    <n v="1091738"/>
    <x v="1"/>
    <x v="2"/>
    <x v="2"/>
    <n v="-674747"/>
    <n v="-61.804846950458817"/>
    <s v="Work in progress"/>
  </r>
  <r>
    <s v="P0732"/>
    <s v="Project-124"/>
    <x v="6"/>
    <x v="0"/>
    <x v="136"/>
    <x v="189"/>
    <x v="0"/>
    <n v="957342"/>
    <n v="559325"/>
    <x v="1"/>
    <x v="3"/>
    <x v="0"/>
    <n v="398017"/>
    <n v="71.160237786617799"/>
    <s v="Work in progress"/>
  </r>
  <r>
    <s v="P0733"/>
    <s v="Project-990"/>
    <x v="6"/>
    <x v="2"/>
    <x v="12"/>
    <x v="391"/>
    <x v="2"/>
    <n v="828628"/>
    <n v="352670"/>
    <x v="0"/>
    <x v="1"/>
    <x v="0"/>
    <n v="475958"/>
    <n v="134.95845974990786"/>
    <s v="Project delivered successfully"/>
  </r>
  <r>
    <s v="P0734"/>
    <s v="Project-568"/>
    <x v="3"/>
    <x v="4"/>
    <x v="236"/>
    <x v="461"/>
    <x v="2"/>
    <n v="999826"/>
    <n v="908594"/>
    <x v="1"/>
    <x v="2"/>
    <x v="0"/>
    <n v="91232"/>
    <n v="10.041008415199748"/>
    <s v="Project delivered successfully"/>
  </r>
  <r>
    <s v="P0735"/>
    <s v="Project-583"/>
    <x v="3"/>
    <x v="5"/>
    <x v="18"/>
    <x v="295"/>
    <x v="0"/>
    <n v="850444"/>
    <n v="1137666"/>
    <x v="2"/>
    <x v="2"/>
    <x v="1"/>
    <n v="-287222"/>
    <n v="-25.246601375096027"/>
    <s v="Work in progress"/>
  </r>
  <r>
    <s v="P0736"/>
    <s v="Project-664"/>
    <x v="0"/>
    <x v="4"/>
    <x v="197"/>
    <x v="205"/>
    <x v="2"/>
    <n v="67412"/>
    <n v="949955"/>
    <x v="1"/>
    <x v="0"/>
    <x v="0"/>
    <n v="-882543"/>
    <n v="-92.903663857761686"/>
    <s v="Project delivered successfully"/>
  </r>
  <r>
    <s v="P0737"/>
    <s v="Project-250"/>
    <x v="3"/>
    <x v="0"/>
    <x v="200"/>
    <x v="287"/>
    <x v="0"/>
    <n v="422174"/>
    <n v="1048364"/>
    <x v="4"/>
    <x v="1"/>
    <x v="0"/>
    <n v="-626190"/>
    <n v="-59.73020821012549"/>
    <s v="Work in progress"/>
  </r>
  <r>
    <s v="P0738"/>
    <s v="Project-243"/>
    <x v="1"/>
    <x v="0"/>
    <x v="266"/>
    <x v="414"/>
    <x v="0"/>
    <n v="861089"/>
    <n v="520167"/>
    <x v="4"/>
    <x v="1"/>
    <x v="2"/>
    <n v="340922"/>
    <n v="65.540874373037894"/>
    <s v="Work in progress"/>
  </r>
  <r>
    <s v="P0739"/>
    <s v="Project-668"/>
    <x v="1"/>
    <x v="5"/>
    <x v="30"/>
    <x v="462"/>
    <x v="0"/>
    <n v="317800"/>
    <n v="308588"/>
    <x v="2"/>
    <x v="0"/>
    <x v="1"/>
    <n v="9212"/>
    <n v="2.9852100535341619"/>
    <s v="Work in progress"/>
  </r>
  <r>
    <s v="P0740"/>
    <s v="Project-138"/>
    <x v="6"/>
    <x v="6"/>
    <x v="246"/>
    <x v="463"/>
    <x v="0"/>
    <n v="190039"/>
    <n v="332587"/>
    <x v="1"/>
    <x v="0"/>
    <x v="2"/>
    <n v="-142548"/>
    <n v="-42.860364355792619"/>
    <s v="Work in progress"/>
  </r>
  <r>
    <s v="P0741"/>
    <s v="Project-208"/>
    <x v="2"/>
    <x v="3"/>
    <x v="368"/>
    <x v="464"/>
    <x v="0"/>
    <n v="528174"/>
    <n v="461600"/>
    <x v="3"/>
    <x v="2"/>
    <x v="0"/>
    <n v="66574"/>
    <n v="14.422443674176776"/>
    <s v="Work in progress"/>
  </r>
  <r>
    <s v="P0742"/>
    <s v="Project-792"/>
    <x v="0"/>
    <x v="7"/>
    <x v="449"/>
    <x v="465"/>
    <x v="0"/>
    <n v="458980"/>
    <n v="539090"/>
    <x v="1"/>
    <x v="3"/>
    <x v="0"/>
    <n v="-80110"/>
    <n v="-14.860227420282326"/>
    <s v="Work in progress"/>
  </r>
  <r>
    <s v="P0743"/>
    <s v="Project-141"/>
    <x v="2"/>
    <x v="6"/>
    <x v="450"/>
    <x v="466"/>
    <x v="2"/>
    <n v="852305"/>
    <n v="389373"/>
    <x v="4"/>
    <x v="3"/>
    <x v="1"/>
    <n v="462932"/>
    <n v="118.89165401812659"/>
    <s v="Project delivered successfully"/>
  </r>
  <r>
    <s v="P0744"/>
    <s v="Project-285"/>
    <x v="2"/>
    <x v="1"/>
    <x v="224"/>
    <x v="467"/>
    <x v="1"/>
    <n v="668773"/>
    <n v="469378"/>
    <x v="0"/>
    <x v="3"/>
    <x v="0"/>
    <n v="199395"/>
    <n v="42.480687207325438"/>
    <s v="Timeline extended"/>
  </r>
  <r>
    <s v="P0745"/>
    <s v="Project-497"/>
    <x v="6"/>
    <x v="4"/>
    <x v="308"/>
    <x v="468"/>
    <x v="0"/>
    <n v="945815"/>
    <n v="728050"/>
    <x v="2"/>
    <x v="3"/>
    <x v="1"/>
    <n v="217765"/>
    <n v="29.910720417553737"/>
    <s v="Work in progress"/>
  </r>
  <r>
    <s v="P0746"/>
    <s v="Project-322"/>
    <x v="4"/>
    <x v="5"/>
    <x v="307"/>
    <x v="19"/>
    <x v="2"/>
    <n v="494246"/>
    <n v="798112"/>
    <x v="0"/>
    <x v="1"/>
    <x v="2"/>
    <n v="-303866"/>
    <n v="-38.07310252195181"/>
    <s v="Project delivered successfully"/>
  </r>
  <r>
    <s v="P0747"/>
    <s v="Project-733"/>
    <x v="6"/>
    <x v="4"/>
    <x v="88"/>
    <x v="469"/>
    <x v="1"/>
    <n v="248879"/>
    <n v="1146584"/>
    <x v="3"/>
    <x v="1"/>
    <x v="1"/>
    <n v="-897705"/>
    <n v="-78.293871186062248"/>
    <s v="Timeline extended"/>
  </r>
  <r>
    <s v="P0748"/>
    <s v="Project-232"/>
    <x v="5"/>
    <x v="6"/>
    <x v="218"/>
    <x v="1"/>
    <x v="2"/>
    <n v="575895"/>
    <n v="876741"/>
    <x v="1"/>
    <x v="0"/>
    <x v="2"/>
    <n v="-300846"/>
    <n v="-34.314124695890804"/>
    <s v="Project delivered successfully"/>
  </r>
  <r>
    <s v="P0749"/>
    <s v="Project-262"/>
    <x v="5"/>
    <x v="0"/>
    <x v="451"/>
    <x v="460"/>
    <x v="0"/>
    <n v="200595"/>
    <n v="73237"/>
    <x v="3"/>
    <x v="0"/>
    <x v="0"/>
    <n v="127358"/>
    <n v="173.89843931346178"/>
    <s v="Work in progress"/>
  </r>
  <r>
    <s v="P0750"/>
    <s v="Project-314"/>
    <x v="3"/>
    <x v="7"/>
    <x v="290"/>
    <x v="470"/>
    <x v="0"/>
    <n v="622735"/>
    <n v="943399"/>
    <x v="0"/>
    <x v="3"/>
    <x v="2"/>
    <n v="-320664"/>
    <n v="-33.99028406856484"/>
    <s v="Work in progress"/>
  </r>
  <r>
    <s v="P0751"/>
    <s v="Project-832"/>
    <x v="3"/>
    <x v="4"/>
    <x v="60"/>
    <x v="471"/>
    <x v="0"/>
    <n v="99757"/>
    <n v="589268"/>
    <x v="1"/>
    <x v="0"/>
    <x v="2"/>
    <n v="-489511"/>
    <n v="-83.071030498856217"/>
    <s v="Work in progress"/>
  </r>
  <r>
    <s v="P0752"/>
    <s v="Project-334"/>
    <x v="4"/>
    <x v="1"/>
    <x v="452"/>
    <x v="34"/>
    <x v="0"/>
    <n v="834402"/>
    <n v="815345"/>
    <x v="3"/>
    <x v="1"/>
    <x v="2"/>
    <n v="19057"/>
    <n v="2.3372928024333257"/>
    <s v="Work in progress"/>
  </r>
  <r>
    <s v="P0753"/>
    <s v="Project-942"/>
    <x v="3"/>
    <x v="0"/>
    <x v="77"/>
    <x v="126"/>
    <x v="2"/>
    <n v="300495"/>
    <n v="1073637"/>
    <x v="4"/>
    <x v="3"/>
    <x v="1"/>
    <n v="-773142"/>
    <n v="-72.011489916983123"/>
    <s v="Project delivered successfully"/>
  </r>
  <r>
    <s v="P0754"/>
    <s v="Project-757"/>
    <x v="5"/>
    <x v="1"/>
    <x v="450"/>
    <x v="77"/>
    <x v="0"/>
    <n v="798886"/>
    <n v="200632"/>
    <x v="4"/>
    <x v="3"/>
    <x v="2"/>
    <n v="598254"/>
    <n v="298.18473623350212"/>
    <s v="Work in progress"/>
  </r>
  <r>
    <s v="P0755"/>
    <s v="Project-850"/>
    <x v="2"/>
    <x v="7"/>
    <x v="146"/>
    <x v="212"/>
    <x v="0"/>
    <n v="905633"/>
    <n v="907481"/>
    <x v="2"/>
    <x v="1"/>
    <x v="1"/>
    <n v="-1848"/>
    <n v="-0.20364062718668491"/>
    <s v="Work in progress"/>
  </r>
  <r>
    <s v="P0756"/>
    <s v="Project-687"/>
    <x v="6"/>
    <x v="4"/>
    <x v="453"/>
    <x v="338"/>
    <x v="2"/>
    <n v="440909"/>
    <n v="530223"/>
    <x v="4"/>
    <x v="2"/>
    <x v="1"/>
    <n v="-89314"/>
    <n v="-16.844610663815036"/>
    <s v="Project delivered successfully"/>
  </r>
  <r>
    <s v="P0757"/>
    <s v="Project-108"/>
    <x v="7"/>
    <x v="2"/>
    <x v="124"/>
    <x v="444"/>
    <x v="2"/>
    <n v="262916"/>
    <n v="1037802"/>
    <x v="4"/>
    <x v="3"/>
    <x v="1"/>
    <n v="-774886"/>
    <n v="-74.666073104503567"/>
    <s v="Project delivered successfully"/>
  </r>
  <r>
    <s v="P0758"/>
    <s v="Project-173"/>
    <x v="1"/>
    <x v="6"/>
    <x v="28"/>
    <x v="321"/>
    <x v="0"/>
    <n v="841894"/>
    <n v="78167"/>
    <x v="0"/>
    <x v="0"/>
    <x v="0"/>
    <n v="763727"/>
    <n v="977.04530044648004"/>
    <s v="Work in progress"/>
  </r>
  <r>
    <s v="P0759"/>
    <s v="Project-591"/>
    <x v="7"/>
    <x v="4"/>
    <x v="355"/>
    <x v="472"/>
    <x v="2"/>
    <n v="428976"/>
    <n v="725788"/>
    <x v="4"/>
    <x v="2"/>
    <x v="0"/>
    <n v="-296812"/>
    <n v="-40.895137423049157"/>
    <s v="Project delivered successfully"/>
  </r>
  <r>
    <s v="P0760"/>
    <s v="Project-352"/>
    <x v="7"/>
    <x v="6"/>
    <x v="441"/>
    <x v="97"/>
    <x v="0"/>
    <n v="212867"/>
    <n v="276150"/>
    <x v="4"/>
    <x v="1"/>
    <x v="0"/>
    <n v="-63283"/>
    <n v="-22.916168748868369"/>
    <s v="Work in progress"/>
  </r>
  <r>
    <s v="P0761"/>
    <s v="Project-329"/>
    <x v="5"/>
    <x v="7"/>
    <x v="454"/>
    <x v="473"/>
    <x v="0"/>
    <n v="775166"/>
    <n v="1095614"/>
    <x v="0"/>
    <x v="2"/>
    <x v="1"/>
    <n v="-320448"/>
    <n v="-29.248257141657554"/>
    <s v="Work in progress"/>
  </r>
  <r>
    <s v="P0762"/>
    <s v="Project-618"/>
    <x v="7"/>
    <x v="4"/>
    <x v="336"/>
    <x v="474"/>
    <x v="0"/>
    <n v="360609"/>
    <n v="951775"/>
    <x v="4"/>
    <x v="2"/>
    <x v="0"/>
    <n v="-591166"/>
    <n v="-62.111948727377793"/>
    <s v="Work in progress"/>
  </r>
  <r>
    <s v="P0763"/>
    <s v="Project-273"/>
    <x v="6"/>
    <x v="6"/>
    <x v="73"/>
    <x v="475"/>
    <x v="2"/>
    <n v="504325"/>
    <n v="1153067"/>
    <x v="4"/>
    <x v="3"/>
    <x v="2"/>
    <n v="-648742"/>
    <n v="-56.262298721583392"/>
    <s v="Project delivered successfully"/>
  </r>
  <r>
    <s v="P0764"/>
    <s v="Project-752"/>
    <x v="4"/>
    <x v="5"/>
    <x v="103"/>
    <x v="410"/>
    <x v="1"/>
    <n v="140027"/>
    <n v="1065592"/>
    <x v="2"/>
    <x v="2"/>
    <x v="1"/>
    <n v="-925565"/>
    <n v="-86.859229423644322"/>
    <s v="Timeline extended"/>
  </r>
  <r>
    <s v="P0765"/>
    <s v="Project-267"/>
    <x v="0"/>
    <x v="6"/>
    <x v="328"/>
    <x v="33"/>
    <x v="0"/>
    <n v="100528"/>
    <n v="991731"/>
    <x v="4"/>
    <x v="0"/>
    <x v="0"/>
    <n v="-891203"/>
    <n v="-89.863380291631501"/>
    <s v="Work in progress"/>
  </r>
  <r>
    <s v="P0766"/>
    <s v="Project-269"/>
    <x v="3"/>
    <x v="4"/>
    <x v="347"/>
    <x v="337"/>
    <x v="0"/>
    <n v="348374"/>
    <n v="913513"/>
    <x v="4"/>
    <x v="3"/>
    <x v="1"/>
    <n v="-565139"/>
    <n v="-61.864363178192313"/>
    <s v="Work in progress"/>
  </r>
  <r>
    <s v="P0767"/>
    <s v="Project-492"/>
    <x v="0"/>
    <x v="3"/>
    <x v="254"/>
    <x v="224"/>
    <x v="0"/>
    <n v="98242"/>
    <n v="577404"/>
    <x v="2"/>
    <x v="1"/>
    <x v="0"/>
    <n v="-479162"/>
    <n v="-82.985569895601699"/>
    <s v="Work in progress"/>
  </r>
  <r>
    <s v="P0768"/>
    <s v="Project-894"/>
    <x v="2"/>
    <x v="4"/>
    <x v="455"/>
    <x v="476"/>
    <x v="0"/>
    <n v="509099"/>
    <n v="440685"/>
    <x v="0"/>
    <x v="0"/>
    <x v="2"/>
    <n v="68414"/>
    <n v="15.524467590228848"/>
    <s v="Work in progress"/>
  </r>
  <r>
    <s v="P0769"/>
    <s v="Project-733"/>
    <x v="6"/>
    <x v="4"/>
    <x v="349"/>
    <x v="477"/>
    <x v="0"/>
    <n v="164688"/>
    <n v="297590"/>
    <x v="4"/>
    <x v="3"/>
    <x v="1"/>
    <n v="-132902"/>
    <n v="-44.65943076044222"/>
    <s v="Work in progress"/>
  </r>
  <r>
    <s v="P0770"/>
    <s v="Project-293"/>
    <x v="6"/>
    <x v="6"/>
    <x v="47"/>
    <x v="478"/>
    <x v="0"/>
    <n v="541582"/>
    <n v="154809"/>
    <x v="3"/>
    <x v="2"/>
    <x v="0"/>
    <n v="386773"/>
    <n v="249.83883365954176"/>
    <s v="Work in progress"/>
  </r>
  <r>
    <s v="P0771"/>
    <s v="Project-616"/>
    <x v="1"/>
    <x v="1"/>
    <x v="147"/>
    <x v="478"/>
    <x v="1"/>
    <n v="576071"/>
    <n v="556251"/>
    <x v="0"/>
    <x v="0"/>
    <x v="0"/>
    <n v="19820"/>
    <n v="3.5631396617713946"/>
    <s v="Timeline extended"/>
  </r>
  <r>
    <s v="P0772"/>
    <s v="Project-128"/>
    <x v="6"/>
    <x v="2"/>
    <x v="456"/>
    <x v="22"/>
    <x v="2"/>
    <n v="78390"/>
    <n v="400425"/>
    <x v="0"/>
    <x v="3"/>
    <x v="2"/>
    <n v="-322035"/>
    <n v="-80.423300243491298"/>
    <s v="Project delivered successfully"/>
  </r>
  <r>
    <s v="P0773"/>
    <s v="Project-264"/>
    <x v="3"/>
    <x v="1"/>
    <x v="398"/>
    <x v="235"/>
    <x v="0"/>
    <n v="713777"/>
    <n v="712622"/>
    <x v="4"/>
    <x v="3"/>
    <x v="2"/>
    <n v="1155"/>
    <n v="0.16207751093847791"/>
    <s v="Work in progress"/>
  </r>
  <r>
    <s v="P0774"/>
    <s v="Project-521"/>
    <x v="6"/>
    <x v="6"/>
    <x v="305"/>
    <x v="479"/>
    <x v="0"/>
    <n v="122102"/>
    <n v="41160"/>
    <x v="2"/>
    <x v="1"/>
    <x v="0"/>
    <n v="80942"/>
    <n v="196.65208940719145"/>
    <s v="Work in progress"/>
  </r>
  <r>
    <s v="P0775"/>
    <s v="Project-438"/>
    <x v="7"/>
    <x v="1"/>
    <x v="310"/>
    <x v="380"/>
    <x v="0"/>
    <n v="329570"/>
    <n v="395020"/>
    <x v="0"/>
    <x v="3"/>
    <x v="0"/>
    <n v="-65450"/>
    <n v="-16.56878132752772"/>
    <s v="Work in progress"/>
  </r>
  <r>
    <s v="P0776"/>
    <s v="Project-747"/>
    <x v="1"/>
    <x v="0"/>
    <x v="98"/>
    <x v="54"/>
    <x v="0"/>
    <n v="80750"/>
    <n v="37543"/>
    <x v="2"/>
    <x v="1"/>
    <x v="1"/>
    <n v="43207"/>
    <n v="115.08670058333111"/>
    <s v="Work in progress"/>
  </r>
  <r>
    <s v="P0777"/>
    <s v="Project-595"/>
    <x v="3"/>
    <x v="3"/>
    <x v="404"/>
    <x v="200"/>
    <x v="1"/>
    <n v="632476"/>
    <n v="923643"/>
    <x v="3"/>
    <x v="2"/>
    <x v="1"/>
    <n v="-291167"/>
    <n v="-31.523759721017754"/>
    <s v="Timeline extended"/>
  </r>
  <r>
    <s v="P0778"/>
    <s v="Project-464"/>
    <x v="4"/>
    <x v="1"/>
    <x v="401"/>
    <x v="329"/>
    <x v="3"/>
    <n v="323016"/>
    <n v="1029666"/>
    <x v="2"/>
    <x v="3"/>
    <x v="0"/>
    <n v="-706650"/>
    <n v="-68.629050585335435"/>
    <s v="Project cancelled"/>
  </r>
  <r>
    <s v="P0779"/>
    <s v="Project-932"/>
    <x v="4"/>
    <x v="5"/>
    <x v="109"/>
    <x v="154"/>
    <x v="0"/>
    <n v="668519"/>
    <n v="426539"/>
    <x v="1"/>
    <x v="3"/>
    <x v="2"/>
    <n v="241980"/>
    <n v="56.731037490124002"/>
    <s v="Work in progress"/>
  </r>
  <r>
    <s v="P0780"/>
    <s v="Project-441"/>
    <x v="4"/>
    <x v="7"/>
    <x v="457"/>
    <x v="179"/>
    <x v="0"/>
    <n v="442004"/>
    <n v="868537"/>
    <x v="2"/>
    <x v="2"/>
    <x v="1"/>
    <n v="-426533"/>
    <n v="-49.109364367896816"/>
    <s v="Work in progress"/>
  </r>
  <r>
    <s v="P0781"/>
    <s v="Project-599"/>
    <x v="4"/>
    <x v="5"/>
    <x v="458"/>
    <x v="409"/>
    <x v="1"/>
    <n v="753446"/>
    <n v="880262"/>
    <x v="0"/>
    <x v="3"/>
    <x v="0"/>
    <n v="-126816"/>
    <n v="-14.406619847272745"/>
    <s v="Timeline extended"/>
  </r>
  <r>
    <s v="P0782"/>
    <s v="Project-756"/>
    <x v="7"/>
    <x v="7"/>
    <x v="459"/>
    <x v="68"/>
    <x v="0"/>
    <n v="641058"/>
    <n v="825043"/>
    <x v="2"/>
    <x v="3"/>
    <x v="2"/>
    <n v="-183985"/>
    <n v="-22.300049815585368"/>
    <s v="Work in progress"/>
  </r>
  <r>
    <s v="P0783"/>
    <s v="Project-610"/>
    <x v="6"/>
    <x v="4"/>
    <x v="460"/>
    <x v="448"/>
    <x v="2"/>
    <n v="281360"/>
    <n v="306016"/>
    <x v="2"/>
    <x v="0"/>
    <x v="2"/>
    <n v="-24656"/>
    <n v="-8.0570950538533932"/>
    <s v="Project delivered successfully"/>
  </r>
  <r>
    <s v="P0784"/>
    <s v="Project-426"/>
    <x v="0"/>
    <x v="0"/>
    <x v="461"/>
    <x v="323"/>
    <x v="0"/>
    <n v="275440"/>
    <n v="865887"/>
    <x v="1"/>
    <x v="1"/>
    <x v="0"/>
    <n v="-590447"/>
    <n v="-68.189844633306649"/>
    <s v="Work in progress"/>
  </r>
  <r>
    <s v="P0785"/>
    <s v="Project-316"/>
    <x v="3"/>
    <x v="3"/>
    <x v="395"/>
    <x v="480"/>
    <x v="2"/>
    <n v="960590"/>
    <n v="851362"/>
    <x v="1"/>
    <x v="3"/>
    <x v="0"/>
    <n v="109228"/>
    <n v="12.829795081293268"/>
    <s v="Project delivered successfully"/>
  </r>
  <r>
    <s v="P0786"/>
    <s v="Project-400"/>
    <x v="7"/>
    <x v="5"/>
    <x v="143"/>
    <x v="83"/>
    <x v="0"/>
    <n v="919946"/>
    <n v="1141290"/>
    <x v="4"/>
    <x v="3"/>
    <x v="1"/>
    <n v="-221344"/>
    <n v="-19.39419428891868"/>
    <s v="Work in progress"/>
  </r>
  <r>
    <s v="P0787"/>
    <s v="Project-231"/>
    <x v="4"/>
    <x v="3"/>
    <x v="92"/>
    <x v="481"/>
    <x v="1"/>
    <n v="793537"/>
    <n v="679194"/>
    <x v="0"/>
    <x v="1"/>
    <x v="0"/>
    <n v="114343"/>
    <n v="16.835101605726788"/>
    <s v="Timeline extended"/>
  </r>
  <r>
    <s v="P0788"/>
    <s v="Project-903"/>
    <x v="2"/>
    <x v="5"/>
    <x v="125"/>
    <x v="80"/>
    <x v="2"/>
    <n v="142663"/>
    <n v="1036298"/>
    <x v="4"/>
    <x v="0"/>
    <x v="1"/>
    <n v="-893635"/>
    <n v="-86.233400045160764"/>
    <s v="Project delivered successfully"/>
  </r>
  <r>
    <s v="P0789"/>
    <s v="Project-169"/>
    <x v="6"/>
    <x v="4"/>
    <x v="462"/>
    <x v="23"/>
    <x v="0"/>
    <n v="740080"/>
    <n v="996220"/>
    <x v="1"/>
    <x v="1"/>
    <x v="2"/>
    <n v="-256140"/>
    <n v="-25.711188291742786"/>
    <s v="Work in progress"/>
  </r>
  <r>
    <s v="P0790"/>
    <s v="Project-351"/>
    <x v="0"/>
    <x v="7"/>
    <x v="441"/>
    <x v="482"/>
    <x v="2"/>
    <n v="723439"/>
    <n v="1078991"/>
    <x v="2"/>
    <x v="3"/>
    <x v="1"/>
    <n v="-355552"/>
    <n v="-32.952267442453184"/>
    <s v="Project delivered successfully"/>
  </r>
  <r>
    <s v="P0791"/>
    <s v="Project-514"/>
    <x v="2"/>
    <x v="2"/>
    <x v="463"/>
    <x v="483"/>
    <x v="1"/>
    <n v="984842"/>
    <n v="630729"/>
    <x v="1"/>
    <x v="2"/>
    <x v="0"/>
    <n v="354113"/>
    <n v="56.143446710076752"/>
    <s v="Timeline extended"/>
  </r>
  <r>
    <s v="P0792"/>
    <s v="Project-886"/>
    <x v="1"/>
    <x v="0"/>
    <x v="309"/>
    <x v="441"/>
    <x v="0"/>
    <n v="708651"/>
    <n v="666024"/>
    <x v="3"/>
    <x v="2"/>
    <x v="1"/>
    <n v="42627"/>
    <n v="6.4002198118986708"/>
    <s v="Work in progress"/>
  </r>
  <r>
    <s v="P0793"/>
    <s v="Project-544"/>
    <x v="2"/>
    <x v="5"/>
    <x v="429"/>
    <x v="431"/>
    <x v="0"/>
    <n v="255156"/>
    <n v="625067"/>
    <x v="2"/>
    <x v="0"/>
    <x v="2"/>
    <n v="-369911"/>
    <n v="-59.179415966608381"/>
    <s v="Work in progress"/>
  </r>
  <r>
    <s v="P0794"/>
    <s v="Project-975"/>
    <x v="1"/>
    <x v="5"/>
    <x v="422"/>
    <x v="394"/>
    <x v="0"/>
    <n v="162808"/>
    <n v="1046646"/>
    <x v="4"/>
    <x v="0"/>
    <x v="2"/>
    <n v="-883838"/>
    <n v="-84.444788400280515"/>
    <s v="Work in progress"/>
  </r>
  <r>
    <s v="P0795"/>
    <s v="Project-281"/>
    <x v="1"/>
    <x v="4"/>
    <x v="464"/>
    <x v="94"/>
    <x v="0"/>
    <n v="160091"/>
    <n v="134448"/>
    <x v="2"/>
    <x v="3"/>
    <x v="0"/>
    <n v="25643"/>
    <n v="19.07280138045936"/>
    <s v="Work in progress"/>
  </r>
  <r>
    <s v="P0796"/>
    <s v="Project-266"/>
    <x v="4"/>
    <x v="0"/>
    <x v="465"/>
    <x v="24"/>
    <x v="0"/>
    <n v="935704"/>
    <n v="302032"/>
    <x v="3"/>
    <x v="0"/>
    <x v="1"/>
    <n v="633672"/>
    <n v="209.8029347883668"/>
    <s v="Work in progress"/>
  </r>
  <r>
    <s v="P0797"/>
    <s v="Project-190"/>
    <x v="1"/>
    <x v="7"/>
    <x v="209"/>
    <x v="417"/>
    <x v="2"/>
    <n v="623681"/>
    <n v="223786"/>
    <x v="1"/>
    <x v="3"/>
    <x v="0"/>
    <n v="399895"/>
    <n v="178.6952713753318"/>
    <s v="Project delivered successfully"/>
  </r>
  <r>
    <s v="P0798"/>
    <s v="Project-813"/>
    <x v="5"/>
    <x v="7"/>
    <x v="466"/>
    <x v="484"/>
    <x v="0"/>
    <n v="667846"/>
    <n v="1075358"/>
    <x v="0"/>
    <x v="2"/>
    <x v="0"/>
    <n v="-407512"/>
    <n v="-37.895472949473572"/>
    <s v="Work in progress"/>
  </r>
  <r>
    <s v="P0799"/>
    <s v="Project-957"/>
    <x v="3"/>
    <x v="5"/>
    <x v="467"/>
    <x v="265"/>
    <x v="1"/>
    <n v="119770"/>
    <n v="1094511"/>
    <x v="0"/>
    <x v="0"/>
    <x v="2"/>
    <n v="-974741"/>
    <n v="-89.057213678071761"/>
    <s v="Timeline extended"/>
  </r>
  <r>
    <s v="P0800"/>
    <s v="Project-630"/>
    <x v="3"/>
    <x v="2"/>
    <x v="161"/>
    <x v="293"/>
    <x v="0"/>
    <n v="863152"/>
    <n v="372775"/>
    <x v="0"/>
    <x v="3"/>
    <x v="1"/>
    <n v="490377"/>
    <n v="131.54771645094226"/>
    <s v="Work in progress"/>
  </r>
  <r>
    <s v="P0801"/>
    <s v="Project-138"/>
    <x v="4"/>
    <x v="2"/>
    <x v="468"/>
    <x v="480"/>
    <x v="0"/>
    <n v="849800"/>
    <n v="1024233"/>
    <x v="1"/>
    <x v="1"/>
    <x v="0"/>
    <n v="-174433"/>
    <n v="-17.030597530054198"/>
    <s v="Work in progress"/>
  </r>
  <r>
    <s v="P0802"/>
    <s v="Project-225"/>
    <x v="5"/>
    <x v="3"/>
    <x v="469"/>
    <x v="485"/>
    <x v="0"/>
    <n v="235385"/>
    <n v="555608"/>
    <x v="0"/>
    <x v="0"/>
    <x v="2"/>
    <n v="-320223"/>
    <n v="-57.634699284387558"/>
    <s v="Work in progress"/>
  </r>
  <r>
    <s v="P0803"/>
    <s v="Project-550"/>
    <x v="2"/>
    <x v="0"/>
    <x v="470"/>
    <x v="456"/>
    <x v="0"/>
    <n v="884401"/>
    <n v="338176"/>
    <x v="3"/>
    <x v="3"/>
    <x v="0"/>
    <n v="546225"/>
    <n v="161.52092401589704"/>
    <s v="Work in progress"/>
  </r>
  <r>
    <s v="P0804"/>
    <s v="Project-272"/>
    <x v="7"/>
    <x v="0"/>
    <x v="390"/>
    <x v="137"/>
    <x v="0"/>
    <n v="98838"/>
    <n v="632051"/>
    <x v="1"/>
    <x v="3"/>
    <x v="1"/>
    <n v="-533213"/>
    <n v="-84.362337849319118"/>
    <s v="Work in progress"/>
  </r>
  <r>
    <s v="P0805"/>
    <s v="Project-752"/>
    <x v="2"/>
    <x v="7"/>
    <x v="471"/>
    <x v="425"/>
    <x v="0"/>
    <n v="583022"/>
    <n v="965411"/>
    <x v="0"/>
    <x v="1"/>
    <x v="0"/>
    <n v="-382389"/>
    <n v="-39.60893339727847"/>
    <s v="Work in progress"/>
  </r>
  <r>
    <s v="P0806"/>
    <s v="Project-853"/>
    <x v="6"/>
    <x v="3"/>
    <x v="472"/>
    <x v="402"/>
    <x v="0"/>
    <n v="681475"/>
    <n v="574428"/>
    <x v="4"/>
    <x v="2"/>
    <x v="1"/>
    <n v="107047"/>
    <n v="18.63540774474782"/>
    <s v="Work in progress"/>
  </r>
  <r>
    <s v="P0807"/>
    <s v="Project-319"/>
    <x v="7"/>
    <x v="4"/>
    <x v="473"/>
    <x v="486"/>
    <x v="2"/>
    <n v="149329"/>
    <n v="115591"/>
    <x v="1"/>
    <x v="1"/>
    <x v="2"/>
    <n v="33738"/>
    <n v="29.187393482191521"/>
    <s v="Project delivered successfully"/>
  </r>
  <r>
    <s v="P0808"/>
    <s v="Project-737"/>
    <x v="1"/>
    <x v="0"/>
    <x v="474"/>
    <x v="487"/>
    <x v="2"/>
    <n v="570146"/>
    <n v="1062673"/>
    <x v="1"/>
    <x v="3"/>
    <x v="2"/>
    <n v="-492527"/>
    <n v="-46.347935818450267"/>
    <s v="Project delivered successfully"/>
  </r>
  <r>
    <s v="P0809"/>
    <s v="Project-157"/>
    <x v="0"/>
    <x v="3"/>
    <x v="331"/>
    <x v="165"/>
    <x v="0"/>
    <n v="455413"/>
    <n v="209809"/>
    <x v="2"/>
    <x v="1"/>
    <x v="0"/>
    <n v="245604"/>
    <n v="117.06075525835402"/>
    <s v="Work in progress"/>
  </r>
  <r>
    <s v="P0810"/>
    <s v="Project-759"/>
    <x v="7"/>
    <x v="3"/>
    <x v="475"/>
    <x v="44"/>
    <x v="2"/>
    <n v="905327"/>
    <n v="388734"/>
    <x v="0"/>
    <x v="1"/>
    <x v="2"/>
    <n v="516593"/>
    <n v="132.89112863809186"/>
    <s v="Project delivered successfully"/>
  </r>
  <r>
    <s v="P0811"/>
    <s v="Project-575"/>
    <x v="0"/>
    <x v="5"/>
    <x v="201"/>
    <x v="488"/>
    <x v="2"/>
    <n v="808921"/>
    <n v="1058232"/>
    <x v="4"/>
    <x v="3"/>
    <x v="0"/>
    <n v="-249311"/>
    <n v="-23.55920062897361"/>
    <s v="Project delivered successfully"/>
  </r>
  <r>
    <s v="P0812"/>
    <s v="Project-555"/>
    <x v="3"/>
    <x v="7"/>
    <x v="68"/>
    <x v="489"/>
    <x v="0"/>
    <n v="170424"/>
    <n v="514331"/>
    <x v="3"/>
    <x v="2"/>
    <x v="0"/>
    <n v="-343907"/>
    <n v="-66.864917728077828"/>
    <s v="Work in progress"/>
  </r>
  <r>
    <s v="P0813"/>
    <s v="Project-928"/>
    <x v="0"/>
    <x v="3"/>
    <x v="66"/>
    <x v="490"/>
    <x v="3"/>
    <n v="937687"/>
    <n v="922566"/>
    <x v="1"/>
    <x v="1"/>
    <x v="1"/>
    <n v="15121"/>
    <n v="1.6390155284283183"/>
    <s v="Project cancelled"/>
  </r>
  <r>
    <s v="P0814"/>
    <s v="Project-994"/>
    <x v="3"/>
    <x v="6"/>
    <x v="324"/>
    <x v="385"/>
    <x v="1"/>
    <n v="370217"/>
    <n v="374750"/>
    <x v="3"/>
    <x v="1"/>
    <x v="0"/>
    <n v="-4533"/>
    <n v="-1.2096064042695132"/>
    <s v="Timeline extended"/>
  </r>
  <r>
    <s v="P0815"/>
    <s v="Project-460"/>
    <x v="5"/>
    <x v="2"/>
    <x v="341"/>
    <x v="491"/>
    <x v="0"/>
    <n v="778285"/>
    <n v="664198"/>
    <x v="3"/>
    <x v="0"/>
    <x v="1"/>
    <n v="114087"/>
    <n v="17.176655154035391"/>
    <s v="Work in progress"/>
  </r>
  <r>
    <s v="P0816"/>
    <s v="Project-100"/>
    <x v="5"/>
    <x v="6"/>
    <x v="55"/>
    <x v="29"/>
    <x v="0"/>
    <n v="294042"/>
    <n v="871113"/>
    <x v="3"/>
    <x v="0"/>
    <x v="0"/>
    <n v="-577071"/>
    <n v="-66.245251764122443"/>
    <s v="Work in progress"/>
  </r>
  <r>
    <s v="P0817"/>
    <s v="Project-486"/>
    <x v="4"/>
    <x v="2"/>
    <x v="476"/>
    <x v="492"/>
    <x v="0"/>
    <n v="785848"/>
    <n v="654351"/>
    <x v="2"/>
    <x v="3"/>
    <x v="1"/>
    <n v="131497"/>
    <n v="20.09578956859545"/>
    <s v="Work in progress"/>
  </r>
  <r>
    <s v="P0818"/>
    <s v="Project-447"/>
    <x v="4"/>
    <x v="1"/>
    <x v="297"/>
    <x v="405"/>
    <x v="0"/>
    <n v="275683"/>
    <n v="93474"/>
    <x v="3"/>
    <x v="3"/>
    <x v="2"/>
    <n v="182209"/>
    <n v="194.93014100177589"/>
    <s v="Work in progress"/>
  </r>
  <r>
    <s v="P0819"/>
    <s v="Project-289"/>
    <x v="1"/>
    <x v="7"/>
    <x v="335"/>
    <x v="414"/>
    <x v="2"/>
    <n v="265547"/>
    <n v="714873"/>
    <x v="0"/>
    <x v="3"/>
    <x v="0"/>
    <n v="-449326"/>
    <n v="-62.853961472876996"/>
    <s v="Project delivered successfully"/>
  </r>
  <r>
    <s v="P0820"/>
    <s v="Project-604"/>
    <x v="7"/>
    <x v="5"/>
    <x v="477"/>
    <x v="493"/>
    <x v="0"/>
    <n v="293603"/>
    <n v="404340"/>
    <x v="0"/>
    <x v="0"/>
    <x v="1"/>
    <n v="-110737"/>
    <n v="-27.387099965375672"/>
    <s v="Work in progress"/>
  </r>
  <r>
    <s v="P0821"/>
    <s v="Project-290"/>
    <x v="1"/>
    <x v="4"/>
    <x v="478"/>
    <x v="460"/>
    <x v="2"/>
    <n v="755662"/>
    <n v="1130208"/>
    <x v="4"/>
    <x v="3"/>
    <x v="0"/>
    <n v="-374546"/>
    <n v="-33.139563690931226"/>
    <s v="Project delivered successfully"/>
  </r>
  <r>
    <s v="P0822"/>
    <s v="Project-607"/>
    <x v="3"/>
    <x v="6"/>
    <x v="257"/>
    <x v="494"/>
    <x v="2"/>
    <n v="852056"/>
    <n v="438625"/>
    <x v="4"/>
    <x v="1"/>
    <x v="1"/>
    <n v="413431"/>
    <n v="94.2561413508122"/>
    <s v="Project delivered successfully"/>
  </r>
  <r>
    <s v="P0823"/>
    <s v="Project-468"/>
    <x v="1"/>
    <x v="6"/>
    <x v="458"/>
    <x v="256"/>
    <x v="2"/>
    <n v="248343"/>
    <n v="1088105"/>
    <x v="3"/>
    <x v="1"/>
    <x v="1"/>
    <n v="-839762"/>
    <n v="-77.176559247499085"/>
    <s v="Project delivered successfully"/>
  </r>
  <r>
    <s v="P0824"/>
    <s v="Project-508"/>
    <x v="0"/>
    <x v="1"/>
    <x v="153"/>
    <x v="306"/>
    <x v="2"/>
    <n v="336459"/>
    <n v="578442"/>
    <x v="3"/>
    <x v="2"/>
    <x v="0"/>
    <n v="-241983"/>
    <n v="-41.833580549130254"/>
    <s v="Project delivered successfully"/>
  </r>
  <r>
    <s v="P0825"/>
    <s v="Project-923"/>
    <x v="3"/>
    <x v="2"/>
    <x v="141"/>
    <x v="495"/>
    <x v="0"/>
    <n v="329566"/>
    <n v="1111458"/>
    <x v="2"/>
    <x v="3"/>
    <x v="0"/>
    <n v="-781892"/>
    <n v="-70.348317255352882"/>
    <s v="Work in progress"/>
  </r>
  <r>
    <s v="P0826"/>
    <s v="Project-216"/>
    <x v="4"/>
    <x v="5"/>
    <x v="77"/>
    <x v="496"/>
    <x v="0"/>
    <n v="744497"/>
    <n v="636776"/>
    <x v="3"/>
    <x v="1"/>
    <x v="2"/>
    <n v="107721"/>
    <n v="16.916623742100832"/>
    <s v="Work in progress"/>
  </r>
  <r>
    <s v="P0827"/>
    <s v="Project-233"/>
    <x v="5"/>
    <x v="1"/>
    <x v="79"/>
    <x v="274"/>
    <x v="2"/>
    <n v="122663"/>
    <n v="569989"/>
    <x v="3"/>
    <x v="1"/>
    <x v="2"/>
    <n v="-447326"/>
    <n v="-78.479760135721918"/>
    <s v="Project delivered successfully"/>
  </r>
  <r>
    <s v="P0828"/>
    <s v="Project-157"/>
    <x v="4"/>
    <x v="7"/>
    <x v="479"/>
    <x v="497"/>
    <x v="0"/>
    <n v="151216"/>
    <n v="236353"/>
    <x v="3"/>
    <x v="2"/>
    <x v="2"/>
    <n v="-85137"/>
    <n v="-36.021120950442771"/>
    <s v="Work in progress"/>
  </r>
  <r>
    <s v="P0829"/>
    <s v="Project-655"/>
    <x v="7"/>
    <x v="5"/>
    <x v="480"/>
    <x v="63"/>
    <x v="0"/>
    <n v="824888"/>
    <n v="775231"/>
    <x v="1"/>
    <x v="1"/>
    <x v="0"/>
    <n v="49657"/>
    <n v="6.4054456026655284"/>
    <s v="Work in progress"/>
  </r>
  <r>
    <s v="P0830"/>
    <s v="Project-784"/>
    <x v="3"/>
    <x v="7"/>
    <x v="52"/>
    <x v="188"/>
    <x v="1"/>
    <n v="306492"/>
    <n v="935710"/>
    <x v="1"/>
    <x v="2"/>
    <x v="2"/>
    <n v="-629218"/>
    <n v="-67.24497974799884"/>
    <s v="Timeline extended"/>
  </r>
  <r>
    <s v="P0831"/>
    <s v="Project-771"/>
    <x v="3"/>
    <x v="3"/>
    <x v="435"/>
    <x v="146"/>
    <x v="2"/>
    <n v="521358"/>
    <n v="737852"/>
    <x v="2"/>
    <x v="2"/>
    <x v="1"/>
    <n v="-216494"/>
    <n v="-29.341114478242247"/>
    <s v="Project delivered successfully"/>
  </r>
  <r>
    <s v="P0832"/>
    <s v="Project-272"/>
    <x v="0"/>
    <x v="0"/>
    <x v="39"/>
    <x v="498"/>
    <x v="0"/>
    <n v="344887"/>
    <n v="1081564"/>
    <x v="2"/>
    <x v="0"/>
    <x v="0"/>
    <n v="-736677"/>
    <n v="-68.112196781697619"/>
    <s v="Work in progress"/>
  </r>
  <r>
    <s v="P0833"/>
    <s v="Project-928"/>
    <x v="7"/>
    <x v="3"/>
    <x v="278"/>
    <x v="94"/>
    <x v="2"/>
    <n v="542762"/>
    <n v="1114495"/>
    <x v="0"/>
    <x v="1"/>
    <x v="1"/>
    <n v="-571733"/>
    <n v="-51.299736652026255"/>
    <s v="Project delivered successfully"/>
  </r>
  <r>
    <s v="P0834"/>
    <s v="Project-914"/>
    <x v="5"/>
    <x v="7"/>
    <x v="481"/>
    <x v="386"/>
    <x v="2"/>
    <n v="458852"/>
    <n v="737527"/>
    <x v="2"/>
    <x v="0"/>
    <x v="1"/>
    <n v="-278675"/>
    <n v="-37.785057360611887"/>
    <s v="Project delivered successfully"/>
  </r>
  <r>
    <s v="P0835"/>
    <s v="Project-248"/>
    <x v="2"/>
    <x v="6"/>
    <x v="482"/>
    <x v="499"/>
    <x v="0"/>
    <n v="534100"/>
    <n v="39013"/>
    <x v="0"/>
    <x v="1"/>
    <x v="1"/>
    <n v="495087"/>
    <n v="1269.0308358752211"/>
    <s v="Work in progress"/>
  </r>
  <r>
    <s v="P0836"/>
    <s v="Project-179"/>
    <x v="3"/>
    <x v="5"/>
    <x v="354"/>
    <x v="500"/>
    <x v="0"/>
    <n v="584396"/>
    <n v="688934"/>
    <x v="3"/>
    <x v="0"/>
    <x v="0"/>
    <n v="-104538"/>
    <n v="-15.173877323517202"/>
    <s v="Work in progress"/>
  </r>
  <r>
    <s v="P0837"/>
    <s v="Project-985"/>
    <x v="3"/>
    <x v="2"/>
    <x v="483"/>
    <x v="498"/>
    <x v="1"/>
    <n v="254706"/>
    <n v="1086414"/>
    <x v="2"/>
    <x v="2"/>
    <x v="0"/>
    <n v="-831708"/>
    <n v="-76.555346304447482"/>
    <s v="Timeline extended"/>
  </r>
  <r>
    <s v="P0838"/>
    <s v="Project-312"/>
    <x v="0"/>
    <x v="4"/>
    <x v="484"/>
    <x v="454"/>
    <x v="0"/>
    <n v="610468"/>
    <n v="61368"/>
    <x v="2"/>
    <x v="2"/>
    <x v="2"/>
    <n v="549100"/>
    <n v="894.76600182505535"/>
    <s v="Work in progress"/>
  </r>
  <r>
    <s v="P0839"/>
    <s v="Project-302"/>
    <x v="1"/>
    <x v="2"/>
    <x v="6"/>
    <x v="501"/>
    <x v="0"/>
    <n v="331027"/>
    <n v="586516"/>
    <x v="2"/>
    <x v="2"/>
    <x v="2"/>
    <n v="-255489"/>
    <n v="-43.560448478813882"/>
    <s v="Work in progress"/>
  </r>
  <r>
    <s v="P0840"/>
    <s v="Project-863"/>
    <x v="6"/>
    <x v="5"/>
    <x v="362"/>
    <x v="62"/>
    <x v="0"/>
    <n v="618688"/>
    <n v="216845"/>
    <x v="0"/>
    <x v="2"/>
    <x v="2"/>
    <n v="401843"/>
    <n v="185.31347275703845"/>
    <s v="Work in progress"/>
  </r>
  <r>
    <s v="P0841"/>
    <s v="Project-328"/>
    <x v="5"/>
    <x v="3"/>
    <x v="417"/>
    <x v="489"/>
    <x v="2"/>
    <n v="227071"/>
    <n v="438039"/>
    <x v="0"/>
    <x v="1"/>
    <x v="2"/>
    <n v="-210968"/>
    <n v="-48.161921655377718"/>
    <s v="Project delivered successfully"/>
  </r>
  <r>
    <s v="P0842"/>
    <s v="Project-775"/>
    <x v="4"/>
    <x v="4"/>
    <x v="485"/>
    <x v="502"/>
    <x v="0"/>
    <n v="622239"/>
    <n v="708870"/>
    <x v="4"/>
    <x v="3"/>
    <x v="1"/>
    <n v="-86631"/>
    <n v="-12.220999619112108"/>
    <s v="Work in progress"/>
  </r>
  <r>
    <s v="P0843"/>
    <s v="Project-326"/>
    <x v="7"/>
    <x v="5"/>
    <x v="319"/>
    <x v="177"/>
    <x v="0"/>
    <n v="450376"/>
    <n v="159802"/>
    <x v="0"/>
    <x v="1"/>
    <x v="0"/>
    <n v="290574"/>
    <n v="181.83376928949576"/>
    <s v="Work in progress"/>
  </r>
  <r>
    <s v="P0844"/>
    <s v="Project-758"/>
    <x v="3"/>
    <x v="7"/>
    <x v="242"/>
    <x v="503"/>
    <x v="0"/>
    <n v="891694"/>
    <n v="296579"/>
    <x v="0"/>
    <x v="0"/>
    <x v="2"/>
    <n v="595115"/>
    <n v="200.65985791306869"/>
    <s v="Work in progress"/>
  </r>
  <r>
    <s v="P0845"/>
    <s v="Project-631"/>
    <x v="3"/>
    <x v="6"/>
    <x v="267"/>
    <x v="504"/>
    <x v="3"/>
    <n v="463145"/>
    <n v="87955"/>
    <x v="1"/>
    <x v="1"/>
    <x v="1"/>
    <n v="375190"/>
    <n v="426.57040532090269"/>
    <s v="Project cancelled"/>
  </r>
  <r>
    <s v="P0846"/>
    <s v="Project-540"/>
    <x v="4"/>
    <x v="2"/>
    <x v="486"/>
    <x v="291"/>
    <x v="0"/>
    <n v="919565"/>
    <n v="351651"/>
    <x v="2"/>
    <x v="1"/>
    <x v="0"/>
    <n v="567914"/>
    <n v="161.49932745819009"/>
    <s v="Work in progress"/>
  </r>
  <r>
    <s v="P0847"/>
    <s v="Project-501"/>
    <x v="5"/>
    <x v="7"/>
    <x v="487"/>
    <x v="223"/>
    <x v="2"/>
    <n v="716483"/>
    <n v="81033"/>
    <x v="0"/>
    <x v="0"/>
    <x v="0"/>
    <n v="635450"/>
    <n v="784.18668937346513"/>
    <s v="Project delivered successfully"/>
  </r>
  <r>
    <s v="P0848"/>
    <s v="Project-146"/>
    <x v="6"/>
    <x v="4"/>
    <x v="48"/>
    <x v="505"/>
    <x v="1"/>
    <n v="427250"/>
    <n v="771449"/>
    <x v="2"/>
    <x v="2"/>
    <x v="0"/>
    <n v="-344199"/>
    <n v="-44.617207359138447"/>
    <s v="Timeline extended"/>
  </r>
  <r>
    <s v="P0849"/>
    <s v="Project-332"/>
    <x v="1"/>
    <x v="4"/>
    <x v="108"/>
    <x v="506"/>
    <x v="0"/>
    <n v="733717"/>
    <n v="1066055"/>
    <x v="2"/>
    <x v="0"/>
    <x v="1"/>
    <n v="-332338"/>
    <n v="-31.174564164137873"/>
    <s v="Work in progress"/>
  </r>
  <r>
    <s v="P0850"/>
    <s v="Project-404"/>
    <x v="3"/>
    <x v="2"/>
    <x v="488"/>
    <x v="507"/>
    <x v="3"/>
    <n v="906928"/>
    <n v="77219"/>
    <x v="1"/>
    <x v="0"/>
    <x v="2"/>
    <n v="829709"/>
    <n v="1074.4881441096104"/>
    <s v="Project cancelled"/>
  </r>
  <r>
    <s v="P0851"/>
    <s v="Project-625"/>
    <x v="6"/>
    <x v="7"/>
    <x v="250"/>
    <x v="93"/>
    <x v="1"/>
    <n v="738916"/>
    <n v="719837"/>
    <x v="2"/>
    <x v="3"/>
    <x v="0"/>
    <n v="19079"/>
    <n v="2.650461146065012"/>
    <s v="Timeline extended"/>
  </r>
  <r>
    <s v="P0852"/>
    <s v="Project-242"/>
    <x v="5"/>
    <x v="1"/>
    <x v="489"/>
    <x v="280"/>
    <x v="1"/>
    <n v="374078"/>
    <n v="512996"/>
    <x v="0"/>
    <x v="3"/>
    <x v="1"/>
    <n v="-138918"/>
    <n v="-27.079743311838691"/>
    <s v="Timeline extended"/>
  </r>
  <r>
    <s v="P0853"/>
    <s v="Project-514"/>
    <x v="4"/>
    <x v="7"/>
    <x v="452"/>
    <x v="428"/>
    <x v="0"/>
    <n v="915318"/>
    <n v="228300"/>
    <x v="2"/>
    <x v="2"/>
    <x v="0"/>
    <n v="687018"/>
    <n v="300.92772667542704"/>
    <s v="Work in progress"/>
  </r>
  <r>
    <s v="P0854"/>
    <s v="Project-612"/>
    <x v="0"/>
    <x v="4"/>
    <x v="300"/>
    <x v="428"/>
    <x v="2"/>
    <n v="80881"/>
    <n v="404770"/>
    <x v="4"/>
    <x v="0"/>
    <x v="1"/>
    <n v="-323889"/>
    <n v="-80.018034933418974"/>
    <s v="Project delivered successfully"/>
  </r>
  <r>
    <s v="P0855"/>
    <s v="Project-472"/>
    <x v="1"/>
    <x v="7"/>
    <x v="490"/>
    <x v="244"/>
    <x v="2"/>
    <n v="854841"/>
    <n v="203277"/>
    <x v="4"/>
    <x v="0"/>
    <x v="2"/>
    <n v="651564"/>
    <n v="320.53011408078629"/>
    <s v="Project delivered successfully"/>
  </r>
  <r>
    <s v="P0856"/>
    <s v="Project-665"/>
    <x v="7"/>
    <x v="6"/>
    <x v="491"/>
    <x v="216"/>
    <x v="3"/>
    <n v="148171"/>
    <n v="947629"/>
    <x v="1"/>
    <x v="0"/>
    <x v="2"/>
    <n v="-799458"/>
    <n v="-84.364028538594752"/>
    <s v="Project cancelled"/>
  </r>
  <r>
    <s v="P0857"/>
    <s v="Project-985"/>
    <x v="3"/>
    <x v="5"/>
    <x v="36"/>
    <x v="508"/>
    <x v="0"/>
    <n v="303189"/>
    <n v="1058752"/>
    <x v="0"/>
    <x v="1"/>
    <x v="0"/>
    <n v="-755563"/>
    <n v="-71.363548781962166"/>
    <s v="Work in progress"/>
  </r>
  <r>
    <s v="P0858"/>
    <s v="Project-358"/>
    <x v="5"/>
    <x v="3"/>
    <x v="370"/>
    <x v="339"/>
    <x v="2"/>
    <n v="998161"/>
    <n v="883167"/>
    <x v="1"/>
    <x v="3"/>
    <x v="2"/>
    <n v="114994"/>
    <n v="13.020640490416874"/>
    <s v="Project delivered successfully"/>
  </r>
  <r>
    <s v="P0859"/>
    <s v="Project-755"/>
    <x v="0"/>
    <x v="6"/>
    <x v="492"/>
    <x v="224"/>
    <x v="0"/>
    <n v="267815"/>
    <n v="396540"/>
    <x v="4"/>
    <x v="3"/>
    <x v="2"/>
    <n v="-128725"/>
    <n v="-32.462046703989515"/>
    <s v="Work in progress"/>
  </r>
  <r>
    <s v="P0860"/>
    <s v="Project-570"/>
    <x v="7"/>
    <x v="1"/>
    <x v="407"/>
    <x v="253"/>
    <x v="0"/>
    <n v="361095"/>
    <n v="46375"/>
    <x v="0"/>
    <x v="2"/>
    <x v="1"/>
    <n v="314720"/>
    <n v="678.64150943396226"/>
    <s v="Work in progress"/>
  </r>
  <r>
    <s v="P0861"/>
    <s v="Project-111"/>
    <x v="2"/>
    <x v="0"/>
    <x v="493"/>
    <x v="310"/>
    <x v="0"/>
    <n v="320896"/>
    <n v="163783"/>
    <x v="2"/>
    <x v="3"/>
    <x v="1"/>
    <n v="157113"/>
    <n v="95.927538267097319"/>
    <s v="Work in progress"/>
  </r>
  <r>
    <s v="P0862"/>
    <s v="Project-429"/>
    <x v="5"/>
    <x v="5"/>
    <x v="7"/>
    <x v="509"/>
    <x v="2"/>
    <n v="691627"/>
    <n v="301326"/>
    <x v="0"/>
    <x v="3"/>
    <x v="0"/>
    <n v="390301"/>
    <n v="129.52782036730983"/>
    <s v="Project delivered successfully"/>
  </r>
  <r>
    <s v="P0863"/>
    <s v="Project-835"/>
    <x v="5"/>
    <x v="3"/>
    <x v="105"/>
    <x v="36"/>
    <x v="0"/>
    <n v="456656"/>
    <n v="1019035"/>
    <x v="3"/>
    <x v="2"/>
    <x v="1"/>
    <n v="-562379"/>
    <n v="-55.187407694534542"/>
    <s v="Work in progress"/>
  </r>
  <r>
    <s v="P0864"/>
    <s v="Project-883"/>
    <x v="7"/>
    <x v="0"/>
    <x v="367"/>
    <x v="510"/>
    <x v="0"/>
    <n v="94864"/>
    <n v="576432"/>
    <x v="0"/>
    <x v="0"/>
    <x v="2"/>
    <n v="-481568"/>
    <n v="-83.54289838176922"/>
    <s v="Work in progress"/>
  </r>
  <r>
    <s v="P0865"/>
    <s v="Project-457"/>
    <x v="0"/>
    <x v="2"/>
    <x v="494"/>
    <x v="319"/>
    <x v="3"/>
    <n v="755051"/>
    <n v="150270"/>
    <x v="2"/>
    <x v="1"/>
    <x v="1"/>
    <n v="604781"/>
    <n v="402.46290011312971"/>
    <s v="Project cancelled"/>
  </r>
  <r>
    <s v="P0866"/>
    <s v="Project-507"/>
    <x v="2"/>
    <x v="0"/>
    <x v="309"/>
    <x v="208"/>
    <x v="0"/>
    <n v="646323"/>
    <n v="687925"/>
    <x v="3"/>
    <x v="2"/>
    <x v="2"/>
    <n v="-41602"/>
    <n v="-6.0474615692117606"/>
    <s v="Work in progress"/>
  </r>
  <r>
    <s v="P0867"/>
    <s v="Project-767"/>
    <x v="6"/>
    <x v="5"/>
    <x v="75"/>
    <x v="249"/>
    <x v="2"/>
    <n v="136675"/>
    <n v="1167485"/>
    <x v="1"/>
    <x v="3"/>
    <x v="0"/>
    <n v="-1030810"/>
    <n v="-88.293211475950443"/>
    <s v="Project delivered successfully"/>
  </r>
  <r>
    <s v="P0868"/>
    <s v="Project-472"/>
    <x v="6"/>
    <x v="7"/>
    <x v="55"/>
    <x v="511"/>
    <x v="0"/>
    <n v="334487"/>
    <n v="1056597"/>
    <x v="0"/>
    <x v="2"/>
    <x v="2"/>
    <n v="-722110"/>
    <n v="-68.342991698821791"/>
    <s v="Work in progress"/>
  </r>
  <r>
    <s v="P0869"/>
    <s v="Project-107"/>
    <x v="4"/>
    <x v="5"/>
    <x v="418"/>
    <x v="512"/>
    <x v="0"/>
    <n v="274320"/>
    <n v="325943"/>
    <x v="1"/>
    <x v="3"/>
    <x v="1"/>
    <n v="-51623"/>
    <n v="-15.8380453023995"/>
    <s v="Work in progress"/>
  </r>
  <r>
    <s v="P0870"/>
    <s v="Project-221"/>
    <x v="0"/>
    <x v="6"/>
    <x v="318"/>
    <x v="365"/>
    <x v="2"/>
    <n v="593961"/>
    <n v="489993"/>
    <x v="0"/>
    <x v="0"/>
    <x v="1"/>
    <n v="103968"/>
    <n v="21.21826230170635"/>
    <s v="Project delivered successfully"/>
  </r>
  <r>
    <s v="P0871"/>
    <s v="Project-447"/>
    <x v="1"/>
    <x v="0"/>
    <x v="42"/>
    <x v="513"/>
    <x v="1"/>
    <n v="241026"/>
    <n v="64510"/>
    <x v="4"/>
    <x v="0"/>
    <x v="1"/>
    <n v="176516"/>
    <n v="273.62579445047277"/>
    <s v="Timeline extended"/>
  </r>
  <r>
    <s v="P0872"/>
    <s v="Project-775"/>
    <x v="3"/>
    <x v="4"/>
    <x v="495"/>
    <x v="3"/>
    <x v="0"/>
    <n v="235770"/>
    <n v="117919"/>
    <x v="4"/>
    <x v="0"/>
    <x v="1"/>
    <n v="117851"/>
    <n v="99.942333296584934"/>
    <s v="Work in progress"/>
  </r>
  <r>
    <s v="P0873"/>
    <s v="Project-189"/>
    <x v="7"/>
    <x v="3"/>
    <x v="496"/>
    <x v="124"/>
    <x v="2"/>
    <n v="407168"/>
    <n v="1191619"/>
    <x v="2"/>
    <x v="3"/>
    <x v="0"/>
    <n v="-784451"/>
    <n v="-65.830689171622808"/>
    <s v="Project delivered successfully"/>
  </r>
  <r>
    <s v="P0874"/>
    <s v="Project-747"/>
    <x v="4"/>
    <x v="3"/>
    <x v="497"/>
    <x v="514"/>
    <x v="0"/>
    <n v="600808"/>
    <n v="762726"/>
    <x v="4"/>
    <x v="2"/>
    <x v="2"/>
    <n v="-161918"/>
    <n v="-21.228855447434597"/>
    <s v="Work in progress"/>
  </r>
  <r>
    <s v="P0875"/>
    <s v="Project-797"/>
    <x v="2"/>
    <x v="0"/>
    <x v="498"/>
    <x v="62"/>
    <x v="0"/>
    <n v="552857"/>
    <n v="452191"/>
    <x v="3"/>
    <x v="3"/>
    <x v="1"/>
    <n v="100666"/>
    <n v="22.261831836546946"/>
    <s v="Work in progress"/>
  </r>
  <r>
    <s v="P0876"/>
    <s v="Project-415"/>
    <x v="7"/>
    <x v="3"/>
    <x v="499"/>
    <x v="515"/>
    <x v="0"/>
    <n v="819483"/>
    <n v="345386"/>
    <x v="3"/>
    <x v="0"/>
    <x v="2"/>
    <n v="474097"/>
    <n v="137.26584169595756"/>
    <s v="Work in progress"/>
  </r>
  <r>
    <s v="P0877"/>
    <s v="Project-277"/>
    <x v="7"/>
    <x v="4"/>
    <x v="195"/>
    <x v="123"/>
    <x v="0"/>
    <n v="852216"/>
    <n v="1125122"/>
    <x v="0"/>
    <x v="0"/>
    <x v="0"/>
    <n v="-272906"/>
    <n v="-24.255680717291103"/>
    <s v="Work in progress"/>
  </r>
  <r>
    <s v="P0878"/>
    <s v="Project-639"/>
    <x v="0"/>
    <x v="5"/>
    <x v="418"/>
    <x v="516"/>
    <x v="0"/>
    <n v="429590"/>
    <n v="510265"/>
    <x v="1"/>
    <x v="0"/>
    <x v="2"/>
    <n v="-80675"/>
    <n v="-15.810412236778928"/>
    <s v="Work in progress"/>
  </r>
  <r>
    <s v="P0879"/>
    <s v="Project-831"/>
    <x v="3"/>
    <x v="3"/>
    <x v="470"/>
    <x v="107"/>
    <x v="0"/>
    <n v="88079"/>
    <n v="821329"/>
    <x v="3"/>
    <x v="3"/>
    <x v="1"/>
    <n v="-733250"/>
    <n v="-89.276039199882135"/>
    <s v="Work in progress"/>
  </r>
  <r>
    <s v="P0880"/>
    <s v="Project-968"/>
    <x v="1"/>
    <x v="0"/>
    <x v="279"/>
    <x v="517"/>
    <x v="0"/>
    <n v="94220"/>
    <n v="161235"/>
    <x v="0"/>
    <x v="1"/>
    <x v="2"/>
    <n v="-67015"/>
    <n v="-41.563556299810834"/>
    <s v="Work in progress"/>
  </r>
  <r>
    <s v="P0881"/>
    <s v="Project-140"/>
    <x v="6"/>
    <x v="1"/>
    <x v="383"/>
    <x v="442"/>
    <x v="0"/>
    <n v="201563"/>
    <n v="344684"/>
    <x v="1"/>
    <x v="0"/>
    <x v="1"/>
    <n v="-143121"/>
    <n v="-41.522379918998269"/>
    <s v="Work in progress"/>
  </r>
  <r>
    <s v="P0882"/>
    <s v="Project-839"/>
    <x v="5"/>
    <x v="1"/>
    <x v="500"/>
    <x v="267"/>
    <x v="0"/>
    <n v="162878"/>
    <n v="506131"/>
    <x v="4"/>
    <x v="2"/>
    <x v="1"/>
    <n v="-343253"/>
    <n v="-67.819003380547727"/>
    <s v="Work in progress"/>
  </r>
  <r>
    <s v="P0883"/>
    <s v="Project-803"/>
    <x v="5"/>
    <x v="2"/>
    <x v="501"/>
    <x v="518"/>
    <x v="2"/>
    <n v="166583"/>
    <n v="274367"/>
    <x v="0"/>
    <x v="0"/>
    <x v="0"/>
    <n v="-107784"/>
    <n v="-39.284607842779927"/>
    <s v="Project delivered successfully"/>
  </r>
  <r>
    <s v="P0884"/>
    <s v="Project-601"/>
    <x v="7"/>
    <x v="6"/>
    <x v="222"/>
    <x v="233"/>
    <x v="1"/>
    <n v="98720"/>
    <n v="846462"/>
    <x v="1"/>
    <x v="3"/>
    <x v="0"/>
    <n v="-747742"/>
    <n v="-88.33733823845607"/>
    <s v="Timeline extended"/>
  </r>
  <r>
    <s v="P0885"/>
    <s v="Project-244"/>
    <x v="6"/>
    <x v="3"/>
    <x v="67"/>
    <x v="339"/>
    <x v="2"/>
    <n v="281876"/>
    <n v="1133889"/>
    <x v="2"/>
    <x v="2"/>
    <x v="2"/>
    <n v="-852013"/>
    <n v="-75.140776566312923"/>
    <s v="Project delivered successfully"/>
  </r>
  <r>
    <s v="P0886"/>
    <s v="Project-300"/>
    <x v="6"/>
    <x v="6"/>
    <x v="502"/>
    <x v="519"/>
    <x v="0"/>
    <n v="589006"/>
    <n v="59870"/>
    <x v="2"/>
    <x v="3"/>
    <x v="2"/>
    <n v="529136"/>
    <n v="883.80825121095711"/>
    <s v="Work in progress"/>
  </r>
  <r>
    <s v="P0887"/>
    <s v="Project-823"/>
    <x v="3"/>
    <x v="5"/>
    <x v="306"/>
    <x v="99"/>
    <x v="1"/>
    <n v="478813"/>
    <n v="932997"/>
    <x v="3"/>
    <x v="1"/>
    <x v="1"/>
    <n v="-454184"/>
    <n v="-48.680113655242188"/>
    <s v="Timeline extended"/>
  </r>
  <r>
    <s v="P0888"/>
    <s v="Project-560"/>
    <x v="2"/>
    <x v="0"/>
    <x v="503"/>
    <x v="392"/>
    <x v="2"/>
    <n v="897649"/>
    <n v="349399"/>
    <x v="1"/>
    <x v="1"/>
    <x v="1"/>
    <n v="548250"/>
    <n v="156.91229797452198"/>
    <s v="Project delivered successfully"/>
  </r>
  <r>
    <s v="P0889"/>
    <s v="Project-831"/>
    <x v="2"/>
    <x v="3"/>
    <x v="29"/>
    <x v="256"/>
    <x v="0"/>
    <n v="541567"/>
    <n v="908839"/>
    <x v="2"/>
    <x v="3"/>
    <x v="1"/>
    <n v="-367272"/>
    <n v="-40.411117920775844"/>
    <s v="Work in progress"/>
  </r>
  <r>
    <s v="P0890"/>
    <s v="Project-851"/>
    <x v="4"/>
    <x v="7"/>
    <x v="504"/>
    <x v="520"/>
    <x v="0"/>
    <n v="412812"/>
    <n v="488146"/>
    <x v="3"/>
    <x v="0"/>
    <x v="1"/>
    <n v="-75334"/>
    <n v="-15.432677928324722"/>
    <s v="Work in progress"/>
  </r>
  <r>
    <s v="P0891"/>
    <s v="Project-657"/>
    <x v="0"/>
    <x v="4"/>
    <x v="299"/>
    <x v="394"/>
    <x v="2"/>
    <n v="732192"/>
    <n v="973883"/>
    <x v="0"/>
    <x v="2"/>
    <x v="0"/>
    <n v="-241691"/>
    <n v="-24.817252175055938"/>
    <s v="Project delivered successfully"/>
  </r>
  <r>
    <s v="P0892"/>
    <s v="Project-646"/>
    <x v="3"/>
    <x v="3"/>
    <x v="296"/>
    <x v="521"/>
    <x v="2"/>
    <n v="802758"/>
    <n v="315818"/>
    <x v="0"/>
    <x v="0"/>
    <x v="1"/>
    <n v="486940"/>
    <n v="154.18373873560088"/>
    <s v="Project delivered successfully"/>
  </r>
  <r>
    <s v="P0893"/>
    <s v="Project-352"/>
    <x v="3"/>
    <x v="3"/>
    <x v="392"/>
    <x v="522"/>
    <x v="2"/>
    <n v="456080"/>
    <n v="1070210"/>
    <x v="1"/>
    <x v="3"/>
    <x v="0"/>
    <n v="-614130"/>
    <n v="-57.384064809710246"/>
    <s v="Project delivered successfully"/>
  </r>
  <r>
    <s v="P0894"/>
    <s v="Project-489"/>
    <x v="0"/>
    <x v="6"/>
    <x v="142"/>
    <x v="222"/>
    <x v="2"/>
    <n v="662666"/>
    <n v="332570"/>
    <x v="1"/>
    <x v="3"/>
    <x v="2"/>
    <n v="330096"/>
    <n v="99.256096460895449"/>
    <s v="Project delivered successfully"/>
  </r>
  <r>
    <s v="P0895"/>
    <s v="Project-693"/>
    <x v="6"/>
    <x v="6"/>
    <x v="505"/>
    <x v="256"/>
    <x v="2"/>
    <n v="58177"/>
    <n v="1128160"/>
    <x v="1"/>
    <x v="0"/>
    <x v="2"/>
    <n v="-1069983"/>
    <n v="-94.843196000567303"/>
    <s v="Project delivered successfully"/>
  </r>
  <r>
    <s v="P0896"/>
    <s v="Project-982"/>
    <x v="2"/>
    <x v="1"/>
    <x v="268"/>
    <x v="207"/>
    <x v="3"/>
    <n v="751475"/>
    <n v="627539"/>
    <x v="1"/>
    <x v="2"/>
    <x v="0"/>
    <n v="123936"/>
    <n v="19.749529511313241"/>
    <s v="Project cancelled"/>
  </r>
  <r>
    <s v="P0897"/>
    <s v="Project-355"/>
    <x v="2"/>
    <x v="4"/>
    <x v="506"/>
    <x v="523"/>
    <x v="0"/>
    <n v="434462"/>
    <n v="99353"/>
    <x v="2"/>
    <x v="2"/>
    <x v="1"/>
    <n v="335109"/>
    <n v="337.29127454631464"/>
    <s v="Work in progress"/>
  </r>
  <r>
    <s v="P0898"/>
    <s v="Project-808"/>
    <x v="6"/>
    <x v="0"/>
    <x v="87"/>
    <x v="524"/>
    <x v="0"/>
    <n v="811595"/>
    <n v="1161566"/>
    <x v="2"/>
    <x v="2"/>
    <x v="2"/>
    <n v="-349971"/>
    <n v="-30.129239320021416"/>
    <s v="Work in progress"/>
  </r>
  <r>
    <s v="P0899"/>
    <s v="Project-914"/>
    <x v="2"/>
    <x v="3"/>
    <x v="390"/>
    <x v="525"/>
    <x v="1"/>
    <n v="499426"/>
    <n v="710050"/>
    <x v="3"/>
    <x v="2"/>
    <x v="0"/>
    <n v="-210624"/>
    <n v="-29.663263150482361"/>
    <s v="Timeline extended"/>
  </r>
  <r>
    <s v="P0900"/>
    <s v="Project-549"/>
    <x v="7"/>
    <x v="1"/>
    <x v="507"/>
    <x v="526"/>
    <x v="0"/>
    <n v="495170"/>
    <n v="325906"/>
    <x v="2"/>
    <x v="2"/>
    <x v="2"/>
    <n v="169264"/>
    <n v="51.936447932839535"/>
    <s v="Work in progress"/>
  </r>
  <r>
    <s v="P0901"/>
    <s v="Project-109"/>
    <x v="3"/>
    <x v="6"/>
    <x v="406"/>
    <x v="527"/>
    <x v="2"/>
    <n v="685433"/>
    <n v="722859"/>
    <x v="0"/>
    <x v="1"/>
    <x v="1"/>
    <n v="-37426"/>
    <n v="-5.1774965795542425"/>
    <s v="Project delivered successfully"/>
  </r>
  <r>
    <s v="P0902"/>
    <s v="Project-923"/>
    <x v="5"/>
    <x v="2"/>
    <x v="508"/>
    <x v="528"/>
    <x v="3"/>
    <n v="979348"/>
    <n v="511204"/>
    <x v="3"/>
    <x v="1"/>
    <x v="0"/>
    <n v="468144"/>
    <n v="91.576748225757228"/>
    <s v="Project cancelled"/>
  </r>
  <r>
    <s v="P0903"/>
    <s v="Project-897"/>
    <x v="0"/>
    <x v="4"/>
    <x v="16"/>
    <x v="268"/>
    <x v="2"/>
    <n v="779490"/>
    <n v="1173716"/>
    <x v="2"/>
    <x v="3"/>
    <x v="2"/>
    <n v="-394226"/>
    <n v="-33.587852598073127"/>
    <s v="Project delivered successfully"/>
  </r>
  <r>
    <s v="P0904"/>
    <s v="Project-341"/>
    <x v="2"/>
    <x v="1"/>
    <x v="377"/>
    <x v="508"/>
    <x v="2"/>
    <n v="587706"/>
    <n v="900506"/>
    <x v="1"/>
    <x v="1"/>
    <x v="1"/>
    <n v="-312800"/>
    <n v="-34.736026189720008"/>
    <s v="Project delivered successfully"/>
  </r>
  <r>
    <s v="P0905"/>
    <s v="Project-350"/>
    <x v="4"/>
    <x v="1"/>
    <x v="278"/>
    <x v="133"/>
    <x v="0"/>
    <n v="215926"/>
    <n v="1095591"/>
    <x v="2"/>
    <x v="2"/>
    <x v="0"/>
    <n v="-879665"/>
    <n v="-80.291367855340184"/>
    <s v="Work in progress"/>
  </r>
  <r>
    <s v="P0906"/>
    <s v="Project-976"/>
    <x v="2"/>
    <x v="5"/>
    <x v="79"/>
    <x v="422"/>
    <x v="0"/>
    <n v="662363"/>
    <n v="1012630"/>
    <x v="4"/>
    <x v="2"/>
    <x v="0"/>
    <n v="-350267"/>
    <n v="-34.589830441523553"/>
    <s v="Work in progress"/>
  </r>
  <r>
    <s v="P0907"/>
    <s v="Project-104"/>
    <x v="2"/>
    <x v="1"/>
    <x v="115"/>
    <x v="236"/>
    <x v="0"/>
    <n v="553122"/>
    <n v="1128425"/>
    <x v="3"/>
    <x v="2"/>
    <x v="0"/>
    <n v="-575303"/>
    <n v="-50.982830050734428"/>
    <s v="Work in progress"/>
  </r>
  <r>
    <s v="P0908"/>
    <s v="Project-218"/>
    <x v="1"/>
    <x v="5"/>
    <x v="309"/>
    <x v="235"/>
    <x v="2"/>
    <n v="377371"/>
    <n v="1094428"/>
    <x v="2"/>
    <x v="3"/>
    <x v="0"/>
    <n v="-717057"/>
    <n v="-65.518882923317022"/>
    <s v="Project delivered successfully"/>
  </r>
  <r>
    <s v="P0909"/>
    <s v="Project-900"/>
    <x v="7"/>
    <x v="3"/>
    <x v="233"/>
    <x v="529"/>
    <x v="2"/>
    <n v="456051"/>
    <n v="609649"/>
    <x v="2"/>
    <x v="3"/>
    <x v="2"/>
    <n v="-153598"/>
    <n v="-25.194497161481443"/>
    <s v="Project delivered successfully"/>
  </r>
  <r>
    <s v="P0910"/>
    <s v="Project-473"/>
    <x v="0"/>
    <x v="3"/>
    <x v="509"/>
    <x v="326"/>
    <x v="2"/>
    <n v="329677"/>
    <n v="706618"/>
    <x v="0"/>
    <x v="0"/>
    <x v="0"/>
    <n v="-376941"/>
    <n v="-53.344381263992716"/>
    <s v="Project delivered successfully"/>
  </r>
  <r>
    <s v="P0911"/>
    <s v="Project-164"/>
    <x v="1"/>
    <x v="6"/>
    <x v="510"/>
    <x v="314"/>
    <x v="0"/>
    <n v="557966"/>
    <n v="989012"/>
    <x v="1"/>
    <x v="1"/>
    <x v="0"/>
    <n v="-431046"/>
    <n v="-43.583495447982429"/>
    <s v="Work in progress"/>
  </r>
  <r>
    <s v="P0912"/>
    <s v="Project-245"/>
    <x v="1"/>
    <x v="2"/>
    <x v="306"/>
    <x v="530"/>
    <x v="0"/>
    <n v="538267"/>
    <n v="494944"/>
    <x v="1"/>
    <x v="1"/>
    <x v="0"/>
    <n v="43323"/>
    <n v="8.7531114631150189"/>
    <s v="Work in progress"/>
  </r>
  <r>
    <s v="P0913"/>
    <s v="Project-323"/>
    <x v="4"/>
    <x v="7"/>
    <x v="133"/>
    <x v="531"/>
    <x v="2"/>
    <n v="937889"/>
    <n v="1105986"/>
    <x v="0"/>
    <x v="0"/>
    <x v="0"/>
    <n v="-168097"/>
    <n v="-15.198836151633021"/>
    <s v="Project delivered successfully"/>
  </r>
  <r>
    <s v="P0914"/>
    <s v="Project-338"/>
    <x v="3"/>
    <x v="7"/>
    <x v="511"/>
    <x v="532"/>
    <x v="0"/>
    <n v="419648"/>
    <n v="815334"/>
    <x v="0"/>
    <x v="0"/>
    <x v="0"/>
    <n v="-395686"/>
    <n v="-48.53054085810232"/>
    <s v="Work in progress"/>
  </r>
  <r>
    <s v="P0915"/>
    <s v="Project-276"/>
    <x v="4"/>
    <x v="7"/>
    <x v="149"/>
    <x v="448"/>
    <x v="0"/>
    <n v="268930"/>
    <n v="588212"/>
    <x v="4"/>
    <x v="1"/>
    <x v="1"/>
    <n v="-319282"/>
    <n v="-54.280089491543869"/>
    <s v="Work in progress"/>
  </r>
  <r>
    <s v="P0916"/>
    <s v="Project-878"/>
    <x v="3"/>
    <x v="6"/>
    <x v="214"/>
    <x v="205"/>
    <x v="2"/>
    <n v="453439"/>
    <n v="929054"/>
    <x v="3"/>
    <x v="2"/>
    <x v="2"/>
    <n v="-475615"/>
    <n v="-51.193472069438371"/>
    <s v="Project delivered successfully"/>
  </r>
  <r>
    <s v="P0917"/>
    <s v="Project-952"/>
    <x v="3"/>
    <x v="5"/>
    <x v="212"/>
    <x v="533"/>
    <x v="2"/>
    <n v="698490"/>
    <n v="887263"/>
    <x v="1"/>
    <x v="1"/>
    <x v="1"/>
    <n v="-188773"/>
    <n v="-21.275878741703419"/>
    <s v="Project delivered successfully"/>
  </r>
  <r>
    <s v="P0918"/>
    <s v="Project-381"/>
    <x v="0"/>
    <x v="6"/>
    <x v="512"/>
    <x v="22"/>
    <x v="0"/>
    <n v="584561"/>
    <n v="435480"/>
    <x v="0"/>
    <x v="2"/>
    <x v="2"/>
    <n v="149081"/>
    <n v="34.233719114540278"/>
    <s v="Work in progress"/>
  </r>
  <r>
    <s v="P0919"/>
    <s v="Project-162"/>
    <x v="2"/>
    <x v="4"/>
    <x v="513"/>
    <x v="534"/>
    <x v="1"/>
    <n v="607807"/>
    <n v="320182"/>
    <x v="0"/>
    <x v="3"/>
    <x v="0"/>
    <n v="287625"/>
    <n v="89.831720708846845"/>
    <s v="Timeline extended"/>
  </r>
  <r>
    <s v="P0920"/>
    <s v="Project-316"/>
    <x v="0"/>
    <x v="4"/>
    <x v="181"/>
    <x v="176"/>
    <x v="0"/>
    <n v="729520"/>
    <n v="265530"/>
    <x v="3"/>
    <x v="1"/>
    <x v="2"/>
    <n v="463990"/>
    <n v="174.74108386999586"/>
    <s v="Work in progress"/>
  </r>
  <r>
    <s v="P0921"/>
    <s v="Project-953"/>
    <x v="7"/>
    <x v="2"/>
    <x v="403"/>
    <x v="156"/>
    <x v="3"/>
    <n v="963456"/>
    <n v="301280"/>
    <x v="0"/>
    <x v="1"/>
    <x v="0"/>
    <n v="662176"/>
    <n v="219.78757302177377"/>
    <s v="Project cancelled"/>
  </r>
  <r>
    <s v="P0922"/>
    <s v="Project-926"/>
    <x v="3"/>
    <x v="4"/>
    <x v="514"/>
    <x v="384"/>
    <x v="0"/>
    <n v="517601"/>
    <n v="1187122"/>
    <x v="4"/>
    <x v="3"/>
    <x v="0"/>
    <n v="-669521"/>
    <n v="-56.398668376123098"/>
    <s v="Work in progress"/>
  </r>
  <r>
    <s v="P0923"/>
    <s v="Project-894"/>
    <x v="1"/>
    <x v="7"/>
    <x v="218"/>
    <x v="66"/>
    <x v="0"/>
    <n v="960972"/>
    <n v="581719"/>
    <x v="3"/>
    <x v="3"/>
    <x v="1"/>
    <n v="379253"/>
    <n v="65.195223123191781"/>
    <s v="Work in progress"/>
  </r>
  <r>
    <s v="P0924"/>
    <s v="Project-788"/>
    <x v="2"/>
    <x v="7"/>
    <x v="515"/>
    <x v="535"/>
    <x v="1"/>
    <n v="558604"/>
    <n v="1120866"/>
    <x v="4"/>
    <x v="3"/>
    <x v="1"/>
    <n v="-562262"/>
    <n v="-50.163177400331527"/>
    <s v="Timeline extended"/>
  </r>
  <r>
    <s v="P0925"/>
    <s v="Project-560"/>
    <x v="5"/>
    <x v="6"/>
    <x v="514"/>
    <x v="297"/>
    <x v="0"/>
    <n v="534408"/>
    <n v="1015043"/>
    <x v="2"/>
    <x v="3"/>
    <x v="1"/>
    <n v="-480635"/>
    <n v="-47.351195959185965"/>
    <s v="Work in progress"/>
  </r>
  <r>
    <s v="P0926"/>
    <s v="Project-709"/>
    <x v="7"/>
    <x v="1"/>
    <x v="343"/>
    <x v="92"/>
    <x v="2"/>
    <n v="230060"/>
    <n v="508751"/>
    <x v="1"/>
    <x v="3"/>
    <x v="2"/>
    <n v="-278691"/>
    <n v="-54.779450064963022"/>
    <s v="Project delivered successfully"/>
  </r>
  <r>
    <s v="P0927"/>
    <s v="Project-204"/>
    <x v="0"/>
    <x v="4"/>
    <x v="516"/>
    <x v="204"/>
    <x v="1"/>
    <n v="453564"/>
    <n v="160374"/>
    <x v="0"/>
    <x v="0"/>
    <x v="2"/>
    <n v="293190"/>
    <n v="182.8164166261364"/>
    <s v="Timeline extended"/>
  </r>
  <r>
    <s v="P0928"/>
    <s v="Project-198"/>
    <x v="4"/>
    <x v="6"/>
    <x v="235"/>
    <x v="181"/>
    <x v="1"/>
    <n v="657748"/>
    <n v="1121323"/>
    <x v="3"/>
    <x v="0"/>
    <x v="1"/>
    <n v="-463575"/>
    <n v="-41.341790010550042"/>
    <s v="Timeline extended"/>
  </r>
  <r>
    <s v="P0929"/>
    <s v="Project-610"/>
    <x v="7"/>
    <x v="3"/>
    <x v="50"/>
    <x v="536"/>
    <x v="3"/>
    <n v="298792"/>
    <n v="754568"/>
    <x v="4"/>
    <x v="3"/>
    <x v="1"/>
    <n v="-455776"/>
    <n v="-60.402243402847724"/>
    <s v="Project cancelled"/>
  </r>
  <r>
    <s v="P0930"/>
    <s v="Project-484"/>
    <x v="7"/>
    <x v="3"/>
    <x v="367"/>
    <x v="256"/>
    <x v="0"/>
    <n v="678759"/>
    <n v="683420"/>
    <x v="1"/>
    <x v="3"/>
    <x v="0"/>
    <n v="-4661"/>
    <n v="-0.6820110620116473"/>
    <s v="Work in progress"/>
  </r>
  <r>
    <s v="P0931"/>
    <s v="Project-504"/>
    <x v="2"/>
    <x v="1"/>
    <x v="517"/>
    <x v="349"/>
    <x v="2"/>
    <n v="678956"/>
    <n v="769435"/>
    <x v="1"/>
    <x v="3"/>
    <x v="2"/>
    <n v="-90479"/>
    <n v="-11.759147946220279"/>
    <s v="Project delivered successfully"/>
  </r>
  <r>
    <s v="P0932"/>
    <s v="Project-922"/>
    <x v="7"/>
    <x v="1"/>
    <x v="391"/>
    <x v="20"/>
    <x v="0"/>
    <n v="903951"/>
    <n v="700247"/>
    <x v="0"/>
    <x v="3"/>
    <x v="0"/>
    <n v="203704"/>
    <n v="29.09030670606229"/>
    <s v="Work in progress"/>
  </r>
  <r>
    <s v="P0933"/>
    <s v="Project-617"/>
    <x v="7"/>
    <x v="1"/>
    <x v="233"/>
    <x v="376"/>
    <x v="0"/>
    <n v="402570"/>
    <n v="554339"/>
    <x v="1"/>
    <x v="2"/>
    <x v="2"/>
    <n v="-151769"/>
    <n v="-27.378373161549156"/>
    <s v="Work in progress"/>
  </r>
  <r>
    <s v="P0934"/>
    <s v="Project-575"/>
    <x v="5"/>
    <x v="6"/>
    <x v="213"/>
    <x v="34"/>
    <x v="1"/>
    <n v="64629"/>
    <n v="320635"/>
    <x v="0"/>
    <x v="2"/>
    <x v="1"/>
    <n v="-256006"/>
    <n v="-79.843435682317903"/>
    <s v="Timeline extended"/>
  </r>
  <r>
    <s v="P0935"/>
    <s v="Project-808"/>
    <x v="6"/>
    <x v="3"/>
    <x v="204"/>
    <x v="460"/>
    <x v="0"/>
    <n v="885488"/>
    <n v="589168"/>
    <x v="2"/>
    <x v="3"/>
    <x v="2"/>
    <n v="296320"/>
    <n v="50.294652798522662"/>
    <s v="Work in progress"/>
  </r>
  <r>
    <s v="P0936"/>
    <s v="Project-962"/>
    <x v="4"/>
    <x v="7"/>
    <x v="78"/>
    <x v="105"/>
    <x v="2"/>
    <n v="847705"/>
    <n v="403200"/>
    <x v="0"/>
    <x v="3"/>
    <x v="2"/>
    <n v="444505"/>
    <n v="110.24429563492065"/>
    <s v="Project delivered successfully"/>
  </r>
  <r>
    <s v="P0937"/>
    <s v="Project-744"/>
    <x v="4"/>
    <x v="1"/>
    <x v="144"/>
    <x v="77"/>
    <x v="0"/>
    <n v="170484"/>
    <n v="1125937"/>
    <x v="4"/>
    <x v="1"/>
    <x v="0"/>
    <n v="-955453"/>
    <n v="-84.858477872207771"/>
    <s v="Work in progress"/>
  </r>
  <r>
    <s v="P0938"/>
    <s v="Project-969"/>
    <x v="4"/>
    <x v="2"/>
    <x v="182"/>
    <x v="19"/>
    <x v="2"/>
    <n v="147275"/>
    <n v="379829"/>
    <x v="1"/>
    <x v="3"/>
    <x v="1"/>
    <n v="-232554"/>
    <n v="-61.225972740364739"/>
    <s v="Project delivered successfully"/>
  </r>
  <r>
    <s v="P0939"/>
    <s v="Project-870"/>
    <x v="3"/>
    <x v="5"/>
    <x v="518"/>
    <x v="153"/>
    <x v="3"/>
    <n v="483632"/>
    <n v="1173417"/>
    <x v="1"/>
    <x v="3"/>
    <x v="1"/>
    <n v="-689785"/>
    <n v="-58.784302596604618"/>
    <s v="Project cancelled"/>
  </r>
  <r>
    <s v="P0940"/>
    <s v="Project-536"/>
    <x v="1"/>
    <x v="6"/>
    <x v="519"/>
    <x v="197"/>
    <x v="0"/>
    <n v="188966"/>
    <n v="1018660"/>
    <x v="1"/>
    <x v="0"/>
    <x v="1"/>
    <n v="-829694"/>
    <n v="-81.449551371409498"/>
    <s v="Work in progress"/>
  </r>
  <r>
    <s v="P0941"/>
    <s v="Project-122"/>
    <x v="6"/>
    <x v="1"/>
    <x v="520"/>
    <x v="324"/>
    <x v="2"/>
    <n v="96073"/>
    <n v="545750"/>
    <x v="0"/>
    <x v="2"/>
    <x v="0"/>
    <n v="-449677"/>
    <n v="-82.396152084287678"/>
    <s v="Project delivered successfully"/>
  </r>
  <r>
    <s v="P0942"/>
    <s v="Project-664"/>
    <x v="4"/>
    <x v="5"/>
    <x v="521"/>
    <x v="402"/>
    <x v="1"/>
    <n v="619981"/>
    <n v="681006"/>
    <x v="3"/>
    <x v="3"/>
    <x v="0"/>
    <n v="-61025"/>
    <n v="-8.961007685688525"/>
    <s v="Timeline extended"/>
  </r>
  <r>
    <s v="P0943"/>
    <s v="Project-776"/>
    <x v="7"/>
    <x v="0"/>
    <x v="243"/>
    <x v="295"/>
    <x v="0"/>
    <n v="756826"/>
    <n v="136379"/>
    <x v="0"/>
    <x v="2"/>
    <x v="0"/>
    <n v="620447"/>
    <n v="454.94320973170358"/>
    <s v="Work in progress"/>
  </r>
  <r>
    <s v="P0944"/>
    <s v="Project-813"/>
    <x v="7"/>
    <x v="1"/>
    <x v="198"/>
    <x v="537"/>
    <x v="0"/>
    <n v="860775"/>
    <n v="867160"/>
    <x v="4"/>
    <x v="2"/>
    <x v="2"/>
    <n v="-6385"/>
    <n v="-0.73631163799068222"/>
    <s v="Work in progress"/>
  </r>
  <r>
    <s v="P0945"/>
    <s v="Project-557"/>
    <x v="4"/>
    <x v="3"/>
    <x v="25"/>
    <x v="517"/>
    <x v="2"/>
    <n v="617383"/>
    <n v="694051"/>
    <x v="0"/>
    <x v="1"/>
    <x v="2"/>
    <n v="-76668"/>
    <n v="-11.046450476982239"/>
    <s v="Project delivered successfully"/>
  </r>
  <r>
    <s v="P0946"/>
    <s v="Project-182"/>
    <x v="2"/>
    <x v="4"/>
    <x v="522"/>
    <x v="69"/>
    <x v="0"/>
    <n v="212246"/>
    <n v="39756"/>
    <x v="1"/>
    <x v="2"/>
    <x v="0"/>
    <n v="172490"/>
    <n v="433.87161686286345"/>
    <s v="Work in progress"/>
  </r>
  <r>
    <s v="P0947"/>
    <s v="Project-244"/>
    <x v="4"/>
    <x v="1"/>
    <x v="523"/>
    <x v="523"/>
    <x v="0"/>
    <n v="172388"/>
    <n v="677958"/>
    <x v="2"/>
    <x v="2"/>
    <x v="0"/>
    <n v="-505570"/>
    <n v="-74.572466140970377"/>
    <s v="Work in progress"/>
  </r>
  <r>
    <s v="P0948"/>
    <s v="Project-184"/>
    <x v="7"/>
    <x v="6"/>
    <x v="142"/>
    <x v="375"/>
    <x v="1"/>
    <n v="290787"/>
    <n v="1142655"/>
    <x v="4"/>
    <x v="3"/>
    <x v="1"/>
    <n v="-851868"/>
    <n v="-74.55163632067422"/>
    <s v="Timeline extended"/>
  </r>
  <r>
    <s v="P0949"/>
    <s v="Project-177"/>
    <x v="3"/>
    <x v="4"/>
    <x v="429"/>
    <x v="197"/>
    <x v="0"/>
    <n v="253508"/>
    <n v="976024"/>
    <x v="2"/>
    <x v="0"/>
    <x v="2"/>
    <n v="-722516"/>
    <n v="-74.026458365777899"/>
    <s v="Work in progress"/>
  </r>
  <r>
    <s v="P0950"/>
    <s v="Project-556"/>
    <x v="0"/>
    <x v="0"/>
    <x v="524"/>
    <x v="389"/>
    <x v="1"/>
    <n v="164441"/>
    <n v="1184137"/>
    <x v="4"/>
    <x v="3"/>
    <x v="2"/>
    <n v="-1019696"/>
    <n v="-86.113008883262665"/>
    <s v="Timeline extended"/>
  </r>
  <r>
    <s v="P0951"/>
    <s v="Project-977"/>
    <x v="0"/>
    <x v="2"/>
    <x v="525"/>
    <x v="363"/>
    <x v="1"/>
    <n v="675070"/>
    <n v="386580"/>
    <x v="4"/>
    <x v="3"/>
    <x v="1"/>
    <n v="288490"/>
    <n v="74.626209322779246"/>
    <s v="Timeline extended"/>
  </r>
  <r>
    <s v="P0952"/>
    <s v="Project-100"/>
    <x v="6"/>
    <x v="4"/>
    <x v="106"/>
    <x v="519"/>
    <x v="2"/>
    <n v="832307"/>
    <n v="46533"/>
    <x v="1"/>
    <x v="0"/>
    <x v="1"/>
    <n v="785774"/>
    <n v="1688.6381707605356"/>
    <s v="Project delivered successfully"/>
  </r>
  <r>
    <s v="P0953"/>
    <s v="Project-150"/>
    <x v="6"/>
    <x v="5"/>
    <x v="478"/>
    <x v="491"/>
    <x v="0"/>
    <n v="289343"/>
    <n v="551970"/>
    <x v="0"/>
    <x v="0"/>
    <x v="1"/>
    <n v="-262627"/>
    <n v="-47.579940938819135"/>
    <s v="Work in progress"/>
  </r>
  <r>
    <s v="P0954"/>
    <s v="Project-784"/>
    <x v="4"/>
    <x v="7"/>
    <x v="236"/>
    <x v="251"/>
    <x v="0"/>
    <n v="486142"/>
    <n v="127417"/>
    <x v="1"/>
    <x v="1"/>
    <x v="0"/>
    <n v="358725"/>
    <n v="281.53621573259454"/>
    <s v="Work in progress"/>
  </r>
  <r>
    <s v="P0955"/>
    <s v="Project-816"/>
    <x v="5"/>
    <x v="1"/>
    <x v="500"/>
    <x v="538"/>
    <x v="0"/>
    <n v="909022"/>
    <n v="752520"/>
    <x v="1"/>
    <x v="0"/>
    <x v="0"/>
    <n v="156502"/>
    <n v="20.797055227768034"/>
    <s v="Work in progress"/>
  </r>
  <r>
    <s v="P0956"/>
    <s v="Project-871"/>
    <x v="4"/>
    <x v="0"/>
    <x v="518"/>
    <x v="539"/>
    <x v="1"/>
    <n v="482043"/>
    <n v="1119005"/>
    <x v="1"/>
    <x v="3"/>
    <x v="0"/>
    <n v="-636962"/>
    <n v="-56.922176397781953"/>
    <s v="Timeline extended"/>
  </r>
  <r>
    <s v="P0957"/>
    <s v="Project-545"/>
    <x v="2"/>
    <x v="0"/>
    <x v="331"/>
    <x v="540"/>
    <x v="0"/>
    <n v="682551"/>
    <n v="378492"/>
    <x v="2"/>
    <x v="0"/>
    <x v="0"/>
    <n v="304059"/>
    <n v="80.334326749310421"/>
    <s v="Work in progress"/>
  </r>
  <r>
    <s v="P0958"/>
    <s v="Project-548"/>
    <x v="4"/>
    <x v="4"/>
    <x v="526"/>
    <x v="339"/>
    <x v="0"/>
    <n v="487991"/>
    <n v="889497"/>
    <x v="4"/>
    <x v="0"/>
    <x v="0"/>
    <n v="-401506"/>
    <n v="-45.138544593180193"/>
    <s v="Work in progress"/>
  </r>
  <r>
    <s v="P0959"/>
    <s v="Project-980"/>
    <x v="6"/>
    <x v="2"/>
    <x v="527"/>
    <x v="385"/>
    <x v="0"/>
    <n v="484417"/>
    <n v="909828"/>
    <x v="3"/>
    <x v="0"/>
    <x v="2"/>
    <n v="-425411"/>
    <n v="-46.757299181823377"/>
    <s v="Work in progress"/>
  </r>
  <r>
    <s v="P0960"/>
    <s v="Project-587"/>
    <x v="0"/>
    <x v="3"/>
    <x v="528"/>
    <x v="406"/>
    <x v="0"/>
    <n v="865805"/>
    <n v="567942"/>
    <x v="0"/>
    <x v="2"/>
    <x v="2"/>
    <n v="297863"/>
    <n v="52.446024417986351"/>
    <s v="Work in progress"/>
  </r>
  <r>
    <s v="P0961"/>
    <s v="Project-899"/>
    <x v="7"/>
    <x v="1"/>
    <x v="178"/>
    <x v="541"/>
    <x v="0"/>
    <n v="339669"/>
    <n v="361627"/>
    <x v="1"/>
    <x v="1"/>
    <x v="2"/>
    <n v="-21958"/>
    <n v="-6.0720023670798913"/>
    <s v="Work in progress"/>
  </r>
  <r>
    <s v="P0962"/>
    <s v="Project-133"/>
    <x v="4"/>
    <x v="0"/>
    <x v="50"/>
    <x v="542"/>
    <x v="2"/>
    <n v="439860"/>
    <n v="174444"/>
    <x v="4"/>
    <x v="2"/>
    <x v="1"/>
    <n v="265416"/>
    <n v="152.14968700557199"/>
    <s v="Project delivered successfully"/>
  </r>
  <r>
    <s v="P0963"/>
    <s v="Project-447"/>
    <x v="7"/>
    <x v="2"/>
    <x v="148"/>
    <x v="472"/>
    <x v="0"/>
    <n v="416657"/>
    <n v="460898"/>
    <x v="0"/>
    <x v="2"/>
    <x v="2"/>
    <n v="-44241"/>
    <n v="-9.5988700319810452"/>
    <s v="Work in progress"/>
  </r>
  <r>
    <s v="P0964"/>
    <s v="Project-194"/>
    <x v="7"/>
    <x v="7"/>
    <x v="7"/>
    <x v="543"/>
    <x v="0"/>
    <n v="703689"/>
    <n v="921403"/>
    <x v="3"/>
    <x v="1"/>
    <x v="1"/>
    <n v="-217714"/>
    <n v="-23.628531706538833"/>
    <s v="Work in progress"/>
  </r>
  <r>
    <s v="P0965"/>
    <s v="Project-171"/>
    <x v="5"/>
    <x v="0"/>
    <x v="356"/>
    <x v="526"/>
    <x v="0"/>
    <n v="146643"/>
    <n v="1107871"/>
    <x v="3"/>
    <x v="2"/>
    <x v="2"/>
    <n v="-961228"/>
    <n v="-86.763531133137334"/>
    <s v="Work in progress"/>
  </r>
  <r>
    <s v="P0966"/>
    <s v="Project-650"/>
    <x v="7"/>
    <x v="2"/>
    <x v="15"/>
    <x v="544"/>
    <x v="2"/>
    <n v="735846"/>
    <n v="489329"/>
    <x v="1"/>
    <x v="0"/>
    <x v="0"/>
    <n v="246517"/>
    <n v="50.378579646822487"/>
    <s v="Project delivered successfully"/>
  </r>
  <r>
    <s v="P0967"/>
    <s v="Project-253"/>
    <x v="0"/>
    <x v="6"/>
    <x v="465"/>
    <x v="545"/>
    <x v="2"/>
    <n v="521820"/>
    <n v="79574"/>
    <x v="3"/>
    <x v="1"/>
    <x v="2"/>
    <n v="442246"/>
    <n v="555.76695905697841"/>
    <s v="Project delivered successfully"/>
  </r>
  <r>
    <s v="P0968"/>
    <s v="Project-349"/>
    <x v="3"/>
    <x v="3"/>
    <x v="381"/>
    <x v="546"/>
    <x v="0"/>
    <n v="199712"/>
    <n v="393211"/>
    <x v="3"/>
    <x v="2"/>
    <x v="0"/>
    <n v="-193499"/>
    <n v="-49.209966150489173"/>
    <s v="Work in progress"/>
  </r>
  <r>
    <s v="P0969"/>
    <s v="Project-773"/>
    <x v="3"/>
    <x v="3"/>
    <x v="479"/>
    <x v="373"/>
    <x v="2"/>
    <n v="409838"/>
    <n v="1108642"/>
    <x v="0"/>
    <x v="3"/>
    <x v="0"/>
    <n v="-698804"/>
    <n v="-63.032430667429161"/>
    <s v="Project delivered successfully"/>
  </r>
  <r>
    <s v="P0970"/>
    <s v="Project-537"/>
    <x v="1"/>
    <x v="0"/>
    <x v="123"/>
    <x v="547"/>
    <x v="0"/>
    <n v="242527"/>
    <n v="244221"/>
    <x v="0"/>
    <x v="2"/>
    <x v="2"/>
    <n v="-1694"/>
    <n v="-0.69363404457438138"/>
    <s v="Work in progress"/>
  </r>
  <r>
    <s v="P0971"/>
    <s v="Project-217"/>
    <x v="2"/>
    <x v="5"/>
    <x v="92"/>
    <x v="548"/>
    <x v="1"/>
    <n v="610424"/>
    <n v="170017"/>
    <x v="1"/>
    <x v="3"/>
    <x v="2"/>
    <n v="440407"/>
    <n v="259.03703747272334"/>
    <s v="Timeline extended"/>
  </r>
  <r>
    <s v="P0972"/>
    <s v="Project-870"/>
    <x v="4"/>
    <x v="0"/>
    <x v="529"/>
    <x v="172"/>
    <x v="0"/>
    <n v="106539"/>
    <n v="59418"/>
    <x v="4"/>
    <x v="0"/>
    <x v="0"/>
    <n v="47121"/>
    <n v="79.304251236998894"/>
    <s v="Work in progress"/>
  </r>
  <r>
    <s v="P0973"/>
    <s v="Project-990"/>
    <x v="2"/>
    <x v="4"/>
    <x v="530"/>
    <x v="75"/>
    <x v="2"/>
    <n v="262736"/>
    <n v="1161183"/>
    <x v="1"/>
    <x v="3"/>
    <x v="1"/>
    <n v="-898447"/>
    <n v="-77.373420038012952"/>
    <s v="Project delivered successfully"/>
  </r>
  <r>
    <s v="P0974"/>
    <s v="Project-405"/>
    <x v="0"/>
    <x v="1"/>
    <x v="531"/>
    <x v="190"/>
    <x v="1"/>
    <n v="468158"/>
    <n v="604162"/>
    <x v="2"/>
    <x v="2"/>
    <x v="1"/>
    <n v="-136004"/>
    <n v="-22.511180776017028"/>
    <s v="Timeline extended"/>
  </r>
  <r>
    <s v="P0975"/>
    <s v="Project-367"/>
    <x v="7"/>
    <x v="2"/>
    <x v="532"/>
    <x v="87"/>
    <x v="1"/>
    <n v="118363"/>
    <n v="928590"/>
    <x v="3"/>
    <x v="2"/>
    <x v="2"/>
    <n v="-810227"/>
    <n v="-87.253470315209086"/>
    <s v="Timeline extended"/>
  </r>
  <r>
    <s v="P0976"/>
    <s v="Project-153"/>
    <x v="3"/>
    <x v="0"/>
    <x v="533"/>
    <x v="549"/>
    <x v="0"/>
    <n v="239668"/>
    <n v="160538"/>
    <x v="4"/>
    <x v="2"/>
    <x v="0"/>
    <n v="79130"/>
    <n v="49.290510657912769"/>
    <s v="Work in progress"/>
  </r>
  <r>
    <s v="P0977"/>
    <s v="Project-335"/>
    <x v="2"/>
    <x v="1"/>
    <x v="57"/>
    <x v="550"/>
    <x v="0"/>
    <n v="655814"/>
    <n v="243699"/>
    <x v="0"/>
    <x v="1"/>
    <x v="1"/>
    <n v="412115"/>
    <n v="169.10820315224927"/>
    <s v="Work in progress"/>
  </r>
  <r>
    <s v="P0978"/>
    <s v="Project-488"/>
    <x v="0"/>
    <x v="4"/>
    <x v="270"/>
    <x v="74"/>
    <x v="2"/>
    <n v="347399"/>
    <n v="464610"/>
    <x v="2"/>
    <x v="1"/>
    <x v="2"/>
    <n v="-117211"/>
    <n v="-25.227825488043738"/>
    <s v="Project delivered successfully"/>
  </r>
  <r>
    <s v="P0979"/>
    <s v="Project-833"/>
    <x v="3"/>
    <x v="6"/>
    <x v="400"/>
    <x v="551"/>
    <x v="0"/>
    <n v="243201"/>
    <n v="534588"/>
    <x v="2"/>
    <x v="2"/>
    <x v="2"/>
    <n v="-291387"/>
    <n v="-54.506835170261958"/>
    <s v="Work in progress"/>
  </r>
  <r>
    <s v="P0980"/>
    <s v="Project-862"/>
    <x v="7"/>
    <x v="6"/>
    <x v="107"/>
    <x v="552"/>
    <x v="1"/>
    <n v="528739"/>
    <n v="603923"/>
    <x v="3"/>
    <x v="2"/>
    <x v="0"/>
    <n v="-75184"/>
    <n v="-12.449269194913921"/>
    <s v="Timeline extended"/>
  </r>
  <r>
    <s v="P0981"/>
    <s v="Project-924"/>
    <x v="2"/>
    <x v="1"/>
    <x v="159"/>
    <x v="489"/>
    <x v="2"/>
    <n v="692497"/>
    <n v="287470"/>
    <x v="0"/>
    <x v="0"/>
    <x v="1"/>
    <n v="405027"/>
    <n v="140.89365846870979"/>
    <s v="Project delivered successfully"/>
  </r>
  <r>
    <s v="P0982"/>
    <s v="Project-500"/>
    <x v="3"/>
    <x v="0"/>
    <x v="170"/>
    <x v="553"/>
    <x v="2"/>
    <n v="292723"/>
    <n v="391981"/>
    <x v="4"/>
    <x v="1"/>
    <x v="2"/>
    <n v="-99258"/>
    <n v="-25.322145716246453"/>
    <s v="Project delivered successfully"/>
  </r>
  <r>
    <s v="P0983"/>
    <s v="Project-723"/>
    <x v="4"/>
    <x v="3"/>
    <x v="534"/>
    <x v="499"/>
    <x v="0"/>
    <n v="660725"/>
    <n v="309548"/>
    <x v="0"/>
    <x v="1"/>
    <x v="1"/>
    <n v="351177"/>
    <n v="113.44831819297816"/>
    <s v="Work in progress"/>
  </r>
  <r>
    <s v="P0984"/>
    <s v="Project-866"/>
    <x v="6"/>
    <x v="2"/>
    <x v="96"/>
    <x v="554"/>
    <x v="2"/>
    <n v="197349"/>
    <n v="1091732"/>
    <x v="3"/>
    <x v="1"/>
    <x v="2"/>
    <n v="-894383"/>
    <n v="-81.923310849182769"/>
    <s v="Project delivered successfully"/>
  </r>
  <r>
    <s v="P0985"/>
    <s v="Project-402"/>
    <x v="4"/>
    <x v="2"/>
    <x v="90"/>
    <x v="183"/>
    <x v="2"/>
    <n v="707003"/>
    <n v="478834"/>
    <x v="2"/>
    <x v="3"/>
    <x v="2"/>
    <n v="228169"/>
    <n v="47.650960458112834"/>
    <s v="Project delivered successfully"/>
  </r>
  <r>
    <s v="P0986"/>
    <s v="Project-306"/>
    <x v="1"/>
    <x v="6"/>
    <x v="439"/>
    <x v="555"/>
    <x v="1"/>
    <n v="952332"/>
    <n v="79999"/>
    <x v="3"/>
    <x v="2"/>
    <x v="1"/>
    <n v="872333"/>
    <n v="1090.4298803735048"/>
    <s v="Timeline extended"/>
  </r>
  <r>
    <s v="P0987"/>
    <s v="Project-328"/>
    <x v="1"/>
    <x v="6"/>
    <x v="447"/>
    <x v="350"/>
    <x v="0"/>
    <n v="860161"/>
    <n v="437001"/>
    <x v="1"/>
    <x v="0"/>
    <x v="1"/>
    <n v="423160"/>
    <n v="96.832730359884749"/>
    <s v="Work in progress"/>
  </r>
  <r>
    <s v="P0988"/>
    <s v="Project-952"/>
    <x v="3"/>
    <x v="3"/>
    <x v="463"/>
    <x v="380"/>
    <x v="0"/>
    <n v="858250"/>
    <n v="209431"/>
    <x v="2"/>
    <x v="0"/>
    <x v="0"/>
    <n v="648819"/>
    <n v="309.80084132721515"/>
    <s v="Work in progress"/>
  </r>
  <r>
    <s v="P0989"/>
    <s v="Project-677"/>
    <x v="6"/>
    <x v="5"/>
    <x v="421"/>
    <x v="396"/>
    <x v="0"/>
    <n v="115555"/>
    <n v="514023"/>
    <x v="3"/>
    <x v="2"/>
    <x v="0"/>
    <n v="-398468"/>
    <n v="-77.519488427560631"/>
    <s v="Work in progress"/>
  </r>
  <r>
    <s v="P0990"/>
    <s v="Project-174"/>
    <x v="0"/>
    <x v="0"/>
    <x v="535"/>
    <x v="538"/>
    <x v="0"/>
    <n v="673267"/>
    <n v="983618"/>
    <x v="4"/>
    <x v="2"/>
    <x v="0"/>
    <n v="-310351"/>
    <n v="-31.551984611912349"/>
    <s v="Work in progress"/>
  </r>
  <r>
    <s v="P0991"/>
    <s v="Project-534"/>
    <x v="4"/>
    <x v="6"/>
    <x v="403"/>
    <x v="444"/>
    <x v="2"/>
    <n v="103629"/>
    <n v="62799"/>
    <x v="4"/>
    <x v="0"/>
    <x v="0"/>
    <n v="40830"/>
    <n v="65.016958868771795"/>
    <s v="Project delivered successfully"/>
  </r>
  <r>
    <s v="P0992"/>
    <s v="Project-202"/>
    <x v="0"/>
    <x v="6"/>
    <x v="385"/>
    <x v="347"/>
    <x v="1"/>
    <n v="689584"/>
    <n v="172228"/>
    <x v="4"/>
    <x v="3"/>
    <x v="1"/>
    <n v="517356"/>
    <n v="300.390180458462"/>
    <s v="Timeline extended"/>
  </r>
  <r>
    <s v="P0993"/>
    <s v="Project-521"/>
    <x v="6"/>
    <x v="6"/>
    <x v="536"/>
    <x v="556"/>
    <x v="0"/>
    <n v="367582"/>
    <n v="332789"/>
    <x v="1"/>
    <x v="0"/>
    <x v="0"/>
    <n v="34793"/>
    <n v="10.454972970861416"/>
    <s v="Work in progress"/>
  </r>
  <r>
    <s v="P0994"/>
    <s v="Project-803"/>
    <x v="0"/>
    <x v="2"/>
    <x v="537"/>
    <x v="382"/>
    <x v="1"/>
    <n v="820109"/>
    <n v="724298"/>
    <x v="0"/>
    <x v="3"/>
    <x v="1"/>
    <n v="95811"/>
    <n v="13.22811881297477"/>
    <s v="Timeline extended"/>
  </r>
  <r>
    <s v="P0995"/>
    <s v="Project-863"/>
    <x v="6"/>
    <x v="0"/>
    <x v="136"/>
    <x v="557"/>
    <x v="0"/>
    <n v="321601"/>
    <n v="480198"/>
    <x v="4"/>
    <x v="3"/>
    <x v="2"/>
    <n v="-158597"/>
    <n v="-33.027417856800731"/>
    <s v="Work in progress"/>
  </r>
  <r>
    <s v="P0996"/>
    <s v="Project-837"/>
    <x v="3"/>
    <x v="4"/>
    <x v="538"/>
    <x v="558"/>
    <x v="0"/>
    <n v="240701"/>
    <n v="369758"/>
    <x v="1"/>
    <x v="1"/>
    <x v="1"/>
    <n v="-129057"/>
    <n v="-34.903098783528684"/>
    <s v="Work in progress"/>
  </r>
  <r>
    <s v="P0997"/>
    <s v="Project-905"/>
    <x v="0"/>
    <x v="0"/>
    <x v="144"/>
    <x v="559"/>
    <x v="0"/>
    <n v="346066"/>
    <n v="914801"/>
    <x v="4"/>
    <x v="2"/>
    <x v="0"/>
    <n v="-568735"/>
    <n v="-62.170351803288369"/>
    <s v="Work in progress"/>
  </r>
  <r>
    <s v="P0998"/>
    <s v="Project-405"/>
    <x v="4"/>
    <x v="1"/>
    <x v="238"/>
    <x v="463"/>
    <x v="0"/>
    <n v="453036"/>
    <n v="42420"/>
    <x v="1"/>
    <x v="1"/>
    <x v="1"/>
    <n v="410616"/>
    <n v="967.97736916548797"/>
    <s v="Work in progress"/>
  </r>
  <r>
    <s v="P0999"/>
    <s v="Project-197"/>
    <x v="7"/>
    <x v="3"/>
    <x v="435"/>
    <x v="233"/>
    <x v="1"/>
    <n v="475966"/>
    <n v="310456"/>
    <x v="4"/>
    <x v="3"/>
    <x v="1"/>
    <n v="165510"/>
    <n v="53.311902491818486"/>
    <s v="Timeline extended"/>
  </r>
  <r>
    <s v="P1000"/>
    <s v="Project-949"/>
    <x v="1"/>
    <x v="5"/>
    <x v="455"/>
    <x v="33"/>
    <x v="0"/>
    <n v="420266"/>
    <n v="837827"/>
    <x v="0"/>
    <x v="0"/>
    <x v="1"/>
    <n v="-417561"/>
    <n v="-49.838570492476371"/>
    <s v="Work in progress"/>
  </r>
  <r>
    <s v="P1001"/>
    <s v="Project-897"/>
    <x v="7"/>
    <x v="6"/>
    <x v="56"/>
    <x v="347"/>
    <x v="2"/>
    <n v="152020"/>
    <n v="332445"/>
    <x v="3"/>
    <x v="1"/>
    <x v="1"/>
    <n v="-180425"/>
    <n v="-54.272135240415707"/>
    <s v="Project delivered successfully"/>
  </r>
  <r>
    <s v="P1002"/>
    <s v="Project-434"/>
    <x v="0"/>
    <x v="6"/>
    <x v="539"/>
    <x v="483"/>
    <x v="0"/>
    <n v="284618"/>
    <n v="76972"/>
    <x v="4"/>
    <x v="0"/>
    <x v="1"/>
    <n v="207646"/>
    <n v="269.7682274073689"/>
    <s v="Work in progress"/>
  </r>
  <r>
    <s v="P1003"/>
    <s v="Project-958"/>
    <x v="7"/>
    <x v="0"/>
    <x v="380"/>
    <x v="9"/>
    <x v="1"/>
    <n v="563463"/>
    <n v="1159429"/>
    <x v="3"/>
    <x v="3"/>
    <x v="0"/>
    <n v="-595966"/>
    <n v="-51.401681344868898"/>
    <s v="Timeline extended"/>
  </r>
  <r>
    <s v="P1004"/>
    <s v="Project-534"/>
    <x v="4"/>
    <x v="5"/>
    <x v="540"/>
    <x v="560"/>
    <x v="0"/>
    <n v="743150"/>
    <n v="674423"/>
    <x v="4"/>
    <x v="0"/>
    <x v="1"/>
    <n v="68727"/>
    <n v="10.19048875853878"/>
    <s v="Work in progress"/>
  </r>
  <r>
    <s v="P1005"/>
    <s v="Project-546"/>
    <x v="4"/>
    <x v="6"/>
    <x v="173"/>
    <x v="350"/>
    <x v="0"/>
    <n v="924837"/>
    <n v="112504"/>
    <x v="0"/>
    <x v="1"/>
    <x v="0"/>
    <n v="812333"/>
    <n v="722.04810495626828"/>
    <s v="Work in progress"/>
  </r>
  <r>
    <s v="P1006"/>
    <s v="Project-407"/>
    <x v="0"/>
    <x v="5"/>
    <x v="358"/>
    <x v="402"/>
    <x v="0"/>
    <n v="952562"/>
    <n v="839286"/>
    <x v="3"/>
    <x v="3"/>
    <x v="2"/>
    <n v="113276"/>
    <n v="13.496710298992239"/>
    <s v="Work in progress"/>
  </r>
  <r>
    <s v="P1007"/>
    <s v="Project-348"/>
    <x v="3"/>
    <x v="4"/>
    <x v="77"/>
    <x v="523"/>
    <x v="0"/>
    <n v="215493"/>
    <n v="1199949"/>
    <x v="1"/>
    <x v="2"/>
    <x v="1"/>
    <n v="-984456"/>
    <n v="-82.041486763187436"/>
    <s v="Work in progress"/>
  </r>
  <r>
    <s v="P1008"/>
    <s v="Project-265"/>
    <x v="7"/>
    <x v="7"/>
    <x v="541"/>
    <x v="435"/>
    <x v="0"/>
    <n v="904470"/>
    <n v="362924"/>
    <x v="4"/>
    <x v="1"/>
    <x v="2"/>
    <n v="541546"/>
    <n v="149.21746701788805"/>
    <s v="Work in progress"/>
  </r>
  <r>
    <s v="P1009"/>
    <s v="Project-580"/>
    <x v="3"/>
    <x v="3"/>
    <x v="281"/>
    <x v="561"/>
    <x v="1"/>
    <n v="823317"/>
    <n v="398602"/>
    <x v="4"/>
    <x v="1"/>
    <x v="0"/>
    <n v="424715"/>
    <n v="106.55114625616531"/>
    <s v="Timeline extended"/>
  </r>
  <r>
    <s v="P1010"/>
    <s v="Project-434"/>
    <x v="3"/>
    <x v="5"/>
    <x v="51"/>
    <x v="562"/>
    <x v="2"/>
    <n v="263273"/>
    <n v="539652"/>
    <x v="1"/>
    <x v="2"/>
    <x v="1"/>
    <n v="-276379"/>
    <n v="-51.214301068095736"/>
    <s v="Project delivered successfully"/>
  </r>
  <r>
    <s v="P1011"/>
    <s v="Project-641"/>
    <x v="6"/>
    <x v="2"/>
    <x v="542"/>
    <x v="563"/>
    <x v="2"/>
    <n v="636613"/>
    <n v="861022"/>
    <x v="0"/>
    <x v="3"/>
    <x v="2"/>
    <n v="-224409"/>
    <n v="-26.063097110178369"/>
    <s v="Project delivered successfully"/>
  </r>
  <r>
    <s v="P1012"/>
    <s v="Project-858"/>
    <x v="5"/>
    <x v="1"/>
    <x v="242"/>
    <x v="165"/>
    <x v="0"/>
    <n v="337744"/>
    <n v="626842"/>
    <x v="2"/>
    <x v="2"/>
    <x v="0"/>
    <n v="-289098"/>
    <n v="-46.119755855542543"/>
    <s v="Work in progress"/>
  </r>
  <r>
    <s v="P1013"/>
    <s v="Project-205"/>
    <x v="0"/>
    <x v="2"/>
    <x v="408"/>
    <x v="53"/>
    <x v="0"/>
    <n v="996898"/>
    <n v="433837"/>
    <x v="4"/>
    <x v="1"/>
    <x v="2"/>
    <n v="563061"/>
    <n v="129.78630222871723"/>
    <s v="Work in progress"/>
  </r>
  <r>
    <s v="P1014"/>
    <s v="Project-662"/>
    <x v="1"/>
    <x v="6"/>
    <x v="475"/>
    <x v="167"/>
    <x v="0"/>
    <n v="260694"/>
    <n v="147781"/>
    <x v="1"/>
    <x v="3"/>
    <x v="1"/>
    <n v="112913"/>
    <n v="76.405627245721703"/>
    <s v="Work in progress"/>
  </r>
  <r>
    <s v="P1015"/>
    <s v="Project-180"/>
    <x v="4"/>
    <x v="4"/>
    <x v="290"/>
    <x v="564"/>
    <x v="3"/>
    <n v="312051"/>
    <n v="555261"/>
    <x v="2"/>
    <x v="0"/>
    <x v="1"/>
    <n v="-243210"/>
    <n v="-43.801023302555016"/>
    <s v="Project cancelled"/>
  </r>
  <r>
    <s v="P1016"/>
    <s v="Project-232"/>
    <x v="4"/>
    <x v="4"/>
    <x v="44"/>
    <x v="565"/>
    <x v="1"/>
    <n v="479387"/>
    <n v="875218"/>
    <x v="4"/>
    <x v="1"/>
    <x v="1"/>
    <n v="-395831"/>
    <n v="-45.226560696877804"/>
    <s v="Timeline extended"/>
  </r>
  <r>
    <s v="P1017"/>
    <s v="Project-896"/>
    <x v="0"/>
    <x v="2"/>
    <x v="253"/>
    <x v="367"/>
    <x v="1"/>
    <n v="804899"/>
    <n v="1183495"/>
    <x v="3"/>
    <x v="0"/>
    <x v="0"/>
    <n v="-378596"/>
    <n v="-31.989657750983319"/>
    <s v="Timeline extended"/>
  </r>
  <r>
    <s v="P1018"/>
    <s v="Project-237"/>
    <x v="6"/>
    <x v="3"/>
    <x v="116"/>
    <x v="392"/>
    <x v="1"/>
    <n v="373670"/>
    <n v="1115673"/>
    <x v="1"/>
    <x v="2"/>
    <x v="2"/>
    <n v="-742003"/>
    <n v="-66.507211342391543"/>
    <s v="Timeline extended"/>
  </r>
  <r>
    <s v="P1019"/>
    <s v="Project-283"/>
    <x v="2"/>
    <x v="2"/>
    <x v="539"/>
    <x v="405"/>
    <x v="0"/>
    <n v="824808"/>
    <n v="151403"/>
    <x v="3"/>
    <x v="3"/>
    <x v="0"/>
    <n v="673405"/>
    <n v="444.77652358275594"/>
    <s v="Work in progress"/>
  </r>
  <r>
    <s v="P1020"/>
    <s v="Project-500"/>
    <x v="2"/>
    <x v="0"/>
    <x v="122"/>
    <x v="256"/>
    <x v="0"/>
    <n v="63149"/>
    <n v="579634"/>
    <x v="0"/>
    <x v="2"/>
    <x v="2"/>
    <n v="-516485"/>
    <n v="-89.105366489888453"/>
    <s v="Work in progress"/>
  </r>
  <r>
    <s v="P1021"/>
    <s v="Project-429"/>
    <x v="2"/>
    <x v="6"/>
    <x v="93"/>
    <x v="72"/>
    <x v="0"/>
    <n v="211466"/>
    <n v="659921"/>
    <x v="2"/>
    <x v="0"/>
    <x v="0"/>
    <n v="-448455"/>
    <n v="-67.955861383408006"/>
    <s v="Work in progress"/>
  </r>
  <r>
    <s v="P1022"/>
    <s v="Project-884"/>
    <x v="6"/>
    <x v="6"/>
    <x v="508"/>
    <x v="566"/>
    <x v="0"/>
    <n v="195468"/>
    <n v="1168993"/>
    <x v="1"/>
    <x v="1"/>
    <x v="1"/>
    <n v="-973525"/>
    <n v="-83.278941790070604"/>
    <s v="Work in progress"/>
  </r>
  <r>
    <s v="P1023"/>
    <s v="Project-607"/>
    <x v="1"/>
    <x v="2"/>
    <x v="514"/>
    <x v="553"/>
    <x v="0"/>
    <n v="466540"/>
    <n v="472369"/>
    <x v="4"/>
    <x v="3"/>
    <x v="2"/>
    <n v="-5829"/>
    <n v="-1.2339929165546426"/>
    <s v="Work in progress"/>
  </r>
  <r>
    <s v="P1024"/>
    <s v="Project-951"/>
    <x v="4"/>
    <x v="1"/>
    <x v="8"/>
    <x v="71"/>
    <x v="0"/>
    <n v="228270"/>
    <n v="1037886"/>
    <x v="4"/>
    <x v="2"/>
    <x v="2"/>
    <n v="-809616"/>
    <n v="-78.006255022227876"/>
    <s v="Work in progress"/>
  </r>
  <r>
    <s v="P1025"/>
    <s v="Project-168"/>
    <x v="0"/>
    <x v="1"/>
    <x v="27"/>
    <x v="237"/>
    <x v="2"/>
    <n v="162168"/>
    <n v="1074900"/>
    <x v="2"/>
    <x v="0"/>
    <x v="2"/>
    <n v="-912732"/>
    <n v="-84.913201228021208"/>
    <s v="Project delivered successfully"/>
  </r>
  <r>
    <s v="P1026"/>
    <s v="Project-645"/>
    <x v="6"/>
    <x v="6"/>
    <x v="479"/>
    <x v="306"/>
    <x v="1"/>
    <n v="557026"/>
    <n v="921579"/>
    <x v="3"/>
    <x v="0"/>
    <x v="0"/>
    <n v="-364553"/>
    <n v="-39.557433491865588"/>
    <s v="Timeline extended"/>
  </r>
  <r>
    <s v="P1027"/>
    <s v="Project-873"/>
    <x v="4"/>
    <x v="7"/>
    <x v="521"/>
    <x v="371"/>
    <x v="2"/>
    <n v="684101"/>
    <n v="873487"/>
    <x v="3"/>
    <x v="1"/>
    <x v="1"/>
    <n v="-189386"/>
    <n v="-21.681604877920336"/>
    <s v="Project delivered successfully"/>
  </r>
  <r>
    <s v="P1028"/>
    <s v="Project-152"/>
    <x v="3"/>
    <x v="1"/>
    <x v="328"/>
    <x v="293"/>
    <x v="1"/>
    <n v="403923"/>
    <n v="639122"/>
    <x v="1"/>
    <x v="0"/>
    <x v="2"/>
    <n v="-235199"/>
    <n v="-36.800329201623477"/>
    <s v="Timeline extended"/>
  </r>
  <r>
    <s v="P1029"/>
    <s v="Project-549"/>
    <x v="7"/>
    <x v="2"/>
    <x v="330"/>
    <x v="120"/>
    <x v="0"/>
    <n v="306960"/>
    <n v="969044"/>
    <x v="1"/>
    <x v="3"/>
    <x v="0"/>
    <n v="-662084"/>
    <n v="-68.323419782796236"/>
    <s v="Work in progress"/>
  </r>
  <r>
    <s v="P1030"/>
    <s v="Project-304"/>
    <x v="7"/>
    <x v="1"/>
    <x v="1"/>
    <x v="471"/>
    <x v="0"/>
    <n v="998520"/>
    <n v="782936"/>
    <x v="3"/>
    <x v="0"/>
    <x v="2"/>
    <n v="215584"/>
    <n v="27.535328558145238"/>
    <s v="Work in progress"/>
  </r>
  <r>
    <s v="P1031"/>
    <s v="Project-225"/>
    <x v="6"/>
    <x v="6"/>
    <x v="105"/>
    <x v="567"/>
    <x v="2"/>
    <n v="708554"/>
    <n v="76904"/>
    <x v="1"/>
    <x v="1"/>
    <x v="1"/>
    <n v="631650"/>
    <n v="821.34869447623021"/>
    <s v="Project delivered successfully"/>
  </r>
  <r>
    <s v="P1032"/>
    <s v="Project-846"/>
    <x v="4"/>
    <x v="3"/>
    <x v="193"/>
    <x v="44"/>
    <x v="0"/>
    <n v="344542"/>
    <n v="1130896"/>
    <x v="3"/>
    <x v="2"/>
    <x v="2"/>
    <n v="-786354"/>
    <n v="-69.533714859721854"/>
    <s v="Work in progress"/>
  </r>
  <r>
    <s v="P1033"/>
    <s v="Project-142"/>
    <x v="5"/>
    <x v="5"/>
    <x v="491"/>
    <x v="101"/>
    <x v="0"/>
    <n v="316933"/>
    <n v="1173917"/>
    <x v="2"/>
    <x v="3"/>
    <x v="1"/>
    <n v="-856984"/>
    <n v="-73.002094696643809"/>
    <s v="Work in progress"/>
  </r>
  <r>
    <s v="P1034"/>
    <s v="Project-851"/>
    <x v="1"/>
    <x v="1"/>
    <x v="143"/>
    <x v="449"/>
    <x v="0"/>
    <n v="528911"/>
    <n v="812884"/>
    <x v="1"/>
    <x v="2"/>
    <x v="0"/>
    <n v="-283973"/>
    <n v="-34.934012725062864"/>
    <s v="Work in progress"/>
  </r>
  <r>
    <s v="P1035"/>
    <s v="Project-982"/>
    <x v="2"/>
    <x v="0"/>
    <x v="167"/>
    <x v="449"/>
    <x v="0"/>
    <n v="377111"/>
    <n v="819031"/>
    <x v="3"/>
    <x v="2"/>
    <x v="0"/>
    <n v="-441920"/>
    <n v="-53.956443651095007"/>
    <s v="Work in progress"/>
  </r>
  <r>
    <s v="P1036"/>
    <s v="Project-210"/>
    <x v="1"/>
    <x v="3"/>
    <x v="107"/>
    <x v="38"/>
    <x v="0"/>
    <n v="814302"/>
    <n v="770079"/>
    <x v="1"/>
    <x v="0"/>
    <x v="1"/>
    <n v="44223"/>
    <n v="5.7426575714959114"/>
    <s v="Work in progress"/>
  </r>
  <r>
    <s v="P1037"/>
    <s v="Project-860"/>
    <x v="1"/>
    <x v="7"/>
    <x v="543"/>
    <x v="568"/>
    <x v="0"/>
    <n v="242206"/>
    <n v="741525"/>
    <x v="4"/>
    <x v="0"/>
    <x v="1"/>
    <n v="-499319"/>
    <n v="-67.336772192441259"/>
    <s v="Work in progress"/>
  </r>
  <r>
    <s v="P1038"/>
    <s v="Project-762"/>
    <x v="6"/>
    <x v="0"/>
    <x v="283"/>
    <x v="276"/>
    <x v="0"/>
    <n v="311041"/>
    <n v="554306"/>
    <x v="4"/>
    <x v="1"/>
    <x v="0"/>
    <n v="-243265"/>
    <n v="-43.886409311824153"/>
    <s v="Work in progress"/>
  </r>
  <r>
    <s v="P1039"/>
    <s v="Project-282"/>
    <x v="3"/>
    <x v="2"/>
    <x v="297"/>
    <x v="473"/>
    <x v="2"/>
    <n v="251958"/>
    <n v="161930"/>
    <x v="0"/>
    <x v="0"/>
    <x v="1"/>
    <n v="90028"/>
    <n v="55.596862841968751"/>
    <s v="Project delivered successfully"/>
  </r>
  <r>
    <s v="P1040"/>
    <s v="Project-947"/>
    <x v="1"/>
    <x v="5"/>
    <x v="544"/>
    <x v="39"/>
    <x v="0"/>
    <n v="410981"/>
    <n v="363060"/>
    <x v="3"/>
    <x v="0"/>
    <x v="1"/>
    <n v="47921"/>
    <n v="13.199195725224481"/>
    <s v="Work in progress"/>
  </r>
  <r>
    <s v="P1041"/>
    <s v="Project-194"/>
    <x v="7"/>
    <x v="2"/>
    <x v="545"/>
    <x v="6"/>
    <x v="0"/>
    <n v="206049"/>
    <n v="613058"/>
    <x v="0"/>
    <x v="2"/>
    <x v="2"/>
    <n v="-407009"/>
    <n v="-66.389966365335738"/>
    <s v="Work in progress"/>
  </r>
  <r>
    <s v="P1042"/>
    <s v="Project-473"/>
    <x v="3"/>
    <x v="5"/>
    <x v="313"/>
    <x v="158"/>
    <x v="0"/>
    <n v="151967"/>
    <n v="853919"/>
    <x v="3"/>
    <x v="3"/>
    <x v="0"/>
    <n v="-701952"/>
    <n v="-82.203581370129953"/>
    <s v="Work in progress"/>
  </r>
  <r>
    <s v="P1043"/>
    <s v="Project-619"/>
    <x v="0"/>
    <x v="5"/>
    <x v="412"/>
    <x v="523"/>
    <x v="0"/>
    <n v="443345"/>
    <n v="174015"/>
    <x v="1"/>
    <x v="0"/>
    <x v="0"/>
    <n v="269330"/>
    <n v="154.7740137344482"/>
    <s v="Work in progress"/>
  </r>
  <r>
    <s v="P1044"/>
    <s v="Project-459"/>
    <x v="1"/>
    <x v="2"/>
    <x v="166"/>
    <x v="556"/>
    <x v="2"/>
    <n v="371827"/>
    <n v="526383"/>
    <x v="3"/>
    <x v="3"/>
    <x v="1"/>
    <n v="-154556"/>
    <n v="-29.361890486584862"/>
    <s v="Project delivered successfully"/>
  </r>
  <r>
    <s v="P1045"/>
    <s v="Project-795"/>
    <x v="1"/>
    <x v="0"/>
    <x v="336"/>
    <x v="181"/>
    <x v="2"/>
    <n v="357475"/>
    <n v="132342"/>
    <x v="4"/>
    <x v="0"/>
    <x v="1"/>
    <n v="225133"/>
    <n v="170.11455169182875"/>
    <s v="Project delivered successfully"/>
  </r>
  <r>
    <s v="P1046"/>
    <s v="Project-380"/>
    <x v="0"/>
    <x v="0"/>
    <x v="183"/>
    <x v="31"/>
    <x v="2"/>
    <n v="298719"/>
    <n v="615745"/>
    <x v="1"/>
    <x v="0"/>
    <x v="1"/>
    <n v="-317026"/>
    <n v="-51.486573175584049"/>
    <s v="Project delivered successfully"/>
  </r>
  <r>
    <s v="P1047"/>
    <s v="Project-294"/>
    <x v="1"/>
    <x v="5"/>
    <x v="365"/>
    <x v="569"/>
    <x v="0"/>
    <n v="871058"/>
    <n v="827826"/>
    <x v="4"/>
    <x v="1"/>
    <x v="0"/>
    <n v="43232"/>
    <n v="5.2223534897430142"/>
    <s v="Work in progress"/>
  </r>
  <r>
    <s v="P1048"/>
    <s v="Project-963"/>
    <x v="0"/>
    <x v="0"/>
    <x v="160"/>
    <x v="171"/>
    <x v="2"/>
    <n v="491719"/>
    <n v="547912"/>
    <x v="1"/>
    <x v="0"/>
    <x v="2"/>
    <n v="-56193"/>
    <n v="-10.255844004146651"/>
    <s v="Project delivered successfully"/>
  </r>
  <r>
    <s v="P1049"/>
    <s v="Project-294"/>
    <x v="3"/>
    <x v="5"/>
    <x v="299"/>
    <x v="83"/>
    <x v="2"/>
    <n v="208621"/>
    <n v="416804"/>
    <x v="3"/>
    <x v="1"/>
    <x v="0"/>
    <n v="-208183"/>
    <n v="-49.947457318067968"/>
    <s v="Project delivered successfully"/>
  </r>
  <r>
    <s v="P1050"/>
    <s v="Project-766"/>
    <x v="7"/>
    <x v="6"/>
    <x v="546"/>
    <x v="472"/>
    <x v="0"/>
    <n v="586630"/>
    <n v="664887"/>
    <x v="3"/>
    <x v="2"/>
    <x v="2"/>
    <n v="-78257"/>
    <n v="-11.769969934740789"/>
    <s v="Work in progress"/>
  </r>
  <r>
    <s v="P1051"/>
    <s v="Project-192"/>
    <x v="0"/>
    <x v="5"/>
    <x v="323"/>
    <x v="570"/>
    <x v="0"/>
    <n v="872849"/>
    <n v="154221"/>
    <x v="4"/>
    <x v="3"/>
    <x v="1"/>
    <n v="718628"/>
    <n v="465.97285713359395"/>
    <s v="Work in progress"/>
  </r>
  <r>
    <s v="P1052"/>
    <s v="Project-771"/>
    <x v="5"/>
    <x v="6"/>
    <x v="547"/>
    <x v="318"/>
    <x v="0"/>
    <n v="781874"/>
    <n v="1155894"/>
    <x v="2"/>
    <x v="0"/>
    <x v="0"/>
    <n v="-374020"/>
    <n v="-32.357638330158302"/>
    <s v="Work in progress"/>
  </r>
  <r>
    <s v="P1053"/>
    <s v="Project-160"/>
    <x v="6"/>
    <x v="3"/>
    <x v="217"/>
    <x v="571"/>
    <x v="2"/>
    <n v="757609"/>
    <n v="1049530"/>
    <x v="3"/>
    <x v="1"/>
    <x v="2"/>
    <n v="-291921"/>
    <n v="-27.814450277743369"/>
    <s v="Project delivered successfully"/>
  </r>
  <r>
    <s v="P1054"/>
    <s v="Project-733"/>
    <x v="6"/>
    <x v="4"/>
    <x v="548"/>
    <x v="128"/>
    <x v="2"/>
    <n v="889096"/>
    <n v="1024670"/>
    <x v="2"/>
    <x v="2"/>
    <x v="0"/>
    <n v="-135574"/>
    <n v="-13.230991441146905"/>
    <s v="Project delivered successfully"/>
  </r>
  <r>
    <s v="P1055"/>
    <s v="Project-150"/>
    <x v="0"/>
    <x v="3"/>
    <x v="549"/>
    <x v="259"/>
    <x v="0"/>
    <n v="813076"/>
    <n v="344856"/>
    <x v="1"/>
    <x v="0"/>
    <x v="2"/>
    <n v="468220"/>
    <n v="135.77261233674344"/>
    <s v="Work in progress"/>
  </r>
  <r>
    <s v="P1056"/>
    <s v="Project-502"/>
    <x v="6"/>
    <x v="2"/>
    <x v="239"/>
    <x v="402"/>
    <x v="2"/>
    <n v="845265"/>
    <n v="815072"/>
    <x v="2"/>
    <x v="1"/>
    <x v="2"/>
    <n v="30193"/>
    <n v="3.7043353225236544"/>
    <s v="Project delivered successfully"/>
  </r>
  <r>
    <s v="P1057"/>
    <s v="Project-888"/>
    <x v="1"/>
    <x v="4"/>
    <x v="439"/>
    <x v="125"/>
    <x v="0"/>
    <n v="897090"/>
    <n v="544021"/>
    <x v="4"/>
    <x v="1"/>
    <x v="0"/>
    <n v="353069"/>
    <n v="64.899884379463288"/>
    <s v="Work in progress"/>
  </r>
  <r>
    <s v="P1058"/>
    <s v="Project-104"/>
    <x v="2"/>
    <x v="1"/>
    <x v="550"/>
    <x v="572"/>
    <x v="0"/>
    <n v="555655"/>
    <n v="864673"/>
    <x v="0"/>
    <x v="2"/>
    <x v="1"/>
    <n v="-309018"/>
    <n v="-35.738134531782535"/>
    <s v="Work in progress"/>
  </r>
  <r>
    <s v="P1059"/>
    <s v="Project-565"/>
    <x v="2"/>
    <x v="2"/>
    <x v="472"/>
    <x v="225"/>
    <x v="3"/>
    <n v="280099"/>
    <n v="577521"/>
    <x v="0"/>
    <x v="0"/>
    <x v="0"/>
    <n v="-297422"/>
    <n v="-51.499772302652204"/>
    <s v="Project cancelled"/>
  </r>
  <r>
    <s v="P1060"/>
    <s v="Project-703"/>
    <x v="6"/>
    <x v="7"/>
    <x v="551"/>
    <x v="105"/>
    <x v="3"/>
    <n v="996977"/>
    <n v="196083"/>
    <x v="4"/>
    <x v="0"/>
    <x v="1"/>
    <n v="800894"/>
    <n v="408.44642319833946"/>
    <s v="Project cancelled"/>
  </r>
  <r>
    <s v="P1061"/>
    <s v="Project-781"/>
    <x v="3"/>
    <x v="3"/>
    <x v="233"/>
    <x v="138"/>
    <x v="0"/>
    <n v="968241"/>
    <n v="824609"/>
    <x v="0"/>
    <x v="3"/>
    <x v="2"/>
    <n v="143632"/>
    <n v="17.418194562513868"/>
    <s v="Work in progress"/>
  </r>
  <r>
    <s v="P1062"/>
    <s v="Project-928"/>
    <x v="4"/>
    <x v="0"/>
    <x v="58"/>
    <x v="173"/>
    <x v="0"/>
    <n v="931397"/>
    <n v="553099"/>
    <x v="4"/>
    <x v="0"/>
    <x v="2"/>
    <n v="378298"/>
    <n v="68.396073758947324"/>
    <s v="Work in progress"/>
  </r>
  <r>
    <s v="P1063"/>
    <s v="Project-633"/>
    <x v="3"/>
    <x v="3"/>
    <x v="552"/>
    <x v="272"/>
    <x v="0"/>
    <n v="900486"/>
    <n v="668794"/>
    <x v="3"/>
    <x v="1"/>
    <x v="0"/>
    <n v="231692"/>
    <n v="34.643253378469304"/>
    <s v="Work in progress"/>
  </r>
  <r>
    <s v="P1064"/>
    <s v="Project-504"/>
    <x v="4"/>
    <x v="0"/>
    <x v="517"/>
    <x v="573"/>
    <x v="0"/>
    <n v="575587"/>
    <n v="789106"/>
    <x v="2"/>
    <x v="3"/>
    <x v="0"/>
    <n v="-213519"/>
    <n v="-27.058341971800999"/>
    <s v="Work in progress"/>
  </r>
  <r>
    <s v="P1065"/>
    <s v="Project-937"/>
    <x v="2"/>
    <x v="4"/>
    <x v="469"/>
    <x v="8"/>
    <x v="1"/>
    <n v="299240"/>
    <n v="615639"/>
    <x v="0"/>
    <x v="3"/>
    <x v="1"/>
    <n v="-316399"/>
    <n v="-51.39359267362854"/>
    <s v="Timeline extended"/>
  </r>
  <r>
    <s v="P1066"/>
    <s v="Project-612"/>
    <x v="2"/>
    <x v="7"/>
    <x v="553"/>
    <x v="223"/>
    <x v="3"/>
    <n v="378019"/>
    <n v="908340"/>
    <x v="3"/>
    <x v="0"/>
    <x v="1"/>
    <n v="-530321"/>
    <n v="-58.383534799744588"/>
    <s v="Project cancelled"/>
  </r>
  <r>
    <s v="P1067"/>
    <s v="Project-744"/>
    <x v="0"/>
    <x v="4"/>
    <x v="554"/>
    <x v="23"/>
    <x v="2"/>
    <n v="738280"/>
    <n v="606115"/>
    <x v="0"/>
    <x v="3"/>
    <x v="0"/>
    <n v="132165"/>
    <n v="21.805267977199048"/>
    <s v="Project delivered successfully"/>
  </r>
  <r>
    <s v="P1068"/>
    <s v="Project-332"/>
    <x v="7"/>
    <x v="7"/>
    <x v="517"/>
    <x v="574"/>
    <x v="0"/>
    <n v="498052"/>
    <n v="98772"/>
    <x v="1"/>
    <x v="1"/>
    <x v="1"/>
    <n v="399280"/>
    <n v="404.24411776616853"/>
    <s v="Work in progress"/>
  </r>
  <r>
    <s v="P1069"/>
    <s v="Project-623"/>
    <x v="5"/>
    <x v="3"/>
    <x v="495"/>
    <x v="407"/>
    <x v="2"/>
    <n v="223453"/>
    <n v="569899"/>
    <x v="4"/>
    <x v="1"/>
    <x v="1"/>
    <n v="-346446"/>
    <n v="-60.790771698143011"/>
    <s v="Project delivered successfully"/>
  </r>
  <r>
    <s v="P1070"/>
    <s v="Project-445"/>
    <x v="3"/>
    <x v="0"/>
    <x v="74"/>
    <x v="74"/>
    <x v="0"/>
    <n v="555275"/>
    <n v="183354"/>
    <x v="4"/>
    <x v="2"/>
    <x v="0"/>
    <n v="371921"/>
    <n v="202.84313404670743"/>
    <s v="Work in progress"/>
  </r>
  <r>
    <s v="P1071"/>
    <s v="Project-145"/>
    <x v="1"/>
    <x v="4"/>
    <x v="491"/>
    <x v="110"/>
    <x v="1"/>
    <n v="426430"/>
    <n v="857435"/>
    <x v="3"/>
    <x v="1"/>
    <x v="0"/>
    <n v="-431005"/>
    <n v="-50.266784071095771"/>
    <s v="Timeline extended"/>
  </r>
  <r>
    <s v="P1072"/>
    <s v="Project-645"/>
    <x v="4"/>
    <x v="7"/>
    <x v="333"/>
    <x v="208"/>
    <x v="1"/>
    <n v="935162"/>
    <n v="766725"/>
    <x v="1"/>
    <x v="2"/>
    <x v="2"/>
    <n v="168437"/>
    <n v="21.968371971697806"/>
    <s v="Timeline extended"/>
  </r>
  <r>
    <s v="P1073"/>
    <s v="Project-177"/>
    <x v="6"/>
    <x v="5"/>
    <x v="228"/>
    <x v="514"/>
    <x v="2"/>
    <n v="368442"/>
    <n v="172412"/>
    <x v="2"/>
    <x v="3"/>
    <x v="2"/>
    <n v="196030"/>
    <n v="113.69858246525763"/>
    <s v="Project delivered successfully"/>
  </r>
  <r>
    <s v="P1074"/>
    <s v="Project-829"/>
    <x v="1"/>
    <x v="2"/>
    <x v="555"/>
    <x v="161"/>
    <x v="0"/>
    <n v="992013"/>
    <n v="388773"/>
    <x v="1"/>
    <x v="2"/>
    <x v="0"/>
    <n v="603240"/>
    <n v="155.16509634156691"/>
    <s v="Work in progress"/>
  </r>
  <r>
    <s v="P1075"/>
    <s v="Project-912"/>
    <x v="7"/>
    <x v="2"/>
    <x v="396"/>
    <x v="218"/>
    <x v="0"/>
    <n v="831798"/>
    <n v="1161611"/>
    <x v="1"/>
    <x v="0"/>
    <x v="2"/>
    <n v="-329813"/>
    <n v="-28.392723553754223"/>
    <s v="Work in progress"/>
  </r>
  <r>
    <s v="P1076"/>
    <s v="Project-172"/>
    <x v="4"/>
    <x v="4"/>
    <x v="556"/>
    <x v="575"/>
    <x v="0"/>
    <n v="695323"/>
    <n v="834597"/>
    <x v="2"/>
    <x v="2"/>
    <x v="1"/>
    <n v="-139274"/>
    <n v="-16.687574961328639"/>
    <s v="Work in progress"/>
  </r>
  <r>
    <s v="P1077"/>
    <s v="Project-893"/>
    <x v="3"/>
    <x v="0"/>
    <x v="224"/>
    <x v="309"/>
    <x v="1"/>
    <n v="223167"/>
    <n v="1133091"/>
    <x v="2"/>
    <x v="0"/>
    <x v="0"/>
    <n v="-909924"/>
    <n v="-80.304582774022563"/>
    <s v="Timeline extended"/>
  </r>
  <r>
    <s v="P1078"/>
    <s v="Project-348"/>
    <x v="0"/>
    <x v="5"/>
    <x v="547"/>
    <x v="273"/>
    <x v="0"/>
    <n v="494740"/>
    <n v="139446"/>
    <x v="1"/>
    <x v="3"/>
    <x v="2"/>
    <n v="355294"/>
    <n v="254.78966768498199"/>
    <s v="Work in progress"/>
  </r>
  <r>
    <s v="P1079"/>
    <s v="Project-146"/>
    <x v="1"/>
    <x v="4"/>
    <x v="393"/>
    <x v="121"/>
    <x v="0"/>
    <n v="566030"/>
    <n v="89789"/>
    <x v="0"/>
    <x v="2"/>
    <x v="0"/>
    <n v="476241"/>
    <n v="530.40016037599264"/>
    <s v="Work in progress"/>
  </r>
  <r>
    <s v="P1080"/>
    <s v="Project-220"/>
    <x v="7"/>
    <x v="3"/>
    <x v="479"/>
    <x v="300"/>
    <x v="0"/>
    <n v="421969"/>
    <n v="737262"/>
    <x v="0"/>
    <x v="1"/>
    <x v="2"/>
    <n v="-315293"/>
    <n v="-42.76539412040767"/>
    <s v="Work in progress"/>
  </r>
  <r>
    <s v="P1081"/>
    <s v="Project-313"/>
    <x v="3"/>
    <x v="7"/>
    <x v="31"/>
    <x v="576"/>
    <x v="1"/>
    <n v="165637"/>
    <n v="62191"/>
    <x v="1"/>
    <x v="0"/>
    <x v="0"/>
    <n v="103446"/>
    <n v="166.33596501101445"/>
    <s v="Timeline extended"/>
  </r>
  <r>
    <s v="P1082"/>
    <s v="Project-338"/>
    <x v="2"/>
    <x v="6"/>
    <x v="242"/>
    <x v="172"/>
    <x v="0"/>
    <n v="311046"/>
    <n v="613776"/>
    <x v="0"/>
    <x v="3"/>
    <x v="1"/>
    <n v="-302730"/>
    <n v="-49.322554156565261"/>
    <s v="Work in progress"/>
  </r>
  <r>
    <s v="P1083"/>
    <s v="Project-155"/>
    <x v="2"/>
    <x v="3"/>
    <x v="557"/>
    <x v="480"/>
    <x v="1"/>
    <n v="572222"/>
    <n v="734960"/>
    <x v="2"/>
    <x v="1"/>
    <x v="2"/>
    <n v="-162738"/>
    <n v="-22.142429519973877"/>
    <s v="Timeline extended"/>
  </r>
  <r>
    <s v="P1084"/>
    <s v="Project-449"/>
    <x v="3"/>
    <x v="2"/>
    <x v="52"/>
    <x v="177"/>
    <x v="1"/>
    <n v="909050"/>
    <n v="903889"/>
    <x v="2"/>
    <x v="0"/>
    <x v="0"/>
    <n v="5161"/>
    <n v="0.57097718857072055"/>
    <s v="Timeline extended"/>
  </r>
  <r>
    <s v="P1085"/>
    <s v="Project-206"/>
    <x v="3"/>
    <x v="7"/>
    <x v="146"/>
    <x v="134"/>
    <x v="1"/>
    <n v="75532"/>
    <n v="918908"/>
    <x v="0"/>
    <x v="3"/>
    <x v="1"/>
    <n v="-843376"/>
    <n v="-91.780243506422849"/>
    <s v="Timeline extended"/>
  </r>
  <r>
    <s v="P1086"/>
    <s v="Project-930"/>
    <x v="3"/>
    <x v="4"/>
    <x v="556"/>
    <x v="547"/>
    <x v="0"/>
    <n v="158197"/>
    <n v="534703"/>
    <x v="2"/>
    <x v="3"/>
    <x v="2"/>
    <n v="-376506"/>
    <n v="-70.414042935985023"/>
    <s v="Work in progress"/>
  </r>
  <r>
    <s v="P1087"/>
    <s v="Project-147"/>
    <x v="4"/>
    <x v="3"/>
    <x v="558"/>
    <x v="335"/>
    <x v="0"/>
    <n v="180860"/>
    <n v="960340"/>
    <x v="4"/>
    <x v="1"/>
    <x v="2"/>
    <n v="-779480"/>
    <n v="-81.167086656809047"/>
    <s v="Work in progress"/>
  </r>
  <r>
    <s v="P1088"/>
    <s v="Project-672"/>
    <x v="3"/>
    <x v="1"/>
    <x v="190"/>
    <x v="577"/>
    <x v="0"/>
    <n v="110285"/>
    <n v="568028"/>
    <x v="2"/>
    <x v="3"/>
    <x v="0"/>
    <n v="-457743"/>
    <n v="-80.584583858542175"/>
    <s v="Work in progress"/>
  </r>
  <r>
    <s v="P1089"/>
    <s v="Project-436"/>
    <x v="1"/>
    <x v="6"/>
    <x v="487"/>
    <x v="4"/>
    <x v="0"/>
    <n v="855298"/>
    <n v="241965"/>
    <x v="1"/>
    <x v="2"/>
    <x v="1"/>
    <n v="613333"/>
    <n v="253.48004876738369"/>
    <s v="Work in progress"/>
  </r>
  <r>
    <s v="P1090"/>
    <s v="Project-125"/>
    <x v="7"/>
    <x v="0"/>
    <x v="441"/>
    <x v="430"/>
    <x v="0"/>
    <n v="712953"/>
    <n v="1192493"/>
    <x v="3"/>
    <x v="3"/>
    <x v="0"/>
    <n v="-479540"/>
    <n v="-40.213233956090313"/>
    <s v="Work in progress"/>
  </r>
  <r>
    <s v="P1091"/>
    <s v="Project-903"/>
    <x v="4"/>
    <x v="5"/>
    <x v="72"/>
    <x v="242"/>
    <x v="2"/>
    <n v="321639"/>
    <n v="977759"/>
    <x v="0"/>
    <x v="0"/>
    <x v="2"/>
    <n v="-656120"/>
    <n v="-67.104470529036291"/>
    <s v="Project delivered successfully"/>
  </r>
  <r>
    <s v="P1092"/>
    <s v="Project-356"/>
    <x v="3"/>
    <x v="5"/>
    <x v="259"/>
    <x v="563"/>
    <x v="0"/>
    <n v="296130"/>
    <n v="579509"/>
    <x v="0"/>
    <x v="0"/>
    <x v="0"/>
    <n v="-283379"/>
    <n v="-48.899844523553561"/>
    <s v="Work in progress"/>
  </r>
  <r>
    <s v="P1093"/>
    <s v="Project-107"/>
    <x v="5"/>
    <x v="0"/>
    <x v="402"/>
    <x v="383"/>
    <x v="1"/>
    <n v="319981"/>
    <n v="93265"/>
    <x v="2"/>
    <x v="0"/>
    <x v="0"/>
    <n v="226716"/>
    <n v="243.08797512464483"/>
    <s v="Timeline extended"/>
  </r>
  <r>
    <s v="P1094"/>
    <s v="Project-724"/>
    <x v="6"/>
    <x v="1"/>
    <x v="176"/>
    <x v="578"/>
    <x v="0"/>
    <n v="782068"/>
    <n v="555007"/>
    <x v="2"/>
    <x v="2"/>
    <x v="1"/>
    <n v="227061"/>
    <n v="40.911375892556315"/>
    <s v="Work in progress"/>
  </r>
  <r>
    <s v="P1095"/>
    <s v="Project-966"/>
    <x v="5"/>
    <x v="2"/>
    <x v="559"/>
    <x v="411"/>
    <x v="2"/>
    <n v="986184"/>
    <n v="244514"/>
    <x v="3"/>
    <x v="1"/>
    <x v="1"/>
    <n v="741670"/>
    <n v="303.32414503872991"/>
    <s v="Project delivered successfully"/>
  </r>
  <r>
    <s v="P1096"/>
    <s v="Project-352"/>
    <x v="7"/>
    <x v="7"/>
    <x v="560"/>
    <x v="172"/>
    <x v="2"/>
    <n v="564938"/>
    <n v="162141"/>
    <x v="3"/>
    <x v="2"/>
    <x v="2"/>
    <n v="402797"/>
    <n v="248.42390265262949"/>
    <s v="Project delivered successfully"/>
  </r>
  <r>
    <s v="P1097"/>
    <s v="Project-791"/>
    <x v="2"/>
    <x v="0"/>
    <x v="39"/>
    <x v="386"/>
    <x v="2"/>
    <n v="308750"/>
    <n v="609002"/>
    <x v="1"/>
    <x v="2"/>
    <x v="1"/>
    <n v="-300252"/>
    <n v="-49.30230114186817"/>
    <s v="Project delivered successfully"/>
  </r>
  <r>
    <s v="P1098"/>
    <s v="Project-818"/>
    <x v="0"/>
    <x v="1"/>
    <x v="60"/>
    <x v="201"/>
    <x v="1"/>
    <n v="565046"/>
    <n v="1151861"/>
    <x v="4"/>
    <x v="2"/>
    <x v="0"/>
    <n v="-586815"/>
    <n v="-50.944949086738767"/>
    <s v="Timeline extended"/>
  </r>
  <r>
    <s v="P1099"/>
    <s v="Project-402"/>
    <x v="0"/>
    <x v="4"/>
    <x v="81"/>
    <x v="518"/>
    <x v="2"/>
    <n v="342490"/>
    <n v="305079"/>
    <x v="1"/>
    <x v="3"/>
    <x v="2"/>
    <n v="37411"/>
    <n v="12.262725392439336"/>
    <s v="Project delivered successfully"/>
  </r>
  <r>
    <s v="P1100"/>
    <s v="Project-738"/>
    <x v="6"/>
    <x v="6"/>
    <x v="450"/>
    <x v="328"/>
    <x v="1"/>
    <n v="158621"/>
    <n v="935794"/>
    <x v="0"/>
    <x v="1"/>
    <x v="1"/>
    <n v="-777173"/>
    <n v="-83.049581424971734"/>
    <s v="Timeline extended"/>
  </r>
  <r>
    <s v="P1101"/>
    <s v="Project-155"/>
    <x v="2"/>
    <x v="5"/>
    <x v="241"/>
    <x v="579"/>
    <x v="0"/>
    <n v="335556"/>
    <n v="598323"/>
    <x v="2"/>
    <x v="3"/>
    <x v="0"/>
    <n v="-262767"/>
    <n v="-43.917248710144854"/>
    <s v="Work in progress"/>
  </r>
  <r>
    <s v="P1102"/>
    <s v="Project-825"/>
    <x v="4"/>
    <x v="6"/>
    <x v="2"/>
    <x v="580"/>
    <x v="0"/>
    <n v="531615"/>
    <n v="418831"/>
    <x v="1"/>
    <x v="2"/>
    <x v="0"/>
    <n v="112784"/>
    <n v="26.928283723029097"/>
    <s v="Work in progress"/>
  </r>
  <r>
    <s v="P1103"/>
    <s v="Project-625"/>
    <x v="4"/>
    <x v="1"/>
    <x v="496"/>
    <x v="281"/>
    <x v="0"/>
    <n v="168833"/>
    <n v="451153"/>
    <x v="2"/>
    <x v="0"/>
    <x v="2"/>
    <n v="-282320"/>
    <n v="-62.577440469197811"/>
    <s v="Work in progress"/>
  </r>
  <r>
    <s v="P1104"/>
    <s v="Project-573"/>
    <x v="4"/>
    <x v="6"/>
    <x v="201"/>
    <x v="575"/>
    <x v="0"/>
    <n v="474020"/>
    <n v="310684"/>
    <x v="2"/>
    <x v="2"/>
    <x v="2"/>
    <n v="163336"/>
    <n v="52.57303240591726"/>
    <s v="Work in progress"/>
  </r>
  <r>
    <s v="P1105"/>
    <s v="Project-127"/>
    <x v="0"/>
    <x v="2"/>
    <x v="194"/>
    <x v="278"/>
    <x v="0"/>
    <n v="115206"/>
    <n v="865134"/>
    <x v="1"/>
    <x v="1"/>
    <x v="1"/>
    <n v="-749928"/>
    <n v="-86.683450193842802"/>
    <s v="Work in progress"/>
  </r>
  <r>
    <s v="P1106"/>
    <s v="Project-177"/>
    <x v="5"/>
    <x v="2"/>
    <x v="438"/>
    <x v="397"/>
    <x v="0"/>
    <n v="60934"/>
    <n v="1156859"/>
    <x v="1"/>
    <x v="0"/>
    <x v="1"/>
    <n v="-1095925"/>
    <n v="-94.73280667739111"/>
    <s v="Work in progress"/>
  </r>
  <r>
    <s v="P1107"/>
    <s v="Project-315"/>
    <x v="0"/>
    <x v="3"/>
    <x v="218"/>
    <x v="581"/>
    <x v="0"/>
    <n v="342867"/>
    <n v="761401"/>
    <x v="3"/>
    <x v="1"/>
    <x v="1"/>
    <n v="-418534"/>
    <n v="-54.968932270905867"/>
    <s v="Work in progress"/>
  </r>
  <r>
    <s v="P1108"/>
    <s v="Project-485"/>
    <x v="1"/>
    <x v="0"/>
    <x v="320"/>
    <x v="37"/>
    <x v="0"/>
    <n v="964400"/>
    <n v="984411"/>
    <x v="4"/>
    <x v="2"/>
    <x v="1"/>
    <n v="-20011"/>
    <n v="-2.0327891500602902"/>
    <s v="Work in progress"/>
  </r>
  <r>
    <s v="P1109"/>
    <s v="Project-464"/>
    <x v="3"/>
    <x v="3"/>
    <x v="310"/>
    <x v="112"/>
    <x v="0"/>
    <n v="463621"/>
    <n v="176293"/>
    <x v="3"/>
    <x v="1"/>
    <x v="2"/>
    <n v="287328"/>
    <n v="162.98321544247361"/>
    <s v="Work in progress"/>
  </r>
  <r>
    <s v="P1110"/>
    <s v="Project-765"/>
    <x v="4"/>
    <x v="6"/>
    <x v="428"/>
    <x v="523"/>
    <x v="1"/>
    <n v="724108"/>
    <n v="561375"/>
    <x v="4"/>
    <x v="3"/>
    <x v="0"/>
    <n v="162733"/>
    <n v="28.988287686484078"/>
    <s v="Timeline extended"/>
  </r>
  <r>
    <s v="P1111"/>
    <s v="Project-625"/>
    <x v="5"/>
    <x v="5"/>
    <x v="511"/>
    <x v="440"/>
    <x v="0"/>
    <n v="776126"/>
    <n v="456616"/>
    <x v="1"/>
    <x v="0"/>
    <x v="0"/>
    <n v="319510"/>
    <n v="69.97345690908773"/>
    <s v="Work in progress"/>
  </r>
  <r>
    <s v="P1112"/>
    <s v="Project-798"/>
    <x v="7"/>
    <x v="1"/>
    <x v="33"/>
    <x v="510"/>
    <x v="2"/>
    <n v="751773"/>
    <n v="145310"/>
    <x v="4"/>
    <x v="1"/>
    <x v="1"/>
    <n v="606463"/>
    <n v="417.35806207418625"/>
    <s v="Project delivered successfully"/>
  </r>
  <r>
    <s v="P1113"/>
    <s v="Project-411"/>
    <x v="6"/>
    <x v="7"/>
    <x v="121"/>
    <x v="20"/>
    <x v="0"/>
    <n v="989858"/>
    <n v="177816"/>
    <x v="0"/>
    <x v="0"/>
    <x v="2"/>
    <n v="812042"/>
    <n v="456.67543978044722"/>
    <s v="Work in progress"/>
  </r>
  <r>
    <s v="P1114"/>
    <s v="Project-982"/>
    <x v="7"/>
    <x v="6"/>
    <x v="561"/>
    <x v="582"/>
    <x v="1"/>
    <n v="958420"/>
    <n v="499311"/>
    <x v="3"/>
    <x v="0"/>
    <x v="1"/>
    <n v="459109"/>
    <n v="91.948505039945033"/>
    <s v="Timeline extended"/>
  </r>
  <r>
    <s v="P1115"/>
    <s v="Project-106"/>
    <x v="3"/>
    <x v="7"/>
    <x v="295"/>
    <x v="80"/>
    <x v="1"/>
    <n v="531891"/>
    <n v="216589"/>
    <x v="3"/>
    <x v="2"/>
    <x v="1"/>
    <n v="315302"/>
    <n v="145.5761834626874"/>
    <s v="Timeline extended"/>
  </r>
  <r>
    <s v="P1116"/>
    <s v="Project-102"/>
    <x v="5"/>
    <x v="2"/>
    <x v="389"/>
    <x v="216"/>
    <x v="2"/>
    <n v="291630"/>
    <n v="128231"/>
    <x v="3"/>
    <x v="2"/>
    <x v="2"/>
    <n v="163399"/>
    <n v="127.42550553298344"/>
    <s v="Project delivered successfully"/>
  </r>
  <r>
    <s v="P1117"/>
    <s v="Project-722"/>
    <x v="0"/>
    <x v="7"/>
    <x v="216"/>
    <x v="583"/>
    <x v="2"/>
    <n v="984892"/>
    <n v="734225"/>
    <x v="2"/>
    <x v="0"/>
    <x v="0"/>
    <n v="250667"/>
    <n v="34.140352071912559"/>
    <s v="Project delivered successfully"/>
  </r>
  <r>
    <s v="P1118"/>
    <s v="Project-849"/>
    <x v="0"/>
    <x v="7"/>
    <x v="425"/>
    <x v="584"/>
    <x v="0"/>
    <n v="548577"/>
    <n v="497153"/>
    <x v="2"/>
    <x v="1"/>
    <x v="0"/>
    <n v="51424"/>
    <n v="10.343697010779378"/>
    <s v="Work in progress"/>
  </r>
  <r>
    <s v="P1119"/>
    <s v="Project-462"/>
    <x v="1"/>
    <x v="5"/>
    <x v="367"/>
    <x v="161"/>
    <x v="3"/>
    <n v="610811"/>
    <n v="762555"/>
    <x v="1"/>
    <x v="0"/>
    <x v="1"/>
    <n v="-151744"/>
    <n v="-19.899417091226208"/>
    <s v="Project cancelled"/>
  </r>
  <r>
    <s v="P1120"/>
    <s v="Project-850"/>
    <x v="1"/>
    <x v="7"/>
    <x v="411"/>
    <x v="41"/>
    <x v="1"/>
    <n v="937582"/>
    <n v="530642"/>
    <x v="1"/>
    <x v="2"/>
    <x v="2"/>
    <n v="406940"/>
    <n v="76.688238021114046"/>
    <s v="Timeline extended"/>
  </r>
  <r>
    <s v="P1121"/>
    <s v="Project-607"/>
    <x v="0"/>
    <x v="6"/>
    <x v="274"/>
    <x v="393"/>
    <x v="1"/>
    <n v="433094"/>
    <n v="568182"/>
    <x v="2"/>
    <x v="1"/>
    <x v="0"/>
    <n v="-135088"/>
    <n v="-23.775480391846273"/>
    <s v="Timeline extended"/>
  </r>
  <r>
    <s v="P1122"/>
    <s v="Project-373"/>
    <x v="7"/>
    <x v="1"/>
    <x v="562"/>
    <x v="585"/>
    <x v="2"/>
    <n v="216804"/>
    <n v="583560"/>
    <x v="3"/>
    <x v="0"/>
    <x v="0"/>
    <n v="-366756"/>
    <n v="-62.848036191651246"/>
    <s v="Project delivered successfully"/>
  </r>
  <r>
    <s v="P1123"/>
    <s v="Project-605"/>
    <x v="6"/>
    <x v="7"/>
    <x v="563"/>
    <x v="214"/>
    <x v="0"/>
    <n v="615934"/>
    <n v="251120"/>
    <x v="2"/>
    <x v="2"/>
    <x v="2"/>
    <n v="364814"/>
    <n v="145.27476903472441"/>
    <s v="Work in progress"/>
  </r>
  <r>
    <s v="P1124"/>
    <s v="Project-905"/>
    <x v="4"/>
    <x v="4"/>
    <x v="159"/>
    <x v="439"/>
    <x v="1"/>
    <n v="726381"/>
    <n v="1112221"/>
    <x v="4"/>
    <x v="0"/>
    <x v="2"/>
    <n v="-385840"/>
    <n v="-34.690947212829101"/>
    <s v="Timeline extended"/>
  </r>
  <r>
    <s v="P1125"/>
    <s v="Project-838"/>
    <x v="7"/>
    <x v="7"/>
    <x v="396"/>
    <x v="586"/>
    <x v="0"/>
    <n v="274310"/>
    <n v="51179"/>
    <x v="3"/>
    <x v="0"/>
    <x v="0"/>
    <n v="223131"/>
    <n v="435.98155493464111"/>
    <s v="Work in progress"/>
  </r>
  <r>
    <s v="P1126"/>
    <s v="Project-982"/>
    <x v="6"/>
    <x v="7"/>
    <x v="407"/>
    <x v="470"/>
    <x v="2"/>
    <n v="292024"/>
    <n v="564979"/>
    <x v="2"/>
    <x v="0"/>
    <x v="1"/>
    <n v="-272955"/>
    <n v="-48.312415151713608"/>
    <s v="Project delivered successfully"/>
  </r>
  <r>
    <s v="P1127"/>
    <s v="Project-114"/>
    <x v="1"/>
    <x v="3"/>
    <x v="282"/>
    <x v="587"/>
    <x v="0"/>
    <n v="307476"/>
    <n v="683724"/>
    <x v="1"/>
    <x v="1"/>
    <x v="1"/>
    <n v="-376248"/>
    <n v="-55.029222317777347"/>
    <s v="Work in progress"/>
  </r>
  <r>
    <s v="P1128"/>
    <s v="Project-291"/>
    <x v="3"/>
    <x v="1"/>
    <x v="316"/>
    <x v="157"/>
    <x v="1"/>
    <n v="889208"/>
    <n v="337455"/>
    <x v="2"/>
    <x v="2"/>
    <x v="0"/>
    <n v="551753"/>
    <n v="163.50417092649388"/>
    <s v="Timeline extended"/>
  </r>
  <r>
    <s v="P1129"/>
    <s v="Project-730"/>
    <x v="6"/>
    <x v="6"/>
    <x v="209"/>
    <x v="56"/>
    <x v="0"/>
    <n v="331260"/>
    <n v="841399"/>
    <x v="0"/>
    <x v="2"/>
    <x v="1"/>
    <n v="-510139"/>
    <n v="-60.629855752146135"/>
    <s v="Work in progress"/>
  </r>
  <r>
    <s v="P1130"/>
    <s v="Project-584"/>
    <x v="0"/>
    <x v="2"/>
    <x v="501"/>
    <x v="466"/>
    <x v="0"/>
    <n v="162858"/>
    <n v="582766"/>
    <x v="2"/>
    <x v="3"/>
    <x v="1"/>
    <n v="-419908"/>
    <n v="-72.054306531266405"/>
    <s v="Work in progress"/>
  </r>
  <r>
    <s v="P1131"/>
    <s v="Project-127"/>
    <x v="1"/>
    <x v="3"/>
    <x v="564"/>
    <x v="91"/>
    <x v="2"/>
    <n v="793631"/>
    <n v="1018128"/>
    <x v="3"/>
    <x v="0"/>
    <x v="2"/>
    <n v="-224497"/>
    <n v="-22.049977998837083"/>
    <s v="Project delivered successfully"/>
  </r>
  <r>
    <s v="P1132"/>
    <s v="Project-813"/>
    <x v="1"/>
    <x v="6"/>
    <x v="123"/>
    <x v="200"/>
    <x v="2"/>
    <n v="543213"/>
    <n v="332476"/>
    <x v="2"/>
    <x v="0"/>
    <x v="2"/>
    <n v="210737"/>
    <n v="63.384123966842722"/>
    <s v="Project delivered successfully"/>
  </r>
  <r>
    <s v="P1133"/>
    <s v="Project-138"/>
    <x v="4"/>
    <x v="0"/>
    <x v="160"/>
    <x v="531"/>
    <x v="2"/>
    <n v="126620"/>
    <n v="954570"/>
    <x v="1"/>
    <x v="3"/>
    <x v="2"/>
    <n v="-827950"/>
    <n v="-86.735388709052245"/>
    <s v="Project delivered successfully"/>
  </r>
  <r>
    <s v="P1134"/>
    <s v="Project-372"/>
    <x v="0"/>
    <x v="1"/>
    <x v="260"/>
    <x v="66"/>
    <x v="0"/>
    <n v="471972"/>
    <n v="75900"/>
    <x v="4"/>
    <x v="0"/>
    <x v="1"/>
    <n v="396072"/>
    <n v="521.83399209486163"/>
    <s v="Work in progress"/>
  </r>
  <r>
    <s v="P1135"/>
    <s v="Project-330"/>
    <x v="4"/>
    <x v="4"/>
    <x v="89"/>
    <x v="588"/>
    <x v="0"/>
    <n v="132604"/>
    <n v="251141"/>
    <x v="0"/>
    <x v="1"/>
    <x v="2"/>
    <n v="-118537"/>
    <n v="-47.199382020458621"/>
    <s v="Work in progress"/>
  </r>
  <r>
    <s v="P1136"/>
    <s v="Project-185"/>
    <x v="0"/>
    <x v="1"/>
    <x v="565"/>
    <x v="505"/>
    <x v="2"/>
    <n v="668740"/>
    <n v="156861"/>
    <x v="3"/>
    <x v="3"/>
    <x v="2"/>
    <n v="511879"/>
    <n v="326.32649288223331"/>
    <s v="Project delivered successfully"/>
  </r>
  <r>
    <s v="P1137"/>
    <s v="Project-573"/>
    <x v="4"/>
    <x v="0"/>
    <x v="418"/>
    <x v="589"/>
    <x v="3"/>
    <n v="970423"/>
    <n v="595386"/>
    <x v="1"/>
    <x v="2"/>
    <x v="0"/>
    <n v="375037"/>
    <n v="62.990564104631289"/>
    <s v="Project cancelled"/>
  </r>
  <r>
    <s v="P1138"/>
    <s v="Project-225"/>
    <x v="6"/>
    <x v="0"/>
    <x v="559"/>
    <x v="56"/>
    <x v="1"/>
    <n v="859982"/>
    <n v="562582"/>
    <x v="0"/>
    <x v="0"/>
    <x v="2"/>
    <n v="297400"/>
    <n v="52.86340480143339"/>
    <s v="Timeline extended"/>
  </r>
  <r>
    <s v="P1139"/>
    <s v="Project-911"/>
    <x v="7"/>
    <x v="0"/>
    <x v="366"/>
    <x v="357"/>
    <x v="0"/>
    <n v="217596"/>
    <n v="747940"/>
    <x v="2"/>
    <x v="2"/>
    <x v="0"/>
    <n v="-530344"/>
    <n v="-70.90729202877236"/>
    <s v="Work in progress"/>
  </r>
  <r>
    <s v="P1140"/>
    <s v="Project-636"/>
    <x v="3"/>
    <x v="5"/>
    <x v="203"/>
    <x v="374"/>
    <x v="1"/>
    <n v="497822"/>
    <n v="199173"/>
    <x v="0"/>
    <x v="0"/>
    <x v="1"/>
    <n v="298649"/>
    <n v="149.94452059265063"/>
    <s v="Timeline extended"/>
  </r>
  <r>
    <s v="P1141"/>
    <s v="Project-244"/>
    <x v="3"/>
    <x v="2"/>
    <x v="412"/>
    <x v="173"/>
    <x v="0"/>
    <n v="774179"/>
    <n v="857058"/>
    <x v="4"/>
    <x v="3"/>
    <x v="2"/>
    <n v="-82879"/>
    <n v="-9.6701740138940426"/>
    <s v="Work in progress"/>
  </r>
  <r>
    <s v="P1142"/>
    <s v="Project-624"/>
    <x v="0"/>
    <x v="7"/>
    <x v="69"/>
    <x v="398"/>
    <x v="0"/>
    <n v="644515"/>
    <n v="574991"/>
    <x v="0"/>
    <x v="2"/>
    <x v="0"/>
    <n v="69524"/>
    <n v="12.091319690221239"/>
    <s v="Work in progress"/>
  </r>
  <r>
    <s v="P1143"/>
    <s v="Project-311"/>
    <x v="5"/>
    <x v="1"/>
    <x v="344"/>
    <x v="201"/>
    <x v="0"/>
    <n v="335356"/>
    <n v="920125"/>
    <x v="0"/>
    <x v="0"/>
    <x v="0"/>
    <n v="-584769"/>
    <n v="-63.55321287868496"/>
    <s v="Work in progress"/>
  </r>
  <r>
    <s v="P1144"/>
    <s v="Project-124"/>
    <x v="2"/>
    <x v="6"/>
    <x v="28"/>
    <x v="590"/>
    <x v="0"/>
    <n v="352262"/>
    <n v="484633"/>
    <x v="2"/>
    <x v="1"/>
    <x v="0"/>
    <n v="-132371"/>
    <n v="-27.313657963861317"/>
    <s v="Work in progress"/>
  </r>
  <r>
    <s v="P1145"/>
    <s v="Project-679"/>
    <x v="1"/>
    <x v="5"/>
    <x v="438"/>
    <x v="461"/>
    <x v="2"/>
    <n v="865034"/>
    <n v="744588"/>
    <x v="2"/>
    <x v="3"/>
    <x v="1"/>
    <n v="120446"/>
    <n v="16.176194083170827"/>
    <s v="Project delivered successfully"/>
  </r>
  <r>
    <s v="P1146"/>
    <s v="Project-493"/>
    <x v="1"/>
    <x v="6"/>
    <x v="566"/>
    <x v="454"/>
    <x v="0"/>
    <n v="591828"/>
    <n v="565916"/>
    <x v="3"/>
    <x v="0"/>
    <x v="2"/>
    <n v="25912"/>
    <n v="4.5787714077707644"/>
    <s v="Work in progress"/>
  </r>
  <r>
    <s v="P1147"/>
    <s v="Project-166"/>
    <x v="0"/>
    <x v="7"/>
    <x v="511"/>
    <x v="569"/>
    <x v="0"/>
    <n v="216901"/>
    <n v="657943"/>
    <x v="2"/>
    <x v="0"/>
    <x v="1"/>
    <n v="-441042"/>
    <n v="-67.033466424903068"/>
    <s v="Work in progress"/>
  </r>
  <r>
    <s v="P1148"/>
    <s v="Project-332"/>
    <x v="6"/>
    <x v="7"/>
    <x v="217"/>
    <x v="267"/>
    <x v="0"/>
    <n v="237381"/>
    <n v="298662"/>
    <x v="0"/>
    <x v="0"/>
    <x v="0"/>
    <n v="-61281"/>
    <n v="-20.51851256604456"/>
    <s v="Work in progress"/>
  </r>
  <r>
    <s v="P1149"/>
    <s v="Project-208"/>
    <x v="4"/>
    <x v="4"/>
    <x v="232"/>
    <x v="250"/>
    <x v="0"/>
    <n v="770763"/>
    <n v="199563"/>
    <x v="4"/>
    <x v="3"/>
    <x v="1"/>
    <n v="571200"/>
    <n v="286.2254025044723"/>
    <s v="Work in progress"/>
  </r>
  <r>
    <s v="P1150"/>
    <s v="Project-245"/>
    <x v="5"/>
    <x v="0"/>
    <x v="567"/>
    <x v="591"/>
    <x v="2"/>
    <n v="907887"/>
    <n v="493054"/>
    <x v="2"/>
    <x v="0"/>
    <x v="1"/>
    <n v="414833"/>
    <n v="84.135409103262532"/>
    <s v="Project delivered successfully"/>
  </r>
  <r>
    <s v="P1151"/>
    <s v="Project-210"/>
    <x v="7"/>
    <x v="2"/>
    <x v="544"/>
    <x v="213"/>
    <x v="0"/>
    <n v="596565"/>
    <n v="326455"/>
    <x v="3"/>
    <x v="0"/>
    <x v="0"/>
    <n v="270110"/>
    <n v="82.740347061616461"/>
    <s v="Work in progress"/>
  </r>
  <r>
    <s v="P1152"/>
    <s v="Project-327"/>
    <x v="4"/>
    <x v="4"/>
    <x v="568"/>
    <x v="592"/>
    <x v="0"/>
    <n v="693421"/>
    <n v="260842"/>
    <x v="3"/>
    <x v="2"/>
    <x v="2"/>
    <n v="432579"/>
    <n v="165.8394737043881"/>
    <s v="Work in progress"/>
  </r>
  <r>
    <s v="P1153"/>
    <s v="Project-210"/>
    <x v="4"/>
    <x v="3"/>
    <x v="366"/>
    <x v="552"/>
    <x v="2"/>
    <n v="502889"/>
    <n v="265612"/>
    <x v="0"/>
    <x v="2"/>
    <x v="2"/>
    <n v="237277"/>
    <n v="89.332183786877096"/>
    <s v="Project delivered successfully"/>
  </r>
  <r>
    <s v="P1154"/>
    <s v="Project-569"/>
    <x v="0"/>
    <x v="5"/>
    <x v="210"/>
    <x v="246"/>
    <x v="2"/>
    <n v="302196"/>
    <n v="273095"/>
    <x v="2"/>
    <x v="3"/>
    <x v="1"/>
    <n v="29101"/>
    <n v="10.655998828246581"/>
    <s v="Project delivered successfully"/>
  </r>
  <r>
    <s v="P1155"/>
    <s v="Project-133"/>
    <x v="0"/>
    <x v="5"/>
    <x v="338"/>
    <x v="571"/>
    <x v="2"/>
    <n v="985180"/>
    <n v="866765"/>
    <x v="2"/>
    <x v="3"/>
    <x v="2"/>
    <n v="118415"/>
    <n v="13.661719151096319"/>
    <s v="Project delivered successfully"/>
  </r>
  <r>
    <s v="P1156"/>
    <s v="Project-722"/>
    <x v="6"/>
    <x v="2"/>
    <x v="336"/>
    <x v="321"/>
    <x v="0"/>
    <n v="486060"/>
    <n v="736658"/>
    <x v="3"/>
    <x v="1"/>
    <x v="0"/>
    <n v="-250598"/>
    <n v="-34.018228268748864"/>
    <s v="Work in progress"/>
  </r>
  <r>
    <s v="P1157"/>
    <s v="Project-875"/>
    <x v="1"/>
    <x v="7"/>
    <x v="199"/>
    <x v="342"/>
    <x v="1"/>
    <n v="846184"/>
    <n v="376336"/>
    <x v="2"/>
    <x v="0"/>
    <x v="2"/>
    <n v="469848"/>
    <n v="124.84800816291823"/>
    <s v="Timeline extended"/>
  </r>
  <r>
    <s v="P1158"/>
    <s v="Project-468"/>
    <x v="0"/>
    <x v="6"/>
    <x v="519"/>
    <x v="435"/>
    <x v="1"/>
    <n v="262620"/>
    <n v="596099"/>
    <x v="0"/>
    <x v="2"/>
    <x v="1"/>
    <n v="-333479"/>
    <n v="-55.943559710719192"/>
    <s v="Timeline extended"/>
  </r>
  <r>
    <s v="P1159"/>
    <s v="Project-847"/>
    <x v="0"/>
    <x v="5"/>
    <x v="73"/>
    <x v="19"/>
    <x v="1"/>
    <n v="517927"/>
    <n v="624360"/>
    <x v="4"/>
    <x v="2"/>
    <x v="0"/>
    <n v="-106433"/>
    <n v="-17.046735857518097"/>
    <s v="Timeline extended"/>
  </r>
  <r>
    <s v="P1160"/>
    <s v="Project-694"/>
    <x v="0"/>
    <x v="2"/>
    <x v="381"/>
    <x v="339"/>
    <x v="2"/>
    <n v="483886"/>
    <n v="669695"/>
    <x v="0"/>
    <x v="0"/>
    <x v="0"/>
    <n v="-185809"/>
    <n v="-27.745316897990875"/>
    <s v="Project delivered successfully"/>
  </r>
  <r>
    <s v="P1161"/>
    <s v="Project-653"/>
    <x v="6"/>
    <x v="5"/>
    <x v="569"/>
    <x v="550"/>
    <x v="0"/>
    <n v="248675"/>
    <n v="280440"/>
    <x v="2"/>
    <x v="0"/>
    <x v="0"/>
    <n v="-31765"/>
    <n v="-11.326843531593211"/>
    <s v="Work in progress"/>
  </r>
  <r>
    <s v="P1162"/>
    <s v="Project-524"/>
    <x v="1"/>
    <x v="5"/>
    <x v="257"/>
    <x v="118"/>
    <x v="3"/>
    <n v="736838"/>
    <n v="1121550"/>
    <x v="0"/>
    <x v="3"/>
    <x v="1"/>
    <n v="-384712"/>
    <n v="-34.301814453212067"/>
    <s v="Project cancelled"/>
  </r>
  <r>
    <s v="P1163"/>
    <s v="Project-712"/>
    <x v="7"/>
    <x v="0"/>
    <x v="58"/>
    <x v="62"/>
    <x v="0"/>
    <n v="469655"/>
    <n v="705216"/>
    <x v="1"/>
    <x v="1"/>
    <x v="1"/>
    <n v="-235561"/>
    <n v="-33.40267379072511"/>
    <s v="Work in progress"/>
  </r>
  <r>
    <s v="P1164"/>
    <s v="Project-617"/>
    <x v="7"/>
    <x v="3"/>
    <x v="375"/>
    <x v="189"/>
    <x v="0"/>
    <n v="821784"/>
    <n v="992334"/>
    <x v="1"/>
    <x v="1"/>
    <x v="2"/>
    <n v="-170550"/>
    <n v="-17.186753653507793"/>
    <s v="Work in progress"/>
  </r>
  <r>
    <s v="P1165"/>
    <s v="Project-791"/>
    <x v="2"/>
    <x v="0"/>
    <x v="570"/>
    <x v="467"/>
    <x v="0"/>
    <n v="961764"/>
    <n v="391007"/>
    <x v="2"/>
    <x v="3"/>
    <x v="1"/>
    <n v="570757"/>
    <n v="145.9710439966548"/>
    <s v="Work in progress"/>
  </r>
  <r>
    <s v="P1166"/>
    <s v="Project-381"/>
    <x v="2"/>
    <x v="3"/>
    <x v="449"/>
    <x v="489"/>
    <x v="0"/>
    <n v="473026"/>
    <n v="916469"/>
    <x v="2"/>
    <x v="3"/>
    <x v="0"/>
    <n v="-443443"/>
    <n v="-48.386033788376913"/>
    <s v="Work in progress"/>
  </r>
  <r>
    <s v="P1167"/>
    <s v="Project-419"/>
    <x v="0"/>
    <x v="5"/>
    <x v="542"/>
    <x v="89"/>
    <x v="3"/>
    <n v="854734"/>
    <n v="1145654"/>
    <x v="4"/>
    <x v="2"/>
    <x v="1"/>
    <n v="-290920"/>
    <n v="-25.39335610926161"/>
    <s v="Project cancelled"/>
  </r>
  <r>
    <s v="P1168"/>
    <s v="Project-837"/>
    <x v="2"/>
    <x v="4"/>
    <x v="210"/>
    <x v="471"/>
    <x v="2"/>
    <n v="378380"/>
    <n v="924199"/>
    <x v="0"/>
    <x v="3"/>
    <x v="1"/>
    <n v="-545819"/>
    <n v="-59.058601015582148"/>
    <s v="Project delivered successfully"/>
  </r>
  <r>
    <s v="P1169"/>
    <s v="Project-542"/>
    <x v="1"/>
    <x v="6"/>
    <x v="571"/>
    <x v="537"/>
    <x v="2"/>
    <n v="114467"/>
    <n v="622239"/>
    <x v="4"/>
    <x v="1"/>
    <x v="2"/>
    <n v="-507772"/>
    <n v="-81.604013891768275"/>
    <s v="Project delivered successfully"/>
  </r>
  <r>
    <s v="P1170"/>
    <s v="Project-414"/>
    <x v="6"/>
    <x v="7"/>
    <x v="306"/>
    <x v="593"/>
    <x v="2"/>
    <n v="414494"/>
    <n v="925719"/>
    <x v="2"/>
    <x v="2"/>
    <x v="0"/>
    <n v="-511225"/>
    <n v="-55.224641602905422"/>
    <s v="Project delivered successfully"/>
  </r>
  <r>
    <s v="P1171"/>
    <s v="Project-976"/>
    <x v="7"/>
    <x v="5"/>
    <x v="355"/>
    <x v="582"/>
    <x v="0"/>
    <n v="492762"/>
    <n v="173977"/>
    <x v="2"/>
    <x v="1"/>
    <x v="2"/>
    <n v="318785"/>
    <n v="183.2339906999201"/>
    <s v="Work in progress"/>
  </r>
  <r>
    <s v="P1172"/>
    <s v="Project-840"/>
    <x v="4"/>
    <x v="3"/>
    <x v="479"/>
    <x v="259"/>
    <x v="0"/>
    <n v="830196"/>
    <n v="1182267"/>
    <x v="3"/>
    <x v="0"/>
    <x v="2"/>
    <n v="-352071"/>
    <n v="-29.779313809824686"/>
    <s v="Work in progress"/>
  </r>
  <r>
    <s v="P1173"/>
    <s v="Project-476"/>
    <x v="7"/>
    <x v="3"/>
    <x v="572"/>
    <x v="268"/>
    <x v="2"/>
    <n v="839480"/>
    <n v="248171"/>
    <x v="4"/>
    <x v="1"/>
    <x v="2"/>
    <n v="591309"/>
    <n v="238.26675961333112"/>
    <s v="Project delivered successfully"/>
  </r>
  <r>
    <s v="P1174"/>
    <s v="Project-388"/>
    <x v="7"/>
    <x v="3"/>
    <x v="573"/>
    <x v="209"/>
    <x v="2"/>
    <n v="823500"/>
    <n v="602723"/>
    <x v="2"/>
    <x v="2"/>
    <x v="0"/>
    <n v="220777"/>
    <n v="36.629927844134038"/>
    <s v="Project delivered successfully"/>
  </r>
  <r>
    <s v="P1175"/>
    <s v="Project-536"/>
    <x v="1"/>
    <x v="5"/>
    <x v="186"/>
    <x v="594"/>
    <x v="0"/>
    <n v="633194"/>
    <n v="303390"/>
    <x v="1"/>
    <x v="1"/>
    <x v="2"/>
    <n v="329804"/>
    <n v="108.70628563894658"/>
    <s v="Work in progress"/>
  </r>
  <r>
    <s v="P1176"/>
    <s v="Project-761"/>
    <x v="2"/>
    <x v="2"/>
    <x v="419"/>
    <x v="169"/>
    <x v="2"/>
    <n v="388781"/>
    <n v="294602"/>
    <x v="3"/>
    <x v="2"/>
    <x v="0"/>
    <n v="94179"/>
    <n v="31.968214743959649"/>
    <s v="Project delivered successfully"/>
  </r>
  <r>
    <s v="P1177"/>
    <s v="Project-376"/>
    <x v="4"/>
    <x v="4"/>
    <x v="547"/>
    <x v="296"/>
    <x v="0"/>
    <n v="341922"/>
    <n v="1084604"/>
    <x v="0"/>
    <x v="2"/>
    <x v="2"/>
    <n v="-742682"/>
    <n v="-68.474945694465447"/>
    <s v="Work in progress"/>
  </r>
  <r>
    <s v="P1178"/>
    <s v="Project-809"/>
    <x v="1"/>
    <x v="2"/>
    <x v="422"/>
    <x v="246"/>
    <x v="0"/>
    <n v="208497"/>
    <n v="1197823"/>
    <x v="3"/>
    <x v="3"/>
    <x v="2"/>
    <n v="-989326"/>
    <n v="-82.593672019989597"/>
    <s v="Work in progress"/>
  </r>
  <r>
    <s v="P1179"/>
    <s v="Project-681"/>
    <x v="0"/>
    <x v="7"/>
    <x v="15"/>
    <x v="180"/>
    <x v="0"/>
    <n v="812405"/>
    <n v="344045"/>
    <x v="0"/>
    <x v="1"/>
    <x v="0"/>
    <n v="468360"/>
    <n v="136.13335464837448"/>
    <s v="Work in progress"/>
  </r>
  <r>
    <s v="P1180"/>
    <s v="Project-602"/>
    <x v="6"/>
    <x v="5"/>
    <x v="287"/>
    <x v="32"/>
    <x v="0"/>
    <n v="788748"/>
    <n v="261324"/>
    <x v="1"/>
    <x v="3"/>
    <x v="1"/>
    <n v="527424"/>
    <n v="201.82761629241858"/>
    <s v="Work in progress"/>
  </r>
  <r>
    <s v="P1181"/>
    <s v="Project-723"/>
    <x v="3"/>
    <x v="3"/>
    <x v="574"/>
    <x v="567"/>
    <x v="1"/>
    <n v="170918"/>
    <n v="691666"/>
    <x v="0"/>
    <x v="3"/>
    <x v="2"/>
    <n v="-520748"/>
    <n v="-75.288940037532569"/>
    <s v="Timeline extended"/>
  </r>
  <r>
    <s v="P1182"/>
    <s v="Project-615"/>
    <x v="7"/>
    <x v="4"/>
    <x v="127"/>
    <x v="359"/>
    <x v="1"/>
    <n v="926468"/>
    <n v="922987"/>
    <x v="4"/>
    <x v="1"/>
    <x v="1"/>
    <n v="3481"/>
    <n v="0.37714507354924826"/>
    <s v="Timeline extended"/>
  </r>
  <r>
    <s v="P1183"/>
    <s v="Project-449"/>
    <x v="3"/>
    <x v="4"/>
    <x v="475"/>
    <x v="29"/>
    <x v="0"/>
    <n v="501392"/>
    <n v="529612"/>
    <x v="0"/>
    <x v="2"/>
    <x v="2"/>
    <n v="-28220"/>
    <n v="-5.3284291141439395"/>
    <s v="Work in progress"/>
  </r>
  <r>
    <s v="P1184"/>
    <s v="Project-942"/>
    <x v="6"/>
    <x v="1"/>
    <x v="575"/>
    <x v="386"/>
    <x v="2"/>
    <n v="455890"/>
    <n v="844110"/>
    <x v="0"/>
    <x v="0"/>
    <x v="1"/>
    <n v="-388220"/>
    <n v="-45.991636161163832"/>
    <s v="Project delivered successfully"/>
  </r>
  <r>
    <s v="P1185"/>
    <s v="Project-545"/>
    <x v="6"/>
    <x v="7"/>
    <x v="88"/>
    <x v="407"/>
    <x v="2"/>
    <n v="505618"/>
    <n v="906876"/>
    <x v="3"/>
    <x v="1"/>
    <x v="1"/>
    <n v="-401258"/>
    <n v="-44.246181396354075"/>
    <s v="Project delivered successfully"/>
  </r>
  <r>
    <s v="P1186"/>
    <s v="Project-929"/>
    <x v="1"/>
    <x v="6"/>
    <x v="401"/>
    <x v="508"/>
    <x v="0"/>
    <n v="559325"/>
    <n v="304507"/>
    <x v="1"/>
    <x v="3"/>
    <x v="1"/>
    <n v="254818"/>
    <n v="83.682148522037252"/>
    <s v="Work in progress"/>
  </r>
  <r>
    <s v="P1187"/>
    <s v="Project-449"/>
    <x v="1"/>
    <x v="6"/>
    <x v="280"/>
    <x v="127"/>
    <x v="0"/>
    <n v="270979"/>
    <n v="93804"/>
    <x v="0"/>
    <x v="3"/>
    <x v="1"/>
    <n v="177175"/>
    <n v="188.87787301181186"/>
    <s v="Work in progress"/>
  </r>
  <r>
    <s v="P1188"/>
    <s v="Project-706"/>
    <x v="1"/>
    <x v="4"/>
    <x v="576"/>
    <x v="177"/>
    <x v="3"/>
    <n v="822793"/>
    <n v="1193009"/>
    <x v="4"/>
    <x v="2"/>
    <x v="1"/>
    <n v="-370216"/>
    <n v="-31.03212130000696"/>
    <s v="Project cancelled"/>
  </r>
  <r>
    <s v="P1189"/>
    <s v="Project-763"/>
    <x v="3"/>
    <x v="5"/>
    <x v="163"/>
    <x v="85"/>
    <x v="2"/>
    <n v="61957"/>
    <n v="78544"/>
    <x v="3"/>
    <x v="3"/>
    <x v="0"/>
    <n v="-16587"/>
    <n v="-21.11809940924832"/>
    <s v="Project delivered successfully"/>
  </r>
  <r>
    <s v="P1190"/>
    <s v="Project-922"/>
    <x v="1"/>
    <x v="3"/>
    <x v="28"/>
    <x v="116"/>
    <x v="3"/>
    <n v="909076"/>
    <n v="1078765"/>
    <x v="1"/>
    <x v="0"/>
    <x v="1"/>
    <n v="-169689"/>
    <n v="-15.729931912881861"/>
    <s v="Project cancelled"/>
  </r>
  <r>
    <s v="P1191"/>
    <s v="Project-236"/>
    <x v="6"/>
    <x v="3"/>
    <x v="361"/>
    <x v="512"/>
    <x v="0"/>
    <n v="949726"/>
    <n v="828184"/>
    <x v="1"/>
    <x v="3"/>
    <x v="0"/>
    <n v="121542"/>
    <n v="14.675724235194112"/>
    <s v="Work in progress"/>
  </r>
  <r>
    <s v="P1192"/>
    <s v="Project-858"/>
    <x v="0"/>
    <x v="4"/>
    <x v="250"/>
    <x v="302"/>
    <x v="2"/>
    <n v="67829"/>
    <n v="1086058"/>
    <x v="2"/>
    <x v="2"/>
    <x v="2"/>
    <n v="-1018229"/>
    <n v="-93.754569277147255"/>
    <s v="Project delivered successfully"/>
  </r>
  <r>
    <s v="P1193"/>
    <s v="Project-998"/>
    <x v="1"/>
    <x v="2"/>
    <x v="432"/>
    <x v="584"/>
    <x v="0"/>
    <n v="317981"/>
    <n v="833111"/>
    <x v="4"/>
    <x v="1"/>
    <x v="0"/>
    <n v="-515130"/>
    <n v="-61.832096803427149"/>
    <s v="Work in progress"/>
  </r>
  <r>
    <s v="P1194"/>
    <s v="Project-342"/>
    <x v="5"/>
    <x v="7"/>
    <x v="277"/>
    <x v="595"/>
    <x v="0"/>
    <n v="507357"/>
    <n v="939488"/>
    <x v="3"/>
    <x v="2"/>
    <x v="1"/>
    <n v="-432131"/>
    <n v="-45.996436356824141"/>
    <s v="Work in progress"/>
  </r>
  <r>
    <s v="P1195"/>
    <s v="Project-642"/>
    <x v="2"/>
    <x v="3"/>
    <x v="525"/>
    <x v="236"/>
    <x v="0"/>
    <n v="196104"/>
    <n v="513304"/>
    <x v="3"/>
    <x v="3"/>
    <x v="0"/>
    <n v="-317200"/>
    <n v="-61.795738977292217"/>
    <s v="Work in progress"/>
  </r>
  <r>
    <s v="P1196"/>
    <s v="Project-139"/>
    <x v="3"/>
    <x v="4"/>
    <x v="41"/>
    <x v="596"/>
    <x v="0"/>
    <n v="149770"/>
    <n v="1038421"/>
    <x v="4"/>
    <x v="2"/>
    <x v="1"/>
    <n v="-888651"/>
    <n v="-85.577140678010167"/>
    <s v="Work in progress"/>
  </r>
  <r>
    <s v="P1197"/>
    <s v="Project-328"/>
    <x v="5"/>
    <x v="3"/>
    <x v="167"/>
    <x v="488"/>
    <x v="0"/>
    <n v="600640"/>
    <n v="433150"/>
    <x v="1"/>
    <x v="3"/>
    <x v="0"/>
    <n v="167490"/>
    <n v="38.667897956827893"/>
    <s v="Work in progress"/>
  </r>
  <r>
    <s v="P1198"/>
    <s v="Project-647"/>
    <x v="1"/>
    <x v="6"/>
    <x v="561"/>
    <x v="524"/>
    <x v="0"/>
    <n v="80215"/>
    <n v="769980"/>
    <x v="0"/>
    <x v="2"/>
    <x v="2"/>
    <n v="-689765"/>
    <n v="-89.582196940180268"/>
    <s v="Work in progress"/>
  </r>
  <r>
    <s v="P1199"/>
    <s v="Project-322"/>
    <x v="6"/>
    <x v="4"/>
    <x v="68"/>
    <x v="447"/>
    <x v="0"/>
    <n v="499535"/>
    <n v="433125"/>
    <x v="4"/>
    <x v="1"/>
    <x v="1"/>
    <n v="66410"/>
    <n v="15.332756132756135"/>
    <s v="Work in progress"/>
  </r>
  <r>
    <s v="P1200"/>
    <s v="Project-105"/>
    <x v="0"/>
    <x v="7"/>
    <x v="548"/>
    <x v="275"/>
    <x v="2"/>
    <n v="569751"/>
    <n v="1170043"/>
    <x v="3"/>
    <x v="3"/>
    <x v="1"/>
    <n v="-600292"/>
    <n v="-51.305122974112919"/>
    <s v="Project delivered successfully"/>
  </r>
  <r>
    <s v="P1201"/>
    <s v="Project-421"/>
    <x v="7"/>
    <x v="4"/>
    <x v="42"/>
    <x v="539"/>
    <x v="0"/>
    <n v="780002"/>
    <n v="645692"/>
    <x v="4"/>
    <x v="0"/>
    <x v="0"/>
    <n v="134310"/>
    <n v="20.800939147457299"/>
    <s v="Work in progress"/>
  </r>
  <r>
    <s v="P1202"/>
    <s v="Project-567"/>
    <x v="4"/>
    <x v="1"/>
    <x v="240"/>
    <x v="446"/>
    <x v="0"/>
    <n v="353391"/>
    <n v="1122134"/>
    <x v="1"/>
    <x v="0"/>
    <x v="0"/>
    <n v="-768743"/>
    <n v="-68.507237103590128"/>
    <s v="Work in progress"/>
  </r>
  <r>
    <s v="P1203"/>
    <s v="Project-831"/>
    <x v="2"/>
    <x v="4"/>
    <x v="311"/>
    <x v="479"/>
    <x v="0"/>
    <n v="703980"/>
    <n v="133018"/>
    <x v="2"/>
    <x v="0"/>
    <x v="0"/>
    <n v="570962"/>
    <n v="429.23664466463185"/>
    <s v="Work in progress"/>
  </r>
  <r>
    <s v="P1204"/>
    <s v="Project-174"/>
    <x v="4"/>
    <x v="4"/>
    <x v="192"/>
    <x v="597"/>
    <x v="0"/>
    <n v="748408"/>
    <n v="183947"/>
    <x v="2"/>
    <x v="0"/>
    <x v="0"/>
    <n v="564461"/>
    <n v="306.86067182394925"/>
    <s v="Work in progress"/>
  </r>
  <r>
    <s v="P1205"/>
    <s v="Project-103"/>
    <x v="1"/>
    <x v="5"/>
    <x v="577"/>
    <x v="67"/>
    <x v="2"/>
    <n v="824474"/>
    <n v="251325"/>
    <x v="0"/>
    <x v="3"/>
    <x v="0"/>
    <n v="573149"/>
    <n v="228.05093007062567"/>
    <s v="Project delivered successfully"/>
  </r>
  <r>
    <s v="P1206"/>
    <s v="Project-946"/>
    <x v="2"/>
    <x v="6"/>
    <x v="473"/>
    <x v="598"/>
    <x v="0"/>
    <n v="256604"/>
    <n v="65607"/>
    <x v="0"/>
    <x v="3"/>
    <x v="1"/>
    <n v="190997"/>
    <n v="291.12289847119973"/>
    <s v="Work in progress"/>
  </r>
  <r>
    <s v="P1207"/>
    <s v="Project-745"/>
    <x v="2"/>
    <x v="7"/>
    <x v="97"/>
    <x v="276"/>
    <x v="2"/>
    <n v="641002"/>
    <n v="91684"/>
    <x v="1"/>
    <x v="1"/>
    <x v="2"/>
    <n v="549318"/>
    <n v="599.14270756075223"/>
    <s v="Project delivered successfully"/>
  </r>
  <r>
    <s v="P1208"/>
    <s v="Project-217"/>
    <x v="0"/>
    <x v="5"/>
    <x v="311"/>
    <x v="411"/>
    <x v="0"/>
    <n v="347463"/>
    <n v="567889"/>
    <x v="0"/>
    <x v="2"/>
    <x v="0"/>
    <n v="-220426"/>
    <n v="-38.814979687931974"/>
    <s v="Work in progress"/>
  </r>
  <r>
    <s v="P1209"/>
    <s v="Project-980"/>
    <x v="2"/>
    <x v="4"/>
    <x v="578"/>
    <x v="133"/>
    <x v="0"/>
    <n v="693346"/>
    <n v="817567"/>
    <x v="2"/>
    <x v="3"/>
    <x v="1"/>
    <n v="-124221"/>
    <n v="-15.193984101608798"/>
    <s v="Work in progress"/>
  </r>
  <r>
    <s v="P1210"/>
    <s v="Project-705"/>
    <x v="3"/>
    <x v="7"/>
    <x v="158"/>
    <x v="334"/>
    <x v="1"/>
    <n v="328169"/>
    <n v="1088677"/>
    <x v="1"/>
    <x v="0"/>
    <x v="2"/>
    <n v="-760508"/>
    <n v="-69.856164868000334"/>
    <s v="Timeline extended"/>
  </r>
  <r>
    <s v="P1211"/>
    <s v="Project-603"/>
    <x v="5"/>
    <x v="1"/>
    <x v="308"/>
    <x v="455"/>
    <x v="2"/>
    <n v="59780"/>
    <n v="757444"/>
    <x v="1"/>
    <x v="3"/>
    <x v="2"/>
    <n v="-697664"/>
    <n v="-92.107667365508206"/>
    <s v="Project delivered successfully"/>
  </r>
  <r>
    <s v="P1212"/>
    <s v="Project-673"/>
    <x v="5"/>
    <x v="7"/>
    <x v="541"/>
    <x v="288"/>
    <x v="0"/>
    <n v="859138"/>
    <n v="734345"/>
    <x v="1"/>
    <x v="0"/>
    <x v="0"/>
    <n v="124793"/>
    <n v="16.993783575839693"/>
    <s v="Work in progress"/>
  </r>
  <r>
    <s v="P1213"/>
    <s v="Project-540"/>
    <x v="5"/>
    <x v="3"/>
    <x v="481"/>
    <x v="535"/>
    <x v="1"/>
    <n v="748276"/>
    <n v="450431"/>
    <x v="4"/>
    <x v="1"/>
    <x v="1"/>
    <n v="297845"/>
    <n v="66.124445253546043"/>
    <s v="Timeline extended"/>
  </r>
  <r>
    <s v="P1214"/>
    <s v="Project-293"/>
    <x v="3"/>
    <x v="5"/>
    <x v="373"/>
    <x v="142"/>
    <x v="0"/>
    <n v="125503"/>
    <n v="788175"/>
    <x v="0"/>
    <x v="2"/>
    <x v="1"/>
    <n v="-662672"/>
    <n v="-84.076759602880074"/>
    <s v="Work in progress"/>
  </r>
  <r>
    <s v="P1215"/>
    <s v="Project-946"/>
    <x v="4"/>
    <x v="7"/>
    <x v="579"/>
    <x v="354"/>
    <x v="1"/>
    <n v="211928"/>
    <n v="49215"/>
    <x v="3"/>
    <x v="3"/>
    <x v="1"/>
    <n v="162713"/>
    <n v="330.61668190592297"/>
    <s v="Timeline extended"/>
  </r>
  <r>
    <s v="P1216"/>
    <s v="Project-814"/>
    <x v="0"/>
    <x v="6"/>
    <x v="45"/>
    <x v="63"/>
    <x v="2"/>
    <n v="939598"/>
    <n v="699384"/>
    <x v="2"/>
    <x v="2"/>
    <x v="1"/>
    <n v="240214"/>
    <n v="34.346510643652131"/>
    <s v="Project delivered successfully"/>
  </r>
  <r>
    <s v="P1217"/>
    <s v="Project-491"/>
    <x v="2"/>
    <x v="1"/>
    <x v="342"/>
    <x v="254"/>
    <x v="2"/>
    <n v="59179"/>
    <n v="106949"/>
    <x v="0"/>
    <x v="0"/>
    <x v="1"/>
    <n v="-47770"/>
    <n v="-44.666149286108329"/>
    <s v="Project delivered successfully"/>
  </r>
  <r>
    <s v="P1218"/>
    <s v="Project-125"/>
    <x v="3"/>
    <x v="0"/>
    <x v="107"/>
    <x v="555"/>
    <x v="3"/>
    <n v="743983"/>
    <n v="898287"/>
    <x v="2"/>
    <x v="0"/>
    <x v="2"/>
    <n v="-154304"/>
    <n v="-17.177583556257634"/>
    <s v="Project cancelled"/>
  </r>
  <r>
    <s v="P1219"/>
    <s v="Project-534"/>
    <x v="5"/>
    <x v="4"/>
    <x v="369"/>
    <x v="480"/>
    <x v="0"/>
    <n v="722947"/>
    <n v="1032486"/>
    <x v="0"/>
    <x v="2"/>
    <x v="2"/>
    <n v="-309539"/>
    <n v="-29.97997067272583"/>
    <s v="Work in progress"/>
  </r>
  <r>
    <s v="P1220"/>
    <s v="Project-272"/>
    <x v="1"/>
    <x v="7"/>
    <x v="580"/>
    <x v="108"/>
    <x v="2"/>
    <n v="729093"/>
    <n v="730843"/>
    <x v="3"/>
    <x v="1"/>
    <x v="2"/>
    <n v="-1750"/>
    <n v="-0.23944951241237858"/>
    <s v="Project delivered successfully"/>
  </r>
  <r>
    <s v="P1221"/>
    <s v="Project-399"/>
    <x v="7"/>
    <x v="4"/>
    <x v="581"/>
    <x v="258"/>
    <x v="0"/>
    <n v="831570"/>
    <n v="922711"/>
    <x v="2"/>
    <x v="2"/>
    <x v="1"/>
    <n v="-91141"/>
    <n v="-9.8775239484518984"/>
    <s v="Work in progress"/>
  </r>
  <r>
    <s v="P1222"/>
    <s v="Project-744"/>
    <x v="2"/>
    <x v="2"/>
    <x v="582"/>
    <x v="31"/>
    <x v="0"/>
    <n v="531522"/>
    <n v="782932"/>
    <x v="3"/>
    <x v="2"/>
    <x v="2"/>
    <n v="-251410"/>
    <n v="-32.111345557468589"/>
    <s v="Work in progress"/>
  </r>
  <r>
    <s v="P1223"/>
    <s v="Project-425"/>
    <x v="3"/>
    <x v="3"/>
    <x v="490"/>
    <x v="261"/>
    <x v="0"/>
    <n v="673711"/>
    <n v="676186"/>
    <x v="2"/>
    <x v="3"/>
    <x v="2"/>
    <n v="-2475"/>
    <n v="-0.36602354973335738"/>
    <s v="Work in progress"/>
  </r>
  <r>
    <s v="P1224"/>
    <s v="Project-509"/>
    <x v="6"/>
    <x v="5"/>
    <x v="316"/>
    <x v="464"/>
    <x v="0"/>
    <n v="173076"/>
    <n v="547291"/>
    <x v="4"/>
    <x v="3"/>
    <x v="0"/>
    <n v="-374215"/>
    <n v="-68.375873164367775"/>
    <s v="Work in progress"/>
  </r>
  <r>
    <s v="P1225"/>
    <s v="Project-217"/>
    <x v="3"/>
    <x v="3"/>
    <x v="9"/>
    <x v="361"/>
    <x v="2"/>
    <n v="185047"/>
    <n v="449464"/>
    <x v="4"/>
    <x v="0"/>
    <x v="2"/>
    <n v="-264417"/>
    <n v="-58.829405692113269"/>
    <s v="Project delivered successfully"/>
  </r>
  <r>
    <s v="P1226"/>
    <s v="Project-935"/>
    <x v="0"/>
    <x v="2"/>
    <x v="194"/>
    <x v="196"/>
    <x v="2"/>
    <n v="304477"/>
    <n v="618843"/>
    <x v="2"/>
    <x v="3"/>
    <x v="0"/>
    <n v="-314366"/>
    <n v="-50.798991020339571"/>
    <s v="Project delivered successfully"/>
  </r>
  <r>
    <s v="P1227"/>
    <s v="Project-886"/>
    <x v="0"/>
    <x v="2"/>
    <x v="583"/>
    <x v="399"/>
    <x v="2"/>
    <n v="783815"/>
    <n v="92995"/>
    <x v="2"/>
    <x v="1"/>
    <x v="1"/>
    <n v="690820"/>
    <n v="742.85714285714289"/>
    <s v="Project delivered successfully"/>
  </r>
  <r>
    <s v="P1228"/>
    <s v="Project-823"/>
    <x v="3"/>
    <x v="5"/>
    <x v="70"/>
    <x v="142"/>
    <x v="0"/>
    <n v="387282"/>
    <n v="493593"/>
    <x v="3"/>
    <x v="1"/>
    <x v="1"/>
    <n v="-106311"/>
    <n v="-21.538190371419368"/>
    <s v="Work in progress"/>
  </r>
  <r>
    <s v="P1229"/>
    <s v="Project-324"/>
    <x v="5"/>
    <x v="7"/>
    <x v="584"/>
    <x v="599"/>
    <x v="0"/>
    <n v="750823"/>
    <n v="284494"/>
    <x v="1"/>
    <x v="1"/>
    <x v="1"/>
    <n v="466329"/>
    <n v="163.91523195568271"/>
    <s v="Work in progress"/>
  </r>
  <r>
    <s v="P1230"/>
    <s v="Project-631"/>
    <x v="7"/>
    <x v="2"/>
    <x v="511"/>
    <x v="210"/>
    <x v="1"/>
    <n v="223226"/>
    <n v="71745"/>
    <x v="2"/>
    <x v="0"/>
    <x v="1"/>
    <n v="151481"/>
    <n v="211.13805840128231"/>
    <s v="Timeline extended"/>
  </r>
  <r>
    <s v="P1231"/>
    <s v="Project-212"/>
    <x v="2"/>
    <x v="0"/>
    <x v="585"/>
    <x v="217"/>
    <x v="0"/>
    <n v="256748"/>
    <n v="778777"/>
    <x v="0"/>
    <x v="1"/>
    <x v="2"/>
    <n v="-522029"/>
    <n v="-67.031897449462434"/>
    <s v="Work in progress"/>
  </r>
  <r>
    <s v="P1232"/>
    <s v="Project-239"/>
    <x v="0"/>
    <x v="4"/>
    <x v="263"/>
    <x v="600"/>
    <x v="2"/>
    <n v="561559"/>
    <n v="739147"/>
    <x v="0"/>
    <x v="1"/>
    <x v="0"/>
    <n v="-177588"/>
    <n v="-24.02607329800432"/>
    <s v="Project delivered successfully"/>
  </r>
  <r>
    <s v="P1233"/>
    <s v="Project-658"/>
    <x v="2"/>
    <x v="4"/>
    <x v="559"/>
    <x v="360"/>
    <x v="2"/>
    <n v="660994"/>
    <n v="896555"/>
    <x v="0"/>
    <x v="3"/>
    <x v="1"/>
    <n v="-235561"/>
    <n v="-26.274015537250921"/>
    <s v="Project delivered successfully"/>
  </r>
  <r>
    <s v="P1234"/>
    <s v="Project-100"/>
    <x v="5"/>
    <x v="1"/>
    <x v="586"/>
    <x v="317"/>
    <x v="2"/>
    <n v="166905"/>
    <n v="737395"/>
    <x v="4"/>
    <x v="0"/>
    <x v="1"/>
    <n v="-570490"/>
    <n v="-77.365591033299651"/>
    <s v="Project delivered successfully"/>
  </r>
  <r>
    <s v="P1235"/>
    <s v="Project-189"/>
    <x v="2"/>
    <x v="6"/>
    <x v="388"/>
    <x v="509"/>
    <x v="0"/>
    <n v="78830"/>
    <n v="379948"/>
    <x v="3"/>
    <x v="2"/>
    <x v="0"/>
    <n v="-301118"/>
    <n v="-79.252424015917967"/>
    <s v="Work in progress"/>
  </r>
  <r>
    <s v="P1236"/>
    <s v="Project-753"/>
    <x v="1"/>
    <x v="2"/>
    <x v="587"/>
    <x v="486"/>
    <x v="1"/>
    <n v="946508"/>
    <n v="1013488"/>
    <x v="4"/>
    <x v="1"/>
    <x v="0"/>
    <n v="-66980"/>
    <n v="-6.6088597003615233"/>
    <s v="Timeline extended"/>
  </r>
  <r>
    <s v="P1237"/>
    <s v="Project-419"/>
    <x v="0"/>
    <x v="2"/>
    <x v="237"/>
    <x v="597"/>
    <x v="0"/>
    <n v="515342"/>
    <n v="999966"/>
    <x v="0"/>
    <x v="3"/>
    <x v="0"/>
    <n v="-484624"/>
    <n v="-48.464047777624444"/>
    <s v="Work in progress"/>
  </r>
  <r>
    <s v="P1238"/>
    <s v="Project-649"/>
    <x v="5"/>
    <x v="0"/>
    <x v="304"/>
    <x v="42"/>
    <x v="1"/>
    <n v="342753"/>
    <n v="403199"/>
    <x v="2"/>
    <x v="2"/>
    <x v="0"/>
    <n v="-60446"/>
    <n v="-14.991604641876592"/>
    <s v="Timeline extended"/>
  </r>
  <r>
    <s v="P1239"/>
    <s v="Project-904"/>
    <x v="5"/>
    <x v="3"/>
    <x v="588"/>
    <x v="97"/>
    <x v="0"/>
    <n v="591689"/>
    <n v="1021148"/>
    <x v="0"/>
    <x v="1"/>
    <x v="0"/>
    <n v="-429459"/>
    <n v="-42.056489362952284"/>
    <s v="Work in progress"/>
  </r>
  <r>
    <s v="P1240"/>
    <s v="Project-993"/>
    <x v="7"/>
    <x v="3"/>
    <x v="203"/>
    <x v="480"/>
    <x v="0"/>
    <n v="470945"/>
    <n v="149097"/>
    <x v="2"/>
    <x v="2"/>
    <x v="2"/>
    <n v="321848"/>
    <n v="215.86483966813552"/>
    <s v="Work in progress"/>
  </r>
  <r>
    <s v="P1241"/>
    <s v="Project-238"/>
    <x v="7"/>
    <x v="4"/>
    <x v="78"/>
    <x v="297"/>
    <x v="0"/>
    <n v="939912"/>
    <n v="1126878"/>
    <x v="3"/>
    <x v="2"/>
    <x v="0"/>
    <n v="-186966"/>
    <n v="-16.591503250573709"/>
    <s v="Work in progress"/>
  </r>
  <r>
    <s v="P1242"/>
    <s v="Project-610"/>
    <x v="1"/>
    <x v="4"/>
    <x v="589"/>
    <x v="473"/>
    <x v="2"/>
    <n v="168278"/>
    <n v="612016"/>
    <x v="1"/>
    <x v="0"/>
    <x v="2"/>
    <n v="-443738"/>
    <n v="-72.504313612716004"/>
    <s v="Project delivered successfully"/>
  </r>
  <r>
    <s v="P1243"/>
    <s v="Project-967"/>
    <x v="5"/>
    <x v="7"/>
    <x v="420"/>
    <x v="448"/>
    <x v="0"/>
    <n v="750527"/>
    <n v="817670"/>
    <x v="2"/>
    <x v="0"/>
    <x v="0"/>
    <n v="-67143"/>
    <n v="-8.211503418249416"/>
    <s v="Work in progress"/>
  </r>
  <r>
    <s v="P1244"/>
    <s v="Project-944"/>
    <x v="4"/>
    <x v="5"/>
    <x v="535"/>
    <x v="451"/>
    <x v="0"/>
    <n v="275253"/>
    <n v="611481"/>
    <x v="4"/>
    <x v="1"/>
    <x v="0"/>
    <n v="-336228"/>
    <n v="-54.985845839854385"/>
    <s v="Work in progress"/>
  </r>
  <r>
    <s v="P1245"/>
    <s v="Project-358"/>
    <x v="5"/>
    <x v="6"/>
    <x v="428"/>
    <x v="18"/>
    <x v="0"/>
    <n v="893823"/>
    <n v="524285"/>
    <x v="0"/>
    <x v="1"/>
    <x v="1"/>
    <n v="369538"/>
    <n v="70.484183220958059"/>
    <s v="Work in progress"/>
  </r>
  <r>
    <s v="P1246"/>
    <s v="Project-772"/>
    <x v="7"/>
    <x v="0"/>
    <x v="440"/>
    <x v="22"/>
    <x v="1"/>
    <n v="700831"/>
    <n v="604662"/>
    <x v="0"/>
    <x v="0"/>
    <x v="1"/>
    <n v="96169"/>
    <n v="15.904588017768603"/>
    <s v="Timeline extended"/>
  </r>
  <r>
    <s v="P1247"/>
    <s v="Project-789"/>
    <x v="4"/>
    <x v="5"/>
    <x v="171"/>
    <x v="601"/>
    <x v="1"/>
    <n v="965318"/>
    <n v="863430"/>
    <x v="0"/>
    <x v="1"/>
    <x v="1"/>
    <n v="101888"/>
    <n v="11.800377563902112"/>
    <s v="Timeline extended"/>
  </r>
  <r>
    <s v="P1248"/>
    <s v="Project-109"/>
    <x v="0"/>
    <x v="5"/>
    <x v="491"/>
    <x v="212"/>
    <x v="2"/>
    <n v="668871"/>
    <n v="1024474"/>
    <x v="2"/>
    <x v="1"/>
    <x v="1"/>
    <n v="-355603"/>
    <n v="-34.710788170319603"/>
    <s v="Project delivered successfully"/>
  </r>
  <r>
    <s v="P1249"/>
    <s v="Project-360"/>
    <x v="0"/>
    <x v="1"/>
    <x v="291"/>
    <x v="159"/>
    <x v="2"/>
    <n v="239243"/>
    <n v="205931"/>
    <x v="3"/>
    <x v="0"/>
    <x v="1"/>
    <n v="33312"/>
    <n v="16.176292058990633"/>
    <s v="Project delivered successfully"/>
  </r>
  <r>
    <s v="P1250"/>
    <s v="Project-749"/>
    <x v="2"/>
    <x v="5"/>
    <x v="506"/>
    <x v="602"/>
    <x v="0"/>
    <n v="531312"/>
    <n v="587466"/>
    <x v="2"/>
    <x v="2"/>
    <x v="1"/>
    <n v="-56154"/>
    <n v="-9.558680842806222"/>
    <s v="Work in progress"/>
  </r>
  <r>
    <s v="P1251"/>
    <s v="Project-271"/>
    <x v="3"/>
    <x v="1"/>
    <x v="307"/>
    <x v="264"/>
    <x v="0"/>
    <n v="187719"/>
    <n v="975079"/>
    <x v="4"/>
    <x v="1"/>
    <x v="0"/>
    <n v="-787360"/>
    <n v="-80.748329109743935"/>
    <s v="Work in progress"/>
  </r>
  <r>
    <s v="P1252"/>
    <s v="Project-997"/>
    <x v="7"/>
    <x v="5"/>
    <x v="391"/>
    <x v="506"/>
    <x v="1"/>
    <n v="988610"/>
    <n v="399517"/>
    <x v="0"/>
    <x v="3"/>
    <x v="0"/>
    <n v="589093"/>
    <n v="147.45129744166081"/>
    <s v="Timeline extended"/>
  </r>
  <r>
    <s v="P1253"/>
    <s v="Project-112"/>
    <x v="3"/>
    <x v="0"/>
    <x v="84"/>
    <x v="603"/>
    <x v="0"/>
    <n v="318159"/>
    <n v="245101"/>
    <x v="2"/>
    <x v="0"/>
    <x v="1"/>
    <n v="73058"/>
    <n v="29.807303927768551"/>
    <s v="Work in progress"/>
  </r>
  <r>
    <s v="P1254"/>
    <s v="Project-267"/>
    <x v="4"/>
    <x v="1"/>
    <x v="110"/>
    <x v="503"/>
    <x v="0"/>
    <n v="333650"/>
    <n v="248438"/>
    <x v="0"/>
    <x v="1"/>
    <x v="1"/>
    <n v="85212"/>
    <n v="34.299100781683961"/>
    <s v="Work in progress"/>
  </r>
  <r>
    <s v="P1255"/>
    <s v="Project-741"/>
    <x v="7"/>
    <x v="3"/>
    <x v="299"/>
    <x v="561"/>
    <x v="0"/>
    <n v="295221"/>
    <n v="1178866"/>
    <x v="4"/>
    <x v="1"/>
    <x v="1"/>
    <n v="-883645"/>
    <n v="-74.957204635641375"/>
    <s v="Work in progress"/>
  </r>
  <r>
    <s v="P1256"/>
    <s v="Project-695"/>
    <x v="1"/>
    <x v="1"/>
    <x v="320"/>
    <x v="158"/>
    <x v="0"/>
    <n v="74067"/>
    <n v="1021166"/>
    <x v="1"/>
    <x v="0"/>
    <x v="0"/>
    <n v="-947099"/>
    <n v="-92.746820791134837"/>
    <s v="Work in progress"/>
  </r>
  <r>
    <s v="P1257"/>
    <s v="Project-420"/>
    <x v="5"/>
    <x v="1"/>
    <x v="377"/>
    <x v="142"/>
    <x v="0"/>
    <n v="442963"/>
    <n v="1137527"/>
    <x v="1"/>
    <x v="3"/>
    <x v="1"/>
    <n v="-694564"/>
    <n v="-61.059122113145449"/>
    <s v="Work in progress"/>
  </r>
  <r>
    <s v="P1258"/>
    <s v="Project-418"/>
    <x v="1"/>
    <x v="0"/>
    <x v="405"/>
    <x v="349"/>
    <x v="0"/>
    <n v="559993"/>
    <n v="693622"/>
    <x v="1"/>
    <x v="3"/>
    <x v="1"/>
    <n v="-133629"/>
    <n v="-19.265392389514748"/>
    <s v="Work in progress"/>
  </r>
  <r>
    <s v="P1259"/>
    <s v="Project-712"/>
    <x v="4"/>
    <x v="0"/>
    <x v="590"/>
    <x v="580"/>
    <x v="0"/>
    <n v="576344"/>
    <n v="181857"/>
    <x v="0"/>
    <x v="0"/>
    <x v="0"/>
    <n v="394487"/>
    <n v="216.92153725179674"/>
    <s v="Work in progress"/>
  </r>
  <r>
    <s v="P1260"/>
    <s v="Project-428"/>
    <x v="7"/>
    <x v="1"/>
    <x v="41"/>
    <x v="604"/>
    <x v="0"/>
    <n v="304770"/>
    <n v="373367"/>
    <x v="2"/>
    <x v="3"/>
    <x v="0"/>
    <n v="-68597"/>
    <n v="-18.372539619195056"/>
    <s v="Work in progress"/>
  </r>
  <r>
    <s v="P1261"/>
    <s v="Project-884"/>
    <x v="6"/>
    <x v="6"/>
    <x v="456"/>
    <x v="366"/>
    <x v="0"/>
    <n v="603616"/>
    <n v="599931"/>
    <x v="0"/>
    <x v="1"/>
    <x v="2"/>
    <n v="3685"/>
    <n v="0.61423730395662168"/>
    <s v="Work in progress"/>
  </r>
  <r>
    <s v="P1262"/>
    <s v="Project-876"/>
    <x v="4"/>
    <x v="2"/>
    <x v="131"/>
    <x v="605"/>
    <x v="0"/>
    <n v="914144"/>
    <n v="658292"/>
    <x v="3"/>
    <x v="3"/>
    <x v="1"/>
    <n v="255852"/>
    <n v="38.866035133345079"/>
    <s v="Work in progress"/>
  </r>
  <r>
    <s v="P1263"/>
    <s v="Project-649"/>
    <x v="6"/>
    <x v="6"/>
    <x v="103"/>
    <x v="491"/>
    <x v="0"/>
    <n v="102832"/>
    <n v="594288"/>
    <x v="2"/>
    <x v="1"/>
    <x v="0"/>
    <n v="-491456"/>
    <n v="-82.696605013057649"/>
    <s v="Work in progress"/>
  </r>
  <r>
    <s v="P1264"/>
    <s v="Project-518"/>
    <x v="5"/>
    <x v="0"/>
    <x v="524"/>
    <x v="50"/>
    <x v="2"/>
    <n v="92771"/>
    <n v="656880"/>
    <x v="4"/>
    <x v="2"/>
    <x v="2"/>
    <n v="-564109"/>
    <n v="-85.877024722932646"/>
    <s v="Project delivered successfully"/>
  </r>
  <r>
    <s v="P1265"/>
    <s v="Project-705"/>
    <x v="0"/>
    <x v="6"/>
    <x v="591"/>
    <x v="527"/>
    <x v="0"/>
    <n v="147421"/>
    <n v="520424"/>
    <x v="1"/>
    <x v="3"/>
    <x v="0"/>
    <n v="-373003"/>
    <n v="-71.672905169630923"/>
    <s v="Work in progress"/>
  </r>
  <r>
    <s v="P1266"/>
    <s v="Project-194"/>
    <x v="0"/>
    <x v="6"/>
    <x v="592"/>
    <x v="220"/>
    <x v="2"/>
    <n v="227587"/>
    <n v="1079661"/>
    <x v="2"/>
    <x v="2"/>
    <x v="2"/>
    <n v="-852074"/>
    <n v="-78.920513012880903"/>
    <s v="Project delivered successfully"/>
  </r>
  <r>
    <s v="P1267"/>
    <s v="Project-916"/>
    <x v="4"/>
    <x v="7"/>
    <x v="335"/>
    <x v="397"/>
    <x v="2"/>
    <n v="638826"/>
    <n v="1028931"/>
    <x v="2"/>
    <x v="0"/>
    <x v="2"/>
    <n v="-390105"/>
    <n v="-37.913621029981606"/>
    <s v="Project delivered successfully"/>
  </r>
  <r>
    <s v="P1268"/>
    <s v="Project-680"/>
    <x v="3"/>
    <x v="7"/>
    <x v="257"/>
    <x v="124"/>
    <x v="2"/>
    <n v="522194"/>
    <n v="914426"/>
    <x v="1"/>
    <x v="3"/>
    <x v="1"/>
    <n v="-392232"/>
    <n v="-42.893793483562362"/>
    <s v="Project delivered successfully"/>
  </r>
  <r>
    <s v="P1269"/>
    <s v="Project-417"/>
    <x v="7"/>
    <x v="3"/>
    <x v="593"/>
    <x v="489"/>
    <x v="0"/>
    <n v="352295"/>
    <n v="222811"/>
    <x v="4"/>
    <x v="1"/>
    <x v="1"/>
    <n v="129484"/>
    <n v="58.113827414265906"/>
    <s v="Work in progress"/>
  </r>
  <r>
    <s v="P1270"/>
    <s v="Project-335"/>
    <x v="7"/>
    <x v="5"/>
    <x v="451"/>
    <x v="606"/>
    <x v="0"/>
    <n v="706989"/>
    <n v="759541"/>
    <x v="0"/>
    <x v="3"/>
    <x v="2"/>
    <n v="-52552"/>
    <n v="-6.918915502915576"/>
    <s v="Work in progress"/>
  </r>
  <r>
    <s v="P1271"/>
    <s v="Project-433"/>
    <x v="0"/>
    <x v="1"/>
    <x v="318"/>
    <x v="148"/>
    <x v="0"/>
    <n v="395607"/>
    <n v="923546"/>
    <x v="0"/>
    <x v="0"/>
    <x v="1"/>
    <n v="-527939"/>
    <n v="-57.164342653208401"/>
    <s v="Work in progress"/>
  </r>
  <r>
    <s v="P1272"/>
    <s v="Project-984"/>
    <x v="2"/>
    <x v="2"/>
    <x v="534"/>
    <x v="501"/>
    <x v="2"/>
    <n v="671141"/>
    <n v="886842"/>
    <x v="2"/>
    <x v="0"/>
    <x v="0"/>
    <n v="-215701"/>
    <n v="-24.322370839450542"/>
    <s v="Project delivered successfully"/>
  </r>
  <r>
    <s v="P1273"/>
    <s v="Project-475"/>
    <x v="1"/>
    <x v="3"/>
    <x v="387"/>
    <x v="113"/>
    <x v="0"/>
    <n v="663720"/>
    <n v="502519"/>
    <x v="1"/>
    <x v="1"/>
    <x v="0"/>
    <n v="161201"/>
    <n v="32.078588073286781"/>
    <s v="Work in progress"/>
  </r>
  <r>
    <s v="P1274"/>
    <s v="Project-558"/>
    <x v="2"/>
    <x v="1"/>
    <x v="359"/>
    <x v="242"/>
    <x v="1"/>
    <n v="340299"/>
    <n v="737548"/>
    <x v="3"/>
    <x v="3"/>
    <x v="2"/>
    <n v="-397249"/>
    <n v="-53.860765672200316"/>
    <s v="Timeline extended"/>
  </r>
  <r>
    <s v="P1275"/>
    <s v="Project-236"/>
    <x v="5"/>
    <x v="6"/>
    <x v="594"/>
    <x v="16"/>
    <x v="1"/>
    <n v="825817"/>
    <n v="114269"/>
    <x v="4"/>
    <x v="2"/>
    <x v="2"/>
    <n v="711548"/>
    <n v="622.6955692269994"/>
    <s v="Timeline extended"/>
  </r>
  <r>
    <s v="P1276"/>
    <s v="Project-687"/>
    <x v="1"/>
    <x v="0"/>
    <x v="590"/>
    <x v="142"/>
    <x v="0"/>
    <n v="199360"/>
    <n v="84895"/>
    <x v="0"/>
    <x v="0"/>
    <x v="0"/>
    <n v="114465"/>
    <n v="134.8312621473585"/>
    <s v="Work in progress"/>
  </r>
  <r>
    <s v="P1277"/>
    <s v="Project-646"/>
    <x v="1"/>
    <x v="7"/>
    <x v="400"/>
    <x v="188"/>
    <x v="0"/>
    <n v="362732"/>
    <n v="266641"/>
    <x v="4"/>
    <x v="0"/>
    <x v="0"/>
    <n v="96091"/>
    <n v="36.03759361838577"/>
    <s v="Work in progress"/>
  </r>
  <r>
    <s v="P1278"/>
    <s v="Project-612"/>
    <x v="4"/>
    <x v="4"/>
    <x v="353"/>
    <x v="396"/>
    <x v="2"/>
    <n v="268023"/>
    <n v="429319"/>
    <x v="4"/>
    <x v="1"/>
    <x v="2"/>
    <n v="-161296"/>
    <n v="-37.57019838395226"/>
    <s v="Project delivered successfully"/>
  </r>
  <r>
    <s v="P1279"/>
    <s v="Project-395"/>
    <x v="0"/>
    <x v="2"/>
    <x v="415"/>
    <x v="450"/>
    <x v="0"/>
    <n v="741445"/>
    <n v="814118"/>
    <x v="4"/>
    <x v="3"/>
    <x v="0"/>
    <n v="-72673"/>
    <n v="-8.9265929508990087"/>
    <s v="Work in progress"/>
  </r>
  <r>
    <s v="P1280"/>
    <s v="Project-419"/>
    <x v="2"/>
    <x v="6"/>
    <x v="381"/>
    <x v="167"/>
    <x v="0"/>
    <n v="585539"/>
    <n v="938478"/>
    <x v="1"/>
    <x v="2"/>
    <x v="0"/>
    <n v="-352939"/>
    <n v="-37.607594424163381"/>
    <s v="Work in progress"/>
  </r>
  <r>
    <s v="P1281"/>
    <s v="Project-671"/>
    <x v="2"/>
    <x v="4"/>
    <x v="595"/>
    <x v="420"/>
    <x v="1"/>
    <n v="152420"/>
    <n v="354857"/>
    <x v="1"/>
    <x v="3"/>
    <x v="2"/>
    <n v="-202437"/>
    <n v="-57.047486734092892"/>
    <s v="Timeline extended"/>
  </r>
  <r>
    <s v="P1282"/>
    <s v="Project-931"/>
    <x v="0"/>
    <x v="7"/>
    <x v="198"/>
    <x v="239"/>
    <x v="0"/>
    <n v="730934"/>
    <n v="244241"/>
    <x v="1"/>
    <x v="3"/>
    <x v="1"/>
    <n v="486693"/>
    <n v="199.26752674612371"/>
    <s v="Work in progress"/>
  </r>
  <r>
    <s v="P1283"/>
    <s v="Project-448"/>
    <x v="2"/>
    <x v="6"/>
    <x v="304"/>
    <x v="607"/>
    <x v="1"/>
    <n v="321767"/>
    <n v="612927"/>
    <x v="2"/>
    <x v="2"/>
    <x v="0"/>
    <n v="-291160"/>
    <n v="-47.50321000706446"/>
    <s v="Timeline extended"/>
  </r>
  <r>
    <s v="P1284"/>
    <s v="Project-939"/>
    <x v="6"/>
    <x v="5"/>
    <x v="596"/>
    <x v="432"/>
    <x v="2"/>
    <n v="267544"/>
    <n v="1073245"/>
    <x v="1"/>
    <x v="1"/>
    <x v="1"/>
    <n v="-805701"/>
    <n v="-75.07148880264991"/>
    <s v="Project delivered successfully"/>
  </r>
  <r>
    <s v="P1285"/>
    <s v="Project-878"/>
    <x v="0"/>
    <x v="5"/>
    <x v="597"/>
    <x v="347"/>
    <x v="2"/>
    <n v="366859"/>
    <n v="108488"/>
    <x v="2"/>
    <x v="0"/>
    <x v="1"/>
    <n v="258371"/>
    <n v="238.15629378364429"/>
    <s v="Project delivered successfully"/>
  </r>
  <r>
    <s v="P1286"/>
    <s v="Project-972"/>
    <x v="4"/>
    <x v="4"/>
    <x v="596"/>
    <x v="264"/>
    <x v="0"/>
    <n v="318267"/>
    <n v="524614"/>
    <x v="0"/>
    <x v="1"/>
    <x v="0"/>
    <n v="-206347"/>
    <n v="-39.333109676829061"/>
    <s v="Work in progress"/>
  </r>
  <r>
    <s v="P1287"/>
    <s v="Project-328"/>
    <x v="3"/>
    <x v="0"/>
    <x v="416"/>
    <x v="543"/>
    <x v="0"/>
    <n v="315205"/>
    <n v="295121"/>
    <x v="0"/>
    <x v="1"/>
    <x v="1"/>
    <n v="20084"/>
    <n v="6.8053442486302229"/>
    <s v="Work in progress"/>
  </r>
  <r>
    <s v="P1288"/>
    <s v="Project-369"/>
    <x v="1"/>
    <x v="6"/>
    <x v="396"/>
    <x v="14"/>
    <x v="0"/>
    <n v="156393"/>
    <n v="932082"/>
    <x v="0"/>
    <x v="3"/>
    <x v="2"/>
    <n v="-775689"/>
    <n v="-83.221111447276101"/>
    <s v="Work in progress"/>
  </r>
  <r>
    <s v="P1289"/>
    <s v="Project-927"/>
    <x v="4"/>
    <x v="1"/>
    <x v="526"/>
    <x v="413"/>
    <x v="0"/>
    <n v="828504"/>
    <n v="424484"/>
    <x v="0"/>
    <x v="2"/>
    <x v="0"/>
    <n v="404020"/>
    <n v="95.179088022163384"/>
    <s v="Work in progress"/>
  </r>
  <r>
    <s v="P1290"/>
    <s v="Project-897"/>
    <x v="7"/>
    <x v="6"/>
    <x v="389"/>
    <x v="110"/>
    <x v="0"/>
    <n v="938467"/>
    <n v="930897"/>
    <x v="0"/>
    <x v="0"/>
    <x v="0"/>
    <n v="7570"/>
    <n v="0.81319415574440568"/>
    <s v="Work in progress"/>
  </r>
  <r>
    <s v="P1291"/>
    <s v="Project-390"/>
    <x v="5"/>
    <x v="0"/>
    <x v="598"/>
    <x v="280"/>
    <x v="0"/>
    <n v="351239"/>
    <n v="220984"/>
    <x v="1"/>
    <x v="3"/>
    <x v="1"/>
    <n v="130255"/>
    <n v="58.943181406798686"/>
    <s v="Work in progress"/>
  </r>
  <r>
    <s v="P1292"/>
    <s v="Project-824"/>
    <x v="3"/>
    <x v="6"/>
    <x v="455"/>
    <x v="403"/>
    <x v="0"/>
    <n v="240690"/>
    <n v="700392"/>
    <x v="3"/>
    <x v="0"/>
    <x v="0"/>
    <n v="-459702"/>
    <n v="-65.634958708837331"/>
    <s v="Work in progress"/>
  </r>
  <r>
    <s v="P1293"/>
    <s v="Project-264"/>
    <x v="7"/>
    <x v="4"/>
    <x v="325"/>
    <x v="608"/>
    <x v="0"/>
    <n v="995955"/>
    <n v="717477"/>
    <x v="1"/>
    <x v="3"/>
    <x v="0"/>
    <n v="278478"/>
    <n v="38.813509004469829"/>
    <s v="Work in progress"/>
  </r>
  <r>
    <s v="P1294"/>
    <s v="Project-104"/>
    <x v="1"/>
    <x v="0"/>
    <x v="139"/>
    <x v="96"/>
    <x v="2"/>
    <n v="918329"/>
    <n v="968257"/>
    <x v="3"/>
    <x v="2"/>
    <x v="1"/>
    <n v="-49928"/>
    <n v="-5.1564822149491301"/>
    <s v="Project delivered successfully"/>
  </r>
  <r>
    <s v="P1295"/>
    <s v="Project-950"/>
    <x v="2"/>
    <x v="7"/>
    <x v="245"/>
    <x v="609"/>
    <x v="0"/>
    <n v="655731"/>
    <n v="503937"/>
    <x v="1"/>
    <x v="0"/>
    <x v="1"/>
    <n v="151794"/>
    <n v="30.121622345650351"/>
    <s v="Work in progress"/>
  </r>
  <r>
    <s v="P1296"/>
    <s v="Project-478"/>
    <x v="0"/>
    <x v="2"/>
    <x v="435"/>
    <x v="91"/>
    <x v="0"/>
    <n v="430149"/>
    <n v="83096"/>
    <x v="0"/>
    <x v="0"/>
    <x v="0"/>
    <n v="347053"/>
    <n v="417.65307596033506"/>
    <s v="Work in progress"/>
  </r>
  <r>
    <s v="P1297"/>
    <s v="Project-177"/>
    <x v="1"/>
    <x v="0"/>
    <x v="179"/>
    <x v="445"/>
    <x v="2"/>
    <n v="871246"/>
    <n v="698431"/>
    <x v="4"/>
    <x v="1"/>
    <x v="0"/>
    <n v="172815"/>
    <n v="24.743317521702217"/>
    <s v="Project delivered successfully"/>
  </r>
  <r>
    <s v="P1298"/>
    <s v="Project-509"/>
    <x v="4"/>
    <x v="6"/>
    <x v="398"/>
    <x v="582"/>
    <x v="3"/>
    <n v="561048"/>
    <n v="1067588"/>
    <x v="3"/>
    <x v="3"/>
    <x v="2"/>
    <n v="-506540"/>
    <n v="-47.447142530639155"/>
    <s v="Project cancelled"/>
  </r>
  <r>
    <s v="P1299"/>
    <s v="Project-673"/>
    <x v="5"/>
    <x v="7"/>
    <x v="475"/>
    <x v="195"/>
    <x v="0"/>
    <n v="135141"/>
    <n v="824473"/>
    <x v="4"/>
    <x v="3"/>
    <x v="2"/>
    <n v="-689332"/>
    <n v="-83.60880222881768"/>
    <s v="Work in progress"/>
  </r>
  <r>
    <s v="P1300"/>
    <s v="Project-231"/>
    <x v="4"/>
    <x v="2"/>
    <x v="599"/>
    <x v="169"/>
    <x v="0"/>
    <n v="541008"/>
    <n v="767411"/>
    <x v="0"/>
    <x v="3"/>
    <x v="0"/>
    <n v="-226403"/>
    <n v="-29.502183315068457"/>
    <s v="Work in progress"/>
  </r>
  <r>
    <s v="P1301"/>
    <s v="Project-700"/>
    <x v="3"/>
    <x v="5"/>
    <x v="540"/>
    <x v="291"/>
    <x v="2"/>
    <n v="782228"/>
    <n v="532827"/>
    <x v="3"/>
    <x v="1"/>
    <x v="0"/>
    <n v="249401"/>
    <n v="46.807125014310465"/>
    <s v="Project delivered successfully"/>
  </r>
  <r>
    <s v="P1302"/>
    <s v="Project-848"/>
    <x v="3"/>
    <x v="1"/>
    <x v="600"/>
    <x v="346"/>
    <x v="1"/>
    <n v="743192"/>
    <n v="1118634"/>
    <x v="4"/>
    <x v="1"/>
    <x v="2"/>
    <n v="-375442"/>
    <n v="-33.562541456812504"/>
    <s v="Timeline extended"/>
  </r>
  <r>
    <s v="P1303"/>
    <s v="Project-141"/>
    <x v="5"/>
    <x v="4"/>
    <x v="6"/>
    <x v="368"/>
    <x v="2"/>
    <n v="714805"/>
    <n v="602551"/>
    <x v="1"/>
    <x v="0"/>
    <x v="1"/>
    <n v="112254"/>
    <n v="18.629792332931157"/>
    <s v="Project delivered successfully"/>
  </r>
  <r>
    <s v="P1304"/>
    <s v="Project-188"/>
    <x v="6"/>
    <x v="6"/>
    <x v="601"/>
    <x v="610"/>
    <x v="2"/>
    <n v="214562"/>
    <n v="252574"/>
    <x v="0"/>
    <x v="3"/>
    <x v="0"/>
    <n v="-38012"/>
    <n v="-15.049846777578058"/>
    <s v="Project delivered successfully"/>
  </r>
  <r>
    <s v="P1305"/>
    <s v="Project-501"/>
    <x v="7"/>
    <x v="6"/>
    <x v="197"/>
    <x v="355"/>
    <x v="0"/>
    <n v="604055"/>
    <n v="1183396"/>
    <x v="1"/>
    <x v="3"/>
    <x v="2"/>
    <n v="-579341"/>
    <n v="-48.955801777257996"/>
    <s v="Work in progress"/>
  </r>
  <r>
    <s v="P1306"/>
    <s v="Project-395"/>
    <x v="7"/>
    <x v="5"/>
    <x v="491"/>
    <x v="75"/>
    <x v="0"/>
    <n v="96057"/>
    <n v="661933"/>
    <x v="1"/>
    <x v="0"/>
    <x v="2"/>
    <n v="-565876"/>
    <n v="-85.488410458460294"/>
    <s v="Work in progress"/>
  </r>
  <r>
    <s v="P1307"/>
    <s v="Project-939"/>
    <x v="3"/>
    <x v="1"/>
    <x v="488"/>
    <x v="611"/>
    <x v="0"/>
    <n v="261818"/>
    <n v="729830"/>
    <x v="0"/>
    <x v="0"/>
    <x v="0"/>
    <n v="-468012"/>
    <n v="-64.126166367510237"/>
    <s v="Work in progress"/>
  </r>
  <r>
    <s v="P1308"/>
    <s v="Project-394"/>
    <x v="3"/>
    <x v="5"/>
    <x v="270"/>
    <x v="478"/>
    <x v="2"/>
    <n v="270767"/>
    <n v="519454"/>
    <x v="3"/>
    <x v="0"/>
    <x v="0"/>
    <n v="-248687"/>
    <n v="-47.874691503001223"/>
    <s v="Project delivered successfully"/>
  </r>
  <r>
    <s v="P1309"/>
    <s v="Project-715"/>
    <x v="2"/>
    <x v="3"/>
    <x v="502"/>
    <x v="501"/>
    <x v="2"/>
    <n v="746403"/>
    <n v="850007"/>
    <x v="2"/>
    <x v="2"/>
    <x v="2"/>
    <n v="-103604"/>
    <n v="-12.188605505601718"/>
    <s v="Project delivered successfully"/>
  </r>
  <r>
    <s v="P1310"/>
    <s v="Project-625"/>
    <x v="0"/>
    <x v="5"/>
    <x v="602"/>
    <x v="240"/>
    <x v="3"/>
    <n v="398899"/>
    <n v="993303"/>
    <x v="2"/>
    <x v="2"/>
    <x v="0"/>
    <n v="-594404"/>
    <n v="-59.841156223226953"/>
    <s v="Project cancelled"/>
  </r>
  <r>
    <s v="P1311"/>
    <s v="Project-899"/>
    <x v="2"/>
    <x v="7"/>
    <x v="49"/>
    <x v="40"/>
    <x v="0"/>
    <n v="864378"/>
    <n v="795064"/>
    <x v="0"/>
    <x v="0"/>
    <x v="1"/>
    <n v="69314"/>
    <n v="8.7180403087047083"/>
    <s v="Work in progress"/>
  </r>
  <r>
    <s v="P1312"/>
    <s v="Project-790"/>
    <x v="2"/>
    <x v="2"/>
    <x v="603"/>
    <x v="442"/>
    <x v="0"/>
    <n v="217659"/>
    <n v="260119"/>
    <x v="2"/>
    <x v="1"/>
    <x v="0"/>
    <n v="-42460"/>
    <n v="-16.323298182754815"/>
    <s v="Work in progress"/>
  </r>
  <r>
    <s v="P1313"/>
    <s v="Project-736"/>
    <x v="6"/>
    <x v="6"/>
    <x v="141"/>
    <x v="313"/>
    <x v="0"/>
    <n v="315508"/>
    <n v="454363"/>
    <x v="4"/>
    <x v="1"/>
    <x v="2"/>
    <n v="-138855"/>
    <n v="-30.560366931286222"/>
    <s v="Work in progress"/>
  </r>
  <r>
    <s v="P1314"/>
    <s v="Project-521"/>
    <x v="7"/>
    <x v="5"/>
    <x v="264"/>
    <x v="150"/>
    <x v="2"/>
    <n v="563993"/>
    <n v="583402"/>
    <x v="3"/>
    <x v="3"/>
    <x v="2"/>
    <n v="-19409"/>
    <n v="-3.3268655232584052"/>
    <s v="Project delivered successfully"/>
  </r>
  <r>
    <s v="P1315"/>
    <s v="Project-964"/>
    <x v="6"/>
    <x v="6"/>
    <x v="604"/>
    <x v="293"/>
    <x v="2"/>
    <n v="761448"/>
    <n v="382195"/>
    <x v="1"/>
    <x v="2"/>
    <x v="0"/>
    <n v="379253"/>
    <n v="99.230235874357334"/>
    <s v="Project delivered successfully"/>
  </r>
  <r>
    <s v="P1316"/>
    <s v="Project-122"/>
    <x v="6"/>
    <x v="0"/>
    <x v="193"/>
    <x v="612"/>
    <x v="0"/>
    <n v="560684"/>
    <n v="864175"/>
    <x v="1"/>
    <x v="2"/>
    <x v="2"/>
    <n v="-303491"/>
    <n v="-35.119159892382903"/>
    <s v="Work in progress"/>
  </r>
  <r>
    <s v="P1317"/>
    <s v="Project-674"/>
    <x v="5"/>
    <x v="1"/>
    <x v="605"/>
    <x v="167"/>
    <x v="0"/>
    <n v="651303"/>
    <n v="256941"/>
    <x v="0"/>
    <x v="0"/>
    <x v="1"/>
    <n v="394362"/>
    <n v="153.48348453536025"/>
    <s v="Work in progress"/>
  </r>
  <r>
    <s v="P1318"/>
    <s v="Project-242"/>
    <x v="7"/>
    <x v="5"/>
    <x v="494"/>
    <x v="604"/>
    <x v="0"/>
    <n v="188470"/>
    <n v="1126153"/>
    <x v="1"/>
    <x v="0"/>
    <x v="0"/>
    <n v="-937683"/>
    <n v="-83.264263381618662"/>
    <s v="Work in progress"/>
  </r>
  <r>
    <s v="P1319"/>
    <s v="Project-764"/>
    <x v="0"/>
    <x v="2"/>
    <x v="198"/>
    <x v="342"/>
    <x v="0"/>
    <n v="445668"/>
    <n v="517800"/>
    <x v="4"/>
    <x v="0"/>
    <x v="0"/>
    <n v="-72132"/>
    <n v="-13.93047508690614"/>
    <s v="Work in progress"/>
  </r>
  <r>
    <s v="P1320"/>
    <s v="Project-244"/>
    <x v="4"/>
    <x v="7"/>
    <x v="606"/>
    <x v="113"/>
    <x v="1"/>
    <n v="399352"/>
    <n v="402580"/>
    <x v="4"/>
    <x v="0"/>
    <x v="2"/>
    <n v="-3228"/>
    <n v="-0.80182820805802579"/>
    <s v="Timeline extended"/>
  </r>
  <r>
    <s v="P1321"/>
    <s v="Project-324"/>
    <x v="3"/>
    <x v="3"/>
    <x v="258"/>
    <x v="613"/>
    <x v="0"/>
    <n v="959640"/>
    <n v="557254"/>
    <x v="0"/>
    <x v="0"/>
    <x v="1"/>
    <n v="402386"/>
    <n v="72.208723490544699"/>
    <s v="Work in progress"/>
  </r>
  <r>
    <s v="P1322"/>
    <s v="Project-602"/>
    <x v="3"/>
    <x v="6"/>
    <x v="474"/>
    <x v="46"/>
    <x v="2"/>
    <n v="599633"/>
    <n v="575702"/>
    <x v="1"/>
    <x v="1"/>
    <x v="0"/>
    <n v="23931"/>
    <n v="4.1568380863710734"/>
    <s v="Project delivered successfully"/>
  </r>
  <r>
    <s v="P1323"/>
    <s v="Project-920"/>
    <x v="0"/>
    <x v="1"/>
    <x v="592"/>
    <x v="284"/>
    <x v="2"/>
    <n v="555027"/>
    <n v="1043730"/>
    <x v="2"/>
    <x v="1"/>
    <x v="2"/>
    <n v="-488703"/>
    <n v="-46.822741513609841"/>
    <s v="Project delivered successfully"/>
  </r>
  <r>
    <s v="P1324"/>
    <s v="Project-715"/>
    <x v="6"/>
    <x v="4"/>
    <x v="607"/>
    <x v="96"/>
    <x v="2"/>
    <n v="398039"/>
    <n v="1029564"/>
    <x v="2"/>
    <x v="0"/>
    <x v="0"/>
    <n v="-631525"/>
    <n v="-61.33907168471314"/>
    <s v="Project delivered successfully"/>
  </r>
  <r>
    <s v="P1325"/>
    <s v="Project-203"/>
    <x v="2"/>
    <x v="2"/>
    <x v="310"/>
    <x v="267"/>
    <x v="0"/>
    <n v="779695"/>
    <n v="123005"/>
    <x v="3"/>
    <x v="1"/>
    <x v="1"/>
    <n v="656690"/>
    <n v="533.87260680460145"/>
    <s v="Work in progress"/>
  </r>
  <r>
    <s v="P1326"/>
    <s v="Project-138"/>
    <x v="5"/>
    <x v="4"/>
    <x v="429"/>
    <x v="394"/>
    <x v="1"/>
    <n v="204125"/>
    <n v="442655"/>
    <x v="0"/>
    <x v="0"/>
    <x v="2"/>
    <n v="-238530"/>
    <n v="-53.886209350397039"/>
    <s v="Timeline extended"/>
  </r>
  <r>
    <s v="P1327"/>
    <s v="Project-297"/>
    <x v="6"/>
    <x v="2"/>
    <x v="608"/>
    <x v="152"/>
    <x v="0"/>
    <n v="830912"/>
    <n v="481436"/>
    <x v="3"/>
    <x v="0"/>
    <x v="0"/>
    <n v="349476"/>
    <n v="72.590333917696228"/>
    <s v="Work in progress"/>
  </r>
  <r>
    <s v="P1328"/>
    <s v="Project-745"/>
    <x v="3"/>
    <x v="2"/>
    <x v="609"/>
    <x v="258"/>
    <x v="0"/>
    <n v="703310"/>
    <n v="732145"/>
    <x v="2"/>
    <x v="2"/>
    <x v="2"/>
    <n v="-28835"/>
    <n v="-3.9384274972853737"/>
    <s v="Work in progress"/>
  </r>
  <r>
    <s v="P1329"/>
    <s v="Project-678"/>
    <x v="1"/>
    <x v="7"/>
    <x v="610"/>
    <x v="194"/>
    <x v="0"/>
    <n v="448231"/>
    <n v="234390"/>
    <x v="2"/>
    <x v="1"/>
    <x v="2"/>
    <n v="213841"/>
    <n v="91.232987755450324"/>
    <s v="Work in progress"/>
  </r>
  <r>
    <s v="P1330"/>
    <s v="Project-490"/>
    <x v="2"/>
    <x v="7"/>
    <x v="86"/>
    <x v="588"/>
    <x v="0"/>
    <n v="278273"/>
    <n v="753556"/>
    <x v="2"/>
    <x v="1"/>
    <x v="1"/>
    <n v="-475283"/>
    <n v="-63.072021190196878"/>
    <s v="Work in progress"/>
  </r>
  <r>
    <s v="P1331"/>
    <s v="Project-278"/>
    <x v="3"/>
    <x v="7"/>
    <x v="323"/>
    <x v="483"/>
    <x v="0"/>
    <n v="976161"/>
    <n v="1073774"/>
    <x v="3"/>
    <x v="2"/>
    <x v="1"/>
    <n v="-97613"/>
    <n v="-9.0906466351392385"/>
    <s v="Work in progress"/>
  </r>
  <r>
    <s v="P1332"/>
    <s v="Project-653"/>
    <x v="1"/>
    <x v="5"/>
    <x v="611"/>
    <x v="503"/>
    <x v="0"/>
    <n v="363260"/>
    <n v="231926"/>
    <x v="0"/>
    <x v="1"/>
    <x v="0"/>
    <n v="131334"/>
    <n v="56.627544992799429"/>
    <s v="Work in progress"/>
  </r>
  <r>
    <s v="P1333"/>
    <s v="Project-547"/>
    <x v="6"/>
    <x v="0"/>
    <x v="535"/>
    <x v="185"/>
    <x v="3"/>
    <n v="203023"/>
    <n v="59400"/>
    <x v="4"/>
    <x v="2"/>
    <x v="2"/>
    <n v="143623"/>
    <n v="241.78956228956227"/>
    <s v="Project cancelled"/>
  </r>
  <r>
    <s v="P1334"/>
    <s v="Project-599"/>
    <x v="0"/>
    <x v="2"/>
    <x v="612"/>
    <x v="146"/>
    <x v="0"/>
    <n v="409743"/>
    <n v="82763"/>
    <x v="4"/>
    <x v="3"/>
    <x v="2"/>
    <n v="326980"/>
    <n v="395.07992702052849"/>
    <s v="Work in progress"/>
  </r>
  <r>
    <s v="P1335"/>
    <s v="Project-114"/>
    <x v="0"/>
    <x v="1"/>
    <x v="435"/>
    <x v="256"/>
    <x v="2"/>
    <n v="279351"/>
    <n v="702784"/>
    <x v="2"/>
    <x v="1"/>
    <x v="2"/>
    <n v="-423433"/>
    <n v="-60.250802522538926"/>
    <s v="Project delivered successfully"/>
  </r>
  <r>
    <s v="P1336"/>
    <s v="Project-722"/>
    <x v="2"/>
    <x v="4"/>
    <x v="538"/>
    <x v="456"/>
    <x v="3"/>
    <n v="862953"/>
    <n v="923242"/>
    <x v="0"/>
    <x v="0"/>
    <x v="0"/>
    <n v="-60289"/>
    <n v="-6.5301405265358383"/>
    <s v="Project cancelled"/>
  </r>
  <r>
    <s v="P1337"/>
    <s v="Project-768"/>
    <x v="3"/>
    <x v="7"/>
    <x v="235"/>
    <x v="209"/>
    <x v="0"/>
    <n v="366575"/>
    <n v="139955"/>
    <x v="0"/>
    <x v="2"/>
    <x v="1"/>
    <n v="226620"/>
    <n v="161.92347540280804"/>
    <s v="Work in progress"/>
  </r>
  <r>
    <s v="P1338"/>
    <s v="Project-388"/>
    <x v="7"/>
    <x v="5"/>
    <x v="306"/>
    <x v="614"/>
    <x v="2"/>
    <n v="847163"/>
    <n v="966834"/>
    <x v="1"/>
    <x v="0"/>
    <x v="1"/>
    <n v="-119671"/>
    <n v="-12.377616012676427"/>
    <s v="Project delivered successfully"/>
  </r>
  <r>
    <s v="P1339"/>
    <s v="Project-577"/>
    <x v="1"/>
    <x v="7"/>
    <x v="574"/>
    <x v="542"/>
    <x v="0"/>
    <n v="724104"/>
    <n v="766626"/>
    <x v="1"/>
    <x v="0"/>
    <x v="2"/>
    <n v="-42522"/>
    <n v="-5.5466420392733875"/>
    <s v="Work in progress"/>
  </r>
  <r>
    <s v="P1340"/>
    <s v="Project-330"/>
    <x v="5"/>
    <x v="4"/>
    <x v="613"/>
    <x v="56"/>
    <x v="0"/>
    <n v="375238"/>
    <n v="688596"/>
    <x v="3"/>
    <x v="1"/>
    <x v="0"/>
    <n v="-313358"/>
    <n v="-45.506799342430106"/>
    <s v="Work in progress"/>
  </r>
  <r>
    <s v="P1341"/>
    <s v="Project-519"/>
    <x v="3"/>
    <x v="4"/>
    <x v="234"/>
    <x v="37"/>
    <x v="0"/>
    <n v="854855"/>
    <n v="754576"/>
    <x v="1"/>
    <x v="2"/>
    <x v="2"/>
    <n v="100279"/>
    <n v="13.289449969254258"/>
    <s v="Work in progress"/>
  </r>
  <r>
    <s v="P1342"/>
    <s v="Project-256"/>
    <x v="5"/>
    <x v="6"/>
    <x v="605"/>
    <x v="615"/>
    <x v="1"/>
    <n v="426756"/>
    <n v="1188178"/>
    <x v="3"/>
    <x v="3"/>
    <x v="1"/>
    <n v="-761422"/>
    <n v="-64.083159257283"/>
    <s v="Timeline extended"/>
  </r>
  <r>
    <s v="P1343"/>
    <s v="Project-649"/>
    <x v="3"/>
    <x v="2"/>
    <x v="531"/>
    <x v="432"/>
    <x v="0"/>
    <n v="985072"/>
    <n v="392315"/>
    <x v="4"/>
    <x v="0"/>
    <x v="2"/>
    <n v="592757"/>
    <n v="151.09210710780877"/>
    <s v="Work in progress"/>
  </r>
  <r>
    <s v="P1344"/>
    <s v="Project-540"/>
    <x v="7"/>
    <x v="7"/>
    <x v="586"/>
    <x v="216"/>
    <x v="2"/>
    <n v="578222"/>
    <n v="354437"/>
    <x v="2"/>
    <x v="0"/>
    <x v="2"/>
    <n v="223785"/>
    <n v="63.138159955083694"/>
    <s v="Project delivered successfully"/>
  </r>
  <r>
    <s v="P1345"/>
    <s v="Project-196"/>
    <x v="7"/>
    <x v="4"/>
    <x v="11"/>
    <x v="208"/>
    <x v="0"/>
    <n v="126945"/>
    <n v="668412"/>
    <x v="0"/>
    <x v="3"/>
    <x v="2"/>
    <n v="-541467"/>
    <n v="-81.007971131577534"/>
    <s v="Work in progress"/>
  </r>
  <r>
    <s v="P1346"/>
    <s v="Project-510"/>
    <x v="2"/>
    <x v="0"/>
    <x v="423"/>
    <x v="575"/>
    <x v="1"/>
    <n v="825842"/>
    <n v="276921"/>
    <x v="4"/>
    <x v="2"/>
    <x v="1"/>
    <n v="548921"/>
    <n v="198.22295889441392"/>
    <s v="Timeline extended"/>
  </r>
  <r>
    <s v="P1347"/>
    <s v="Project-388"/>
    <x v="2"/>
    <x v="0"/>
    <x v="614"/>
    <x v="15"/>
    <x v="0"/>
    <n v="966875"/>
    <n v="984192"/>
    <x v="4"/>
    <x v="1"/>
    <x v="0"/>
    <n v="-17317"/>
    <n v="-1.7595144036935881"/>
    <s v="Work in progress"/>
  </r>
  <r>
    <s v="P1348"/>
    <s v="Project-353"/>
    <x v="7"/>
    <x v="7"/>
    <x v="615"/>
    <x v="496"/>
    <x v="2"/>
    <n v="671234"/>
    <n v="185194"/>
    <x v="3"/>
    <x v="0"/>
    <x v="2"/>
    <n v="486040"/>
    <n v="262.44910742248669"/>
    <s v="Project delivered successfully"/>
  </r>
  <r>
    <s v="P1349"/>
    <s v="Project-295"/>
    <x v="4"/>
    <x v="5"/>
    <x v="616"/>
    <x v="75"/>
    <x v="2"/>
    <n v="670632"/>
    <n v="255612"/>
    <x v="2"/>
    <x v="1"/>
    <x v="1"/>
    <n v="415020"/>
    <n v="162.3632693300784"/>
    <s v="Project delivered successfully"/>
  </r>
  <r>
    <s v="P1350"/>
    <s v="Project-697"/>
    <x v="7"/>
    <x v="4"/>
    <x v="417"/>
    <x v="357"/>
    <x v="2"/>
    <n v="189244"/>
    <n v="429547"/>
    <x v="3"/>
    <x v="2"/>
    <x v="2"/>
    <n v="-240303"/>
    <n v="-55.94335427787879"/>
    <s v="Project delivered successfully"/>
  </r>
  <r>
    <s v="P1351"/>
    <s v="Project-933"/>
    <x v="0"/>
    <x v="6"/>
    <x v="534"/>
    <x v="338"/>
    <x v="1"/>
    <n v="601646"/>
    <n v="772462"/>
    <x v="4"/>
    <x v="3"/>
    <x v="0"/>
    <n v="-170816"/>
    <n v="-22.113191328505479"/>
    <s v="Timeline extended"/>
  </r>
  <r>
    <s v="P1352"/>
    <s v="Project-621"/>
    <x v="0"/>
    <x v="2"/>
    <x v="87"/>
    <x v="610"/>
    <x v="1"/>
    <n v="771673"/>
    <n v="403555"/>
    <x v="0"/>
    <x v="1"/>
    <x v="2"/>
    <n v="368118"/>
    <n v="91.218792977413244"/>
    <s v="Timeline extended"/>
  </r>
  <r>
    <s v="P1353"/>
    <s v="Project-616"/>
    <x v="4"/>
    <x v="2"/>
    <x v="314"/>
    <x v="223"/>
    <x v="0"/>
    <n v="179774"/>
    <n v="72262"/>
    <x v="1"/>
    <x v="2"/>
    <x v="0"/>
    <n v="107512"/>
    <n v="148.780825330049"/>
    <s v="Work in progress"/>
  </r>
  <r>
    <s v="P1354"/>
    <s v="Project-734"/>
    <x v="6"/>
    <x v="5"/>
    <x v="390"/>
    <x v="53"/>
    <x v="0"/>
    <n v="331907"/>
    <n v="1055194"/>
    <x v="3"/>
    <x v="1"/>
    <x v="1"/>
    <n v="-723287"/>
    <n v="-68.545404920801289"/>
    <s v="Work in progress"/>
  </r>
  <r>
    <s v="P1355"/>
    <s v="Project-941"/>
    <x v="1"/>
    <x v="6"/>
    <x v="591"/>
    <x v="568"/>
    <x v="0"/>
    <n v="543938"/>
    <n v="136435"/>
    <x v="4"/>
    <x v="1"/>
    <x v="0"/>
    <n v="407503"/>
    <n v="298.67922453915787"/>
    <s v="Work in progress"/>
  </r>
  <r>
    <s v="P1356"/>
    <s v="Project-964"/>
    <x v="6"/>
    <x v="2"/>
    <x v="16"/>
    <x v="284"/>
    <x v="0"/>
    <n v="539922"/>
    <n v="1057604"/>
    <x v="1"/>
    <x v="0"/>
    <x v="0"/>
    <n v="-517682"/>
    <n v="-48.948566760337521"/>
    <s v="Work in progress"/>
  </r>
  <r>
    <s v="P1357"/>
    <s v="Project-217"/>
    <x v="5"/>
    <x v="6"/>
    <x v="141"/>
    <x v="354"/>
    <x v="0"/>
    <n v="135997"/>
    <n v="744952"/>
    <x v="1"/>
    <x v="1"/>
    <x v="1"/>
    <n v="-608955"/>
    <n v="-81.74419291444282"/>
    <s v="Work in progress"/>
  </r>
  <r>
    <s v="P1358"/>
    <s v="Project-905"/>
    <x v="6"/>
    <x v="3"/>
    <x v="205"/>
    <x v="616"/>
    <x v="0"/>
    <n v="291830"/>
    <n v="719286"/>
    <x v="4"/>
    <x v="0"/>
    <x v="0"/>
    <n v="-427456"/>
    <n v="-59.427821478521757"/>
    <s v="Work in progress"/>
  </r>
  <r>
    <s v="P1359"/>
    <s v="Project-258"/>
    <x v="3"/>
    <x v="7"/>
    <x v="234"/>
    <x v="119"/>
    <x v="0"/>
    <n v="904407"/>
    <n v="902719"/>
    <x v="2"/>
    <x v="2"/>
    <x v="0"/>
    <n v="1688"/>
    <n v="0.18699063606725902"/>
    <s v="Work in progress"/>
  </r>
  <r>
    <s v="P1360"/>
    <s v="Project-914"/>
    <x v="6"/>
    <x v="2"/>
    <x v="138"/>
    <x v="617"/>
    <x v="3"/>
    <n v="188876"/>
    <n v="673606"/>
    <x v="4"/>
    <x v="2"/>
    <x v="1"/>
    <n v="-484730"/>
    <n v="-71.960463535063525"/>
    <s v="Project cancelled"/>
  </r>
  <r>
    <s v="P1361"/>
    <s v="Project-327"/>
    <x v="3"/>
    <x v="0"/>
    <x v="29"/>
    <x v="166"/>
    <x v="0"/>
    <n v="259820"/>
    <n v="422278"/>
    <x v="0"/>
    <x v="0"/>
    <x v="0"/>
    <n v="-162458"/>
    <n v="-38.471812407939794"/>
    <s v="Work in progress"/>
  </r>
  <r>
    <s v="P1362"/>
    <s v="Project-976"/>
    <x v="4"/>
    <x v="4"/>
    <x v="42"/>
    <x v="556"/>
    <x v="1"/>
    <n v="661477"/>
    <n v="571816"/>
    <x v="1"/>
    <x v="3"/>
    <x v="0"/>
    <n v="89661"/>
    <n v="15.680043930215316"/>
    <s v="Timeline extended"/>
  </r>
  <r>
    <s v="P1363"/>
    <s v="Project-315"/>
    <x v="0"/>
    <x v="6"/>
    <x v="617"/>
    <x v="581"/>
    <x v="0"/>
    <n v="661795"/>
    <n v="1078644"/>
    <x v="0"/>
    <x v="1"/>
    <x v="2"/>
    <n v="-416849"/>
    <n v="-38.64565139193283"/>
    <s v="Work in progress"/>
  </r>
  <r>
    <s v="P1364"/>
    <s v="Project-795"/>
    <x v="2"/>
    <x v="6"/>
    <x v="36"/>
    <x v="531"/>
    <x v="2"/>
    <n v="379669"/>
    <n v="885685"/>
    <x v="3"/>
    <x v="2"/>
    <x v="0"/>
    <n v="-506016"/>
    <n v="-57.13272777567645"/>
    <s v="Project delivered successfully"/>
  </r>
  <r>
    <s v="P1365"/>
    <s v="Project-114"/>
    <x v="3"/>
    <x v="1"/>
    <x v="14"/>
    <x v="608"/>
    <x v="1"/>
    <n v="673536"/>
    <n v="897186"/>
    <x v="1"/>
    <x v="2"/>
    <x v="0"/>
    <n v="-223650"/>
    <n v="-24.927941363329342"/>
    <s v="Timeline extended"/>
  </r>
  <r>
    <s v="P1366"/>
    <s v="Project-256"/>
    <x v="0"/>
    <x v="5"/>
    <x v="618"/>
    <x v="132"/>
    <x v="0"/>
    <n v="598892"/>
    <n v="383082"/>
    <x v="2"/>
    <x v="3"/>
    <x v="0"/>
    <n v="215810"/>
    <n v="56.335197164053653"/>
    <s v="Work in progress"/>
  </r>
  <r>
    <s v="P1367"/>
    <s v="Project-747"/>
    <x v="1"/>
    <x v="1"/>
    <x v="619"/>
    <x v="580"/>
    <x v="0"/>
    <n v="953017"/>
    <n v="406140"/>
    <x v="4"/>
    <x v="2"/>
    <x v="1"/>
    <n v="546877"/>
    <n v="134.65233663268822"/>
    <s v="Work in progress"/>
  </r>
  <r>
    <s v="P1368"/>
    <s v="Project-360"/>
    <x v="5"/>
    <x v="2"/>
    <x v="342"/>
    <x v="95"/>
    <x v="0"/>
    <n v="989639"/>
    <n v="1139897"/>
    <x v="3"/>
    <x v="0"/>
    <x v="0"/>
    <n v="-150258"/>
    <n v="-13.181717295510035"/>
    <s v="Work in progress"/>
  </r>
  <r>
    <s v="P1369"/>
    <s v="Project-256"/>
    <x v="1"/>
    <x v="1"/>
    <x v="167"/>
    <x v="396"/>
    <x v="0"/>
    <n v="743278"/>
    <n v="565814"/>
    <x v="0"/>
    <x v="3"/>
    <x v="1"/>
    <n v="177464"/>
    <n v="31.364370623561804"/>
    <s v="Work in progress"/>
  </r>
  <r>
    <s v="P1370"/>
    <s v="Project-146"/>
    <x v="4"/>
    <x v="1"/>
    <x v="544"/>
    <x v="436"/>
    <x v="1"/>
    <n v="179716"/>
    <n v="793871"/>
    <x v="3"/>
    <x v="2"/>
    <x v="1"/>
    <n v="-614155"/>
    <n v="-77.362065121411419"/>
    <s v="Timeline extended"/>
  </r>
  <r>
    <s v="P1371"/>
    <s v="Project-423"/>
    <x v="6"/>
    <x v="3"/>
    <x v="311"/>
    <x v="519"/>
    <x v="1"/>
    <n v="756209"/>
    <n v="514780"/>
    <x v="2"/>
    <x v="3"/>
    <x v="0"/>
    <n v="241429"/>
    <n v="46.8994521931699"/>
    <s v="Timeline extended"/>
  </r>
  <r>
    <s v="P1372"/>
    <s v="Project-943"/>
    <x v="6"/>
    <x v="6"/>
    <x v="285"/>
    <x v="341"/>
    <x v="0"/>
    <n v="211919"/>
    <n v="137535"/>
    <x v="4"/>
    <x v="3"/>
    <x v="0"/>
    <n v="74384"/>
    <n v="54.083687788562905"/>
    <s v="Work in progress"/>
  </r>
  <r>
    <s v="P1373"/>
    <s v="Project-784"/>
    <x v="7"/>
    <x v="0"/>
    <x v="54"/>
    <x v="225"/>
    <x v="0"/>
    <n v="503925"/>
    <n v="45063"/>
    <x v="3"/>
    <x v="2"/>
    <x v="0"/>
    <n v="458862"/>
    <n v="1018.2677584714734"/>
    <s v="Work in progress"/>
  </r>
  <r>
    <s v="P1374"/>
    <s v="Project-229"/>
    <x v="7"/>
    <x v="5"/>
    <x v="15"/>
    <x v="95"/>
    <x v="0"/>
    <n v="584968"/>
    <n v="1163522"/>
    <x v="0"/>
    <x v="2"/>
    <x v="0"/>
    <n v="-578554"/>
    <n v="-49.724371348371584"/>
    <s v="Work in progress"/>
  </r>
  <r>
    <s v="P1375"/>
    <s v="Project-510"/>
    <x v="7"/>
    <x v="0"/>
    <x v="29"/>
    <x v="380"/>
    <x v="0"/>
    <n v="687796"/>
    <n v="643206"/>
    <x v="3"/>
    <x v="2"/>
    <x v="0"/>
    <n v="44590"/>
    <n v="6.9324602071498083"/>
    <s v="Work in progress"/>
  </r>
  <r>
    <s v="P1376"/>
    <s v="Project-194"/>
    <x v="1"/>
    <x v="3"/>
    <x v="130"/>
    <x v="429"/>
    <x v="2"/>
    <n v="145619"/>
    <n v="1102231"/>
    <x v="4"/>
    <x v="3"/>
    <x v="0"/>
    <n v="-956612"/>
    <n v="-86.788704001248377"/>
    <s v="Project delivered successfully"/>
  </r>
  <r>
    <s v="P1377"/>
    <s v="Project-726"/>
    <x v="3"/>
    <x v="3"/>
    <x v="403"/>
    <x v="89"/>
    <x v="0"/>
    <n v="105037"/>
    <n v="173659"/>
    <x v="3"/>
    <x v="0"/>
    <x v="0"/>
    <n v="-68622"/>
    <n v="-39.515372079765513"/>
    <s v="Work in progress"/>
  </r>
  <r>
    <s v="P1378"/>
    <s v="Project-854"/>
    <x v="5"/>
    <x v="1"/>
    <x v="620"/>
    <x v="152"/>
    <x v="0"/>
    <n v="674257"/>
    <n v="582359"/>
    <x v="0"/>
    <x v="0"/>
    <x v="1"/>
    <n v="91898"/>
    <n v="15.780300467580993"/>
    <s v="Work in progress"/>
  </r>
  <r>
    <s v="P1379"/>
    <s v="Project-391"/>
    <x v="7"/>
    <x v="7"/>
    <x v="238"/>
    <x v="376"/>
    <x v="0"/>
    <n v="161115"/>
    <n v="556491"/>
    <x v="4"/>
    <x v="1"/>
    <x v="2"/>
    <n v="-395376"/>
    <n v="-71.04804929459776"/>
    <s v="Work in progress"/>
  </r>
  <r>
    <s v="P1380"/>
    <s v="Project-893"/>
    <x v="4"/>
    <x v="6"/>
    <x v="178"/>
    <x v="117"/>
    <x v="0"/>
    <n v="108914"/>
    <n v="46944"/>
    <x v="2"/>
    <x v="2"/>
    <x v="1"/>
    <n v="61970"/>
    <n v="132.00835037491478"/>
    <s v="Work in progress"/>
  </r>
  <r>
    <s v="P1381"/>
    <s v="Project-910"/>
    <x v="4"/>
    <x v="4"/>
    <x v="74"/>
    <x v="109"/>
    <x v="2"/>
    <n v="731669"/>
    <n v="229741"/>
    <x v="2"/>
    <x v="0"/>
    <x v="0"/>
    <n v="501928"/>
    <n v="218.47558772704915"/>
    <s v="Project delivered successfully"/>
  </r>
  <r>
    <s v="P1382"/>
    <s v="Project-382"/>
    <x v="7"/>
    <x v="6"/>
    <x v="222"/>
    <x v="130"/>
    <x v="0"/>
    <n v="157255"/>
    <n v="98947"/>
    <x v="1"/>
    <x v="1"/>
    <x v="2"/>
    <n v="58308"/>
    <n v="58.928517287032456"/>
    <s v="Work in progress"/>
  </r>
  <r>
    <s v="P1383"/>
    <s v="Project-168"/>
    <x v="6"/>
    <x v="4"/>
    <x v="83"/>
    <x v="325"/>
    <x v="3"/>
    <n v="584637"/>
    <n v="65191"/>
    <x v="3"/>
    <x v="1"/>
    <x v="2"/>
    <n v="519446"/>
    <n v="796.80630761914995"/>
    <s v="Project cancelled"/>
  </r>
  <r>
    <s v="P1384"/>
    <s v="Project-759"/>
    <x v="7"/>
    <x v="1"/>
    <x v="413"/>
    <x v="618"/>
    <x v="1"/>
    <n v="518295"/>
    <n v="277129"/>
    <x v="0"/>
    <x v="2"/>
    <x v="0"/>
    <n v="241166"/>
    <n v="87.023010944361658"/>
    <s v="Timeline extended"/>
  </r>
  <r>
    <s v="P1385"/>
    <s v="Project-110"/>
    <x v="5"/>
    <x v="4"/>
    <x v="182"/>
    <x v="619"/>
    <x v="0"/>
    <n v="504036"/>
    <n v="102264"/>
    <x v="3"/>
    <x v="1"/>
    <x v="0"/>
    <n v="401772"/>
    <n v="392.87725885942268"/>
    <s v="Work in progress"/>
  </r>
  <r>
    <s v="P1386"/>
    <s v="Project-353"/>
    <x v="7"/>
    <x v="3"/>
    <x v="209"/>
    <x v="534"/>
    <x v="0"/>
    <n v="256068"/>
    <n v="218996"/>
    <x v="4"/>
    <x v="0"/>
    <x v="1"/>
    <n v="37072"/>
    <n v="16.928163071471623"/>
    <s v="Work in progress"/>
  </r>
  <r>
    <s v="P1387"/>
    <s v="Project-941"/>
    <x v="5"/>
    <x v="0"/>
    <x v="446"/>
    <x v="526"/>
    <x v="1"/>
    <n v="602813"/>
    <n v="511633"/>
    <x v="1"/>
    <x v="1"/>
    <x v="2"/>
    <n v="91180"/>
    <n v="17.821368050927131"/>
    <s v="Timeline extended"/>
  </r>
  <r>
    <s v="P1388"/>
    <s v="Project-971"/>
    <x v="4"/>
    <x v="4"/>
    <x v="355"/>
    <x v="378"/>
    <x v="1"/>
    <n v="318092"/>
    <n v="239409"/>
    <x v="0"/>
    <x v="1"/>
    <x v="2"/>
    <n v="78683"/>
    <n v="32.865514663191441"/>
    <s v="Timeline extended"/>
  </r>
  <r>
    <s v="P1389"/>
    <s v="Project-649"/>
    <x v="7"/>
    <x v="6"/>
    <x v="23"/>
    <x v="620"/>
    <x v="1"/>
    <n v="588786"/>
    <n v="639251"/>
    <x v="3"/>
    <x v="0"/>
    <x v="0"/>
    <n v="-50465"/>
    <n v="-7.8943951593349091"/>
    <s v="Timeline extended"/>
  </r>
  <r>
    <s v="P1390"/>
    <s v="Project-233"/>
    <x v="1"/>
    <x v="5"/>
    <x v="593"/>
    <x v="355"/>
    <x v="0"/>
    <n v="986495"/>
    <n v="167693"/>
    <x v="0"/>
    <x v="1"/>
    <x v="0"/>
    <n v="818802"/>
    <n v="488.27440620657984"/>
    <s v="Work in progress"/>
  </r>
  <r>
    <s v="P1391"/>
    <s v="Project-811"/>
    <x v="2"/>
    <x v="1"/>
    <x v="263"/>
    <x v="438"/>
    <x v="3"/>
    <n v="795870"/>
    <n v="252621"/>
    <x v="4"/>
    <x v="1"/>
    <x v="2"/>
    <n v="543249"/>
    <n v="215.04506751220208"/>
    <s v="Project cancelled"/>
  </r>
  <r>
    <s v="P1392"/>
    <s v="Project-122"/>
    <x v="1"/>
    <x v="7"/>
    <x v="621"/>
    <x v="98"/>
    <x v="0"/>
    <n v="109790"/>
    <n v="1128314"/>
    <x v="1"/>
    <x v="3"/>
    <x v="2"/>
    <n v="-1018524"/>
    <n v="-90.269552624535365"/>
    <s v="Work in progress"/>
  </r>
  <r>
    <s v="P1393"/>
    <s v="Project-914"/>
    <x v="4"/>
    <x v="1"/>
    <x v="11"/>
    <x v="428"/>
    <x v="2"/>
    <n v="975164"/>
    <n v="218766"/>
    <x v="0"/>
    <x v="1"/>
    <x v="0"/>
    <n v="756398"/>
    <n v="345.75665322764962"/>
    <s v="Project delivered successfully"/>
  </r>
  <r>
    <s v="P1394"/>
    <s v="Project-445"/>
    <x v="5"/>
    <x v="2"/>
    <x v="110"/>
    <x v="138"/>
    <x v="1"/>
    <n v="76245"/>
    <n v="168426"/>
    <x v="4"/>
    <x v="1"/>
    <x v="0"/>
    <n v="-92181"/>
    <n v="-54.730861030957215"/>
    <s v="Timeline extended"/>
  </r>
  <r>
    <s v="P1395"/>
    <s v="Project-401"/>
    <x v="1"/>
    <x v="1"/>
    <x v="622"/>
    <x v="453"/>
    <x v="0"/>
    <n v="181310"/>
    <n v="919327"/>
    <x v="2"/>
    <x v="3"/>
    <x v="0"/>
    <n v="-738017"/>
    <n v="-80.277964206424912"/>
    <s v="Work in progress"/>
  </r>
  <r>
    <s v="P1396"/>
    <s v="Project-462"/>
    <x v="5"/>
    <x v="3"/>
    <x v="74"/>
    <x v="201"/>
    <x v="1"/>
    <n v="987424"/>
    <n v="249831"/>
    <x v="0"/>
    <x v="3"/>
    <x v="1"/>
    <n v="737593"/>
    <n v="295.23678006332278"/>
    <s v="Timeline extended"/>
  </r>
  <r>
    <s v="P1397"/>
    <s v="Project-495"/>
    <x v="1"/>
    <x v="0"/>
    <x v="531"/>
    <x v="512"/>
    <x v="0"/>
    <n v="96659"/>
    <n v="154750"/>
    <x v="1"/>
    <x v="3"/>
    <x v="1"/>
    <n v="-58091"/>
    <n v="-37.538610662358643"/>
    <s v="Work in progress"/>
  </r>
  <r>
    <s v="P1398"/>
    <s v="Project-317"/>
    <x v="1"/>
    <x v="0"/>
    <x v="623"/>
    <x v="356"/>
    <x v="3"/>
    <n v="561765"/>
    <n v="988736"/>
    <x v="0"/>
    <x v="2"/>
    <x v="0"/>
    <n v="-426971"/>
    <n v="-43.183519159816171"/>
    <s v="Project cancelled"/>
  </r>
  <r>
    <s v="P1399"/>
    <s v="Project-240"/>
    <x v="5"/>
    <x v="5"/>
    <x v="159"/>
    <x v="621"/>
    <x v="0"/>
    <n v="962415"/>
    <n v="881168"/>
    <x v="0"/>
    <x v="2"/>
    <x v="1"/>
    <n v="81247"/>
    <n v="9.2203756831841375"/>
    <s v="Work in progress"/>
  </r>
  <r>
    <s v="P1400"/>
    <s v="Project-715"/>
    <x v="3"/>
    <x v="4"/>
    <x v="74"/>
    <x v="622"/>
    <x v="3"/>
    <n v="649162"/>
    <n v="846700"/>
    <x v="4"/>
    <x v="0"/>
    <x v="2"/>
    <n v="-197538"/>
    <n v="-23.33034132514468"/>
    <s v="Project cancelled"/>
  </r>
  <r>
    <s v="P1401"/>
    <s v="Project-309"/>
    <x v="1"/>
    <x v="3"/>
    <x v="624"/>
    <x v="432"/>
    <x v="0"/>
    <n v="354661"/>
    <n v="1074332"/>
    <x v="3"/>
    <x v="1"/>
    <x v="2"/>
    <n v="-719671"/>
    <n v="-66.987765420745177"/>
    <s v="Work in progress"/>
  </r>
  <r>
    <s v="P1402"/>
    <s v="Project-722"/>
    <x v="7"/>
    <x v="2"/>
    <x v="482"/>
    <x v="623"/>
    <x v="2"/>
    <n v="700906"/>
    <n v="535871"/>
    <x v="3"/>
    <x v="0"/>
    <x v="0"/>
    <n v="165035"/>
    <n v="30.797524030970141"/>
    <s v="Project delivered successfully"/>
  </r>
  <r>
    <s v="P1403"/>
    <s v="Project-715"/>
    <x v="2"/>
    <x v="3"/>
    <x v="127"/>
    <x v="86"/>
    <x v="0"/>
    <n v="650173"/>
    <n v="689650"/>
    <x v="0"/>
    <x v="2"/>
    <x v="2"/>
    <n v="-39477"/>
    <n v="-5.7242079315594863"/>
    <s v="Work in progress"/>
  </r>
  <r>
    <s v="P1404"/>
    <s v="Project-927"/>
    <x v="4"/>
    <x v="1"/>
    <x v="625"/>
    <x v="265"/>
    <x v="0"/>
    <n v="620638"/>
    <n v="478250"/>
    <x v="1"/>
    <x v="1"/>
    <x v="2"/>
    <n v="142388"/>
    <n v="29.772713016204914"/>
    <s v="Work in progress"/>
  </r>
  <r>
    <s v="P1405"/>
    <s v="Project-782"/>
    <x v="3"/>
    <x v="3"/>
    <x v="626"/>
    <x v="561"/>
    <x v="0"/>
    <n v="913611"/>
    <n v="416794"/>
    <x v="1"/>
    <x v="1"/>
    <x v="2"/>
    <n v="496817"/>
    <n v="119.19965258616966"/>
    <s v="Work in progress"/>
  </r>
  <r>
    <s v="P1406"/>
    <s v="Project-559"/>
    <x v="5"/>
    <x v="3"/>
    <x v="98"/>
    <x v="66"/>
    <x v="2"/>
    <n v="828539"/>
    <n v="829864"/>
    <x v="4"/>
    <x v="3"/>
    <x v="2"/>
    <n v="-1325"/>
    <n v="-0.15966471614626013"/>
    <s v="Project delivered successfully"/>
  </r>
  <r>
    <s v="P1407"/>
    <s v="Project-455"/>
    <x v="3"/>
    <x v="5"/>
    <x v="198"/>
    <x v="612"/>
    <x v="0"/>
    <n v="995778"/>
    <n v="88175"/>
    <x v="0"/>
    <x v="2"/>
    <x v="2"/>
    <n v="907603"/>
    <n v="1029.3201020697477"/>
    <s v="Work in progress"/>
  </r>
  <r>
    <s v="P1408"/>
    <s v="Project-423"/>
    <x v="0"/>
    <x v="2"/>
    <x v="588"/>
    <x v="586"/>
    <x v="2"/>
    <n v="357157"/>
    <n v="1111905"/>
    <x v="0"/>
    <x v="1"/>
    <x v="1"/>
    <n v="-754748"/>
    <n v="-67.878820582693663"/>
    <s v="Project delivered successfully"/>
  </r>
  <r>
    <s v="P1409"/>
    <s v="Project-232"/>
    <x v="0"/>
    <x v="1"/>
    <x v="282"/>
    <x v="624"/>
    <x v="0"/>
    <n v="811563"/>
    <n v="457463"/>
    <x v="3"/>
    <x v="3"/>
    <x v="1"/>
    <n v="354100"/>
    <n v="77.40516719384955"/>
    <s v="Work in progress"/>
  </r>
  <r>
    <s v="P1410"/>
    <s v="Project-987"/>
    <x v="1"/>
    <x v="7"/>
    <x v="627"/>
    <x v="20"/>
    <x v="3"/>
    <n v="89913"/>
    <n v="298821"/>
    <x v="4"/>
    <x v="1"/>
    <x v="0"/>
    <n v="-208908"/>
    <n v="-69.910749244531019"/>
    <s v="Project cancelled"/>
  </r>
  <r>
    <s v="P1411"/>
    <s v="Project-904"/>
    <x v="1"/>
    <x v="5"/>
    <x v="466"/>
    <x v="34"/>
    <x v="0"/>
    <n v="285237"/>
    <n v="1009314"/>
    <x v="2"/>
    <x v="2"/>
    <x v="2"/>
    <n v="-724077"/>
    <n v="-71.739518128154373"/>
    <s v="Work in progress"/>
  </r>
  <r>
    <s v="P1412"/>
    <s v="Project-939"/>
    <x v="7"/>
    <x v="7"/>
    <x v="628"/>
    <x v="625"/>
    <x v="0"/>
    <n v="357963"/>
    <n v="80357"/>
    <x v="1"/>
    <x v="0"/>
    <x v="1"/>
    <n v="277606"/>
    <n v="345.46585860597088"/>
    <s v="Work in progress"/>
  </r>
  <r>
    <s v="P1413"/>
    <s v="Project-226"/>
    <x v="2"/>
    <x v="5"/>
    <x v="555"/>
    <x v="615"/>
    <x v="0"/>
    <n v="132168"/>
    <n v="1134388"/>
    <x v="1"/>
    <x v="0"/>
    <x v="1"/>
    <n v="-1002220"/>
    <n v="-88.348959967841694"/>
    <s v="Work in progress"/>
  </r>
  <r>
    <s v="P1414"/>
    <s v="Project-205"/>
    <x v="4"/>
    <x v="0"/>
    <x v="334"/>
    <x v="384"/>
    <x v="0"/>
    <n v="404824"/>
    <n v="595904"/>
    <x v="0"/>
    <x v="1"/>
    <x v="1"/>
    <n v="-191080"/>
    <n v="-32.065567608205349"/>
    <s v="Work in progress"/>
  </r>
  <r>
    <s v="P1415"/>
    <s v="Project-703"/>
    <x v="3"/>
    <x v="6"/>
    <x v="474"/>
    <x v="626"/>
    <x v="0"/>
    <n v="406936"/>
    <n v="484500"/>
    <x v="4"/>
    <x v="3"/>
    <x v="2"/>
    <n v="-77564"/>
    <n v="-16.009081527347782"/>
    <s v="Work in progress"/>
  </r>
  <r>
    <s v="P1416"/>
    <s v="Project-898"/>
    <x v="0"/>
    <x v="5"/>
    <x v="431"/>
    <x v="590"/>
    <x v="0"/>
    <n v="770270"/>
    <n v="215128"/>
    <x v="2"/>
    <x v="3"/>
    <x v="1"/>
    <n v="555142"/>
    <n v="258.05195046669888"/>
    <s v="Work in progress"/>
  </r>
  <r>
    <s v="P1417"/>
    <s v="Project-477"/>
    <x v="1"/>
    <x v="4"/>
    <x v="102"/>
    <x v="247"/>
    <x v="1"/>
    <n v="728845"/>
    <n v="514699"/>
    <x v="1"/>
    <x v="3"/>
    <x v="0"/>
    <n v="214146"/>
    <n v="41.606064903953573"/>
    <s v="Timeline extended"/>
  </r>
  <r>
    <s v="P1418"/>
    <s v="Project-150"/>
    <x v="6"/>
    <x v="3"/>
    <x v="178"/>
    <x v="362"/>
    <x v="2"/>
    <n v="446076"/>
    <n v="337678"/>
    <x v="4"/>
    <x v="2"/>
    <x v="0"/>
    <n v="108398"/>
    <n v="32.10099562304918"/>
    <s v="Project delivered successfully"/>
  </r>
  <r>
    <s v="P1419"/>
    <s v="Project-128"/>
    <x v="6"/>
    <x v="0"/>
    <x v="471"/>
    <x v="416"/>
    <x v="2"/>
    <n v="99875"/>
    <n v="240128"/>
    <x v="2"/>
    <x v="0"/>
    <x v="2"/>
    <n v="-140253"/>
    <n v="-58.407599280383792"/>
    <s v="Project delivered successfully"/>
  </r>
  <r>
    <s v="P1420"/>
    <s v="Project-561"/>
    <x v="4"/>
    <x v="2"/>
    <x v="408"/>
    <x v="55"/>
    <x v="0"/>
    <n v="195991"/>
    <n v="912412"/>
    <x v="0"/>
    <x v="0"/>
    <x v="0"/>
    <n v="-716421"/>
    <n v="-78.519462698868494"/>
    <s v="Work in progress"/>
  </r>
  <r>
    <s v="P1421"/>
    <s v="Project-395"/>
    <x v="3"/>
    <x v="7"/>
    <x v="200"/>
    <x v="105"/>
    <x v="2"/>
    <n v="542089"/>
    <n v="836575"/>
    <x v="3"/>
    <x v="1"/>
    <x v="1"/>
    <n v="-294486"/>
    <n v="-35.201386606102261"/>
    <s v="Project delivered successfully"/>
  </r>
  <r>
    <s v="P1422"/>
    <s v="Project-396"/>
    <x v="1"/>
    <x v="6"/>
    <x v="507"/>
    <x v="177"/>
    <x v="0"/>
    <n v="910379"/>
    <n v="1023332"/>
    <x v="1"/>
    <x v="0"/>
    <x v="2"/>
    <n v="-112953"/>
    <n v="-11.037766824451889"/>
    <s v="Work in progress"/>
  </r>
  <r>
    <s v="P1423"/>
    <s v="Project-825"/>
    <x v="1"/>
    <x v="6"/>
    <x v="369"/>
    <x v="361"/>
    <x v="2"/>
    <n v="59586"/>
    <n v="1186956"/>
    <x v="1"/>
    <x v="3"/>
    <x v="0"/>
    <n v="-1127370"/>
    <n v="-94.97993185931071"/>
    <s v="Project delivered successfully"/>
  </r>
  <r>
    <s v="P1424"/>
    <s v="Project-878"/>
    <x v="0"/>
    <x v="5"/>
    <x v="396"/>
    <x v="37"/>
    <x v="0"/>
    <n v="101986"/>
    <n v="747833"/>
    <x v="2"/>
    <x v="2"/>
    <x v="2"/>
    <n v="-645847"/>
    <n v="-86.362463277229011"/>
    <s v="Work in progress"/>
  </r>
  <r>
    <s v="P1425"/>
    <s v="Project-506"/>
    <x v="0"/>
    <x v="3"/>
    <x v="187"/>
    <x v="502"/>
    <x v="0"/>
    <n v="926280"/>
    <n v="177089"/>
    <x v="3"/>
    <x v="3"/>
    <x v="1"/>
    <n v="749191"/>
    <n v="423.05902681702418"/>
    <s v="Work in progress"/>
  </r>
  <r>
    <s v="P1426"/>
    <s v="Project-868"/>
    <x v="1"/>
    <x v="2"/>
    <x v="464"/>
    <x v="368"/>
    <x v="0"/>
    <n v="335199"/>
    <n v="1119999"/>
    <x v="4"/>
    <x v="3"/>
    <x v="0"/>
    <n v="-784800"/>
    <n v="-70.071491135259947"/>
    <s v="Work in progress"/>
  </r>
  <r>
    <s v="P1427"/>
    <s v="Project-913"/>
    <x v="5"/>
    <x v="4"/>
    <x v="257"/>
    <x v="248"/>
    <x v="1"/>
    <n v="478106"/>
    <n v="71713"/>
    <x v="0"/>
    <x v="0"/>
    <x v="1"/>
    <n v="406393"/>
    <n v="566.69362598134228"/>
    <s v="Timeline extended"/>
  </r>
  <r>
    <s v="P1428"/>
    <s v="Project-712"/>
    <x v="1"/>
    <x v="2"/>
    <x v="114"/>
    <x v="627"/>
    <x v="0"/>
    <n v="506297"/>
    <n v="628598"/>
    <x v="4"/>
    <x v="2"/>
    <x v="0"/>
    <n v="-122301"/>
    <n v="-19.456154808001298"/>
    <s v="Work in progress"/>
  </r>
  <r>
    <s v="P1429"/>
    <s v="Project-504"/>
    <x v="4"/>
    <x v="3"/>
    <x v="20"/>
    <x v="628"/>
    <x v="2"/>
    <n v="603095"/>
    <n v="818637"/>
    <x v="2"/>
    <x v="2"/>
    <x v="2"/>
    <n v="-215542"/>
    <n v="-26.329374313645733"/>
    <s v="Project delivered successfully"/>
  </r>
  <r>
    <s v="P1430"/>
    <s v="Project-445"/>
    <x v="1"/>
    <x v="4"/>
    <x v="207"/>
    <x v="225"/>
    <x v="0"/>
    <n v="266992"/>
    <n v="345410"/>
    <x v="1"/>
    <x v="3"/>
    <x v="0"/>
    <n v="-78418"/>
    <n v="-22.702874844387829"/>
    <s v="Work in progress"/>
  </r>
  <r>
    <s v="P1431"/>
    <s v="Project-721"/>
    <x v="7"/>
    <x v="2"/>
    <x v="573"/>
    <x v="489"/>
    <x v="2"/>
    <n v="883609"/>
    <n v="697702"/>
    <x v="1"/>
    <x v="1"/>
    <x v="0"/>
    <n v="185907"/>
    <n v="26.645616609956686"/>
    <s v="Project delivered successfully"/>
  </r>
  <r>
    <s v="P1432"/>
    <s v="Project-519"/>
    <x v="2"/>
    <x v="4"/>
    <x v="130"/>
    <x v="151"/>
    <x v="1"/>
    <n v="537677"/>
    <n v="748550"/>
    <x v="4"/>
    <x v="0"/>
    <x v="0"/>
    <n v="-210873"/>
    <n v="-28.170863669761538"/>
    <s v="Timeline extended"/>
  </r>
  <r>
    <s v="P1433"/>
    <s v="Project-281"/>
    <x v="7"/>
    <x v="5"/>
    <x v="374"/>
    <x v="141"/>
    <x v="0"/>
    <n v="118625"/>
    <n v="706560"/>
    <x v="0"/>
    <x v="1"/>
    <x v="2"/>
    <n v="-587935"/>
    <n v="-83.210909193840578"/>
    <s v="Work in progress"/>
  </r>
  <r>
    <s v="P1434"/>
    <s v="Project-924"/>
    <x v="7"/>
    <x v="5"/>
    <x v="629"/>
    <x v="476"/>
    <x v="0"/>
    <n v="981746"/>
    <n v="168260"/>
    <x v="2"/>
    <x v="3"/>
    <x v="0"/>
    <n v="813486"/>
    <n v="483.46963033400687"/>
    <s v="Work in progress"/>
  </r>
  <r>
    <s v="P1435"/>
    <s v="Project-100"/>
    <x v="5"/>
    <x v="3"/>
    <x v="292"/>
    <x v="530"/>
    <x v="1"/>
    <n v="368461"/>
    <n v="294952"/>
    <x v="0"/>
    <x v="0"/>
    <x v="1"/>
    <n v="73509"/>
    <n v="24.922360248447205"/>
    <s v="Timeline extended"/>
  </r>
  <r>
    <s v="P1436"/>
    <s v="Project-930"/>
    <x v="5"/>
    <x v="3"/>
    <x v="193"/>
    <x v="209"/>
    <x v="0"/>
    <n v="483194"/>
    <n v="305995"/>
    <x v="2"/>
    <x v="1"/>
    <x v="2"/>
    <n v="177199"/>
    <n v="57.909116162028795"/>
    <s v="Work in progress"/>
  </r>
  <r>
    <s v="P1437"/>
    <s v="Project-666"/>
    <x v="6"/>
    <x v="4"/>
    <x v="601"/>
    <x v="549"/>
    <x v="0"/>
    <n v="328577"/>
    <n v="504106"/>
    <x v="0"/>
    <x v="1"/>
    <x v="2"/>
    <n v="-175529"/>
    <n v="-34.819859315302729"/>
    <s v="Work in progress"/>
  </r>
  <r>
    <s v="P1438"/>
    <s v="Project-470"/>
    <x v="1"/>
    <x v="1"/>
    <x v="591"/>
    <x v="440"/>
    <x v="2"/>
    <n v="83282"/>
    <n v="553047"/>
    <x v="4"/>
    <x v="1"/>
    <x v="1"/>
    <n v="-469765"/>
    <n v="-84.941243691765806"/>
    <s v="Project delivered successfully"/>
  </r>
  <r>
    <s v="P1439"/>
    <s v="Project-760"/>
    <x v="7"/>
    <x v="0"/>
    <x v="445"/>
    <x v="13"/>
    <x v="2"/>
    <n v="650807"/>
    <n v="438274"/>
    <x v="3"/>
    <x v="0"/>
    <x v="2"/>
    <n v="212533"/>
    <n v="48.493180065438516"/>
    <s v="Project delivered successfully"/>
  </r>
  <r>
    <s v="P1440"/>
    <s v="Project-530"/>
    <x v="5"/>
    <x v="6"/>
    <x v="460"/>
    <x v="466"/>
    <x v="0"/>
    <n v="814634"/>
    <n v="568908"/>
    <x v="2"/>
    <x v="1"/>
    <x v="0"/>
    <n v="245726"/>
    <n v="43.192572437019692"/>
    <s v="Work in progress"/>
  </r>
  <r>
    <s v="P1441"/>
    <s v="Project-408"/>
    <x v="0"/>
    <x v="2"/>
    <x v="173"/>
    <x v="174"/>
    <x v="1"/>
    <n v="880010"/>
    <n v="1000259"/>
    <x v="4"/>
    <x v="2"/>
    <x v="2"/>
    <n v="-120249"/>
    <n v="-12.02178635733345"/>
    <s v="Timeline extended"/>
  </r>
  <r>
    <s v="P1442"/>
    <s v="Project-236"/>
    <x v="1"/>
    <x v="2"/>
    <x v="405"/>
    <x v="21"/>
    <x v="0"/>
    <n v="180843"/>
    <n v="617283"/>
    <x v="1"/>
    <x v="3"/>
    <x v="1"/>
    <n v="-436440"/>
    <n v="-70.703388883218878"/>
    <s v="Work in progress"/>
  </r>
  <r>
    <s v="P1443"/>
    <s v="Project-301"/>
    <x v="4"/>
    <x v="1"/>
    <x v="31"/>
    <x v="533"/>
    <x v="0"/>
    <n v="682621"/>
    <n v="590969"/>
    <x v="1"/>
    <x v="0"/>
    <x v="2"/>
    <n v="91652"/>
    <n v="15.508766111251182"/>
    <s v="Work in progress"/>
  </r>
  <r>
    <s v="P1444"/>
    <s v="Project-535"/>
    <x v="2"/>
    <x v="1"/>
    <x v="159"/>
    <x v="23"/>
    <x v="2"/>
    <n v="205205"/>
    <n v="880941"/>
    <x v="0"/>
    <x v="2"/>
    <x v="1"/>
    <n v="-675736"/>
    <n v="-76.706158528210182"/>
    <s v="Project delivered successfully"/>
  </r>
  <r>
    <s v="P1445"/>
    <s v="Project-412"/>
    <x v="3"/>
    <x v="1"/>
    <x v="91"/>
    <x v="541"/>
    <x v="0"/>
    <n v="573566"/>
    <n v="506555"/>
    <x v="1"/>
    <x v="1"/>
    <x v="2"/>
    <n v="67011"/>
    <n v="13.228770814620328"/>
    <s v="Work in progress"/>
  </r>
  <r>
    <s v="P1446"/>
    <s v="Project-216"/>
    <x v="1"/>
    <x v="7"/>
    <x v="393"/>
    <x v="624"/>
    <x v="0"/>
    <n v="624605"/>
    <n v="97703"/>
    <x v="3"/>
    <x v="3"/>
    <x v="1"/>
    <n v="526902"/>
    <n v="539.28947934045016"/>
    <s v="Work in progress"/>
  </r>
  <r>
    <s v="P1447"/>
    <s v="Project-765"/>
    <x v="3"/>
    <x v="7"/>
    <x v="630"/>
    <x v="11"/>
    <x v="2"/>
    <n v="177878"/>
    <n v="753040"/>
    <x v="2"/>
    <x v="1"/>
    <x v="2"/>
    <n v="-575162"/>
    <n v="-76.378678423456918"/>
    <s v="Project delivered successfully"/>
  </r>
  <r>
    <s v="P1448"/>
    <s v="Project-902"/>
    <x v="7"/>
    <x v="4"/>
    <x v="2"/>
    <x v="355"/>
    <x v="1"/>
    <n v="158745"/>
    <n v="334280"/>
    <x v="0"/>
    <x v="2"/>
    <x v="0"/>
    <n v="-175535"/>
    <n v="-52.511367715687449"/>
    <s v="Timeline extended"/>
  </r>
  <r>
    <s v="P1449"/>
    <s v="Project-674"/>
    <x v="2"/>
    <x v="7"/>
    <x v="248"/>
    <x v="351"/>
    <x v="1"/>
    <n v="441374"/>
    <n v="543795"/>
    <x v="2"/>
    <x v="1"/>
    <x v="1"/>
    <n v="-102421"/>
    <n v="-18.834487260824393"/>
    <s v="Timeline extended"/>
  </r>
  <r>
    <s v="P1450"/>
    <s v="Project-343"/>
    <x v="3"/>
    <x v="5"/>
    <x v="607"/>
    <x v="273"/>
    <x v="3"/>
    <n v="640238"/>
    <n v="113086"/>
    <x v="2"/>
    <x v="0"/>
    <x v="1"/>
    <n v="527152"/>
    <n v="466.15142457952351"/>
    <s v="Project cancelled"/>
  </r>
  <r>
    <s v="P1451"/>
    <s v="Project-636"/>
    <x v="7"/>
    <x v="5"/>
    <x v="437"/>
    <x v="629"/>
    <x v="1"/>
    <n v="633900"/>
    <n v="310398"/>
    <x v="4"/>
    <x v="2"/>
    <x v="2"/>
    <n v="323502"/>
    <n v="104.22167668606113"/>
    <s v="Timeline extended"/>
  </r>
  <r>
    <s v="P1452"/>
    <s v="Project-701"/>
    <x v="0"/>
    <x v="3"/>
    <x v="413"/>
    <x v="88"/>
    <x v="0"/>
    <n v="114873"/>
    <n v="353417"/>
    <x v="1"/>
    <x v="0"/>
    <x v="2"/>
    <n v="-238544"/>
    <n v="-67.496470175458455"/>
    <s v="Work in progress"/>
  </r>
  <r>
    <s v="P1453"/>
    <s v="Project-174"/>
    <x v="3"/>
    <x v="6"/>
    <x v="469"/>
    <x v="188"/>
    <x v="0"/>
    <n v="818757"/>
    <n v="147574"/>
    <x v="2"/>
    <x v="3"/>
    <x v="2"/>
    <n v="671183"/>
    <n v="454.81114559475247"/>
    <s v="Work in progress"/>
  </r>
  <r>
    <s v="P1454"/>
    <s v="Project-905"/>
    <x v="2"/>
    <x v="4"/>
    <x v="562"/>
    <x v="260"/>
    <x v="1"/>
    <n v="690080"/>
    <n v="669135"/>
    <x v="3"/>
    <x v="0"/>
    <x v="0"/>
    <n v="20945"/>
    <n v="3.1301605804508803"/>
    <s v="Timeline extended"/>
  </r>
  <r>
    <s v="P1455"/>
    <s v="Project-485"/>
    <x v="6"/>
    <x v="6"/>
    <x v="343"/>
    <x v="630"/>
    <x v="0"/>
    <n v="792138"/>
    <n v="135547"/>
    <x v="3"/>
    <x v="0"/>
    <x v="2"/>
    <n v="656591"/>
    <n v="484.40098268497269"/>
    <s v="Work in progress"/>
  </r>
  <r>
    <s v="P1456"/>
    <s v="Project-309"/>
    <x v="1"/>
    <x v="2"/>
    <x v="81"/>
    <x v="631"/>
    <x v="2"/>
    <n v="243074"/>
    <n v="567214"/>
    <x v="1"/>
    <x v="1"/>
    <x v="1"/>
    <n v="-324140"/>
    <n v="-57.145980176793941"/>
    <s v="Project delivered successfully"/>
  </r>
  <r>
    <s v="P1457"/>
    <s v="Project-574"/>
    <x v="7"/>
    <x v="0"/>
    <x v="218"/>
    <x v="64"/>
    <x v="2"/>
    <n v="543936"/>
    <n v="784719"/>
    <x v="1"/>
    <x v="1"/>
    <x v="2"/>
    <n v="-240783"/>
    <n v="-30.683977321818386"/>
    <s v="Project delivered successfully"/>
  </r>
  <r>
    <s v="P1458"/>
    <s v="Project-517"/>
    <x v="1"/>
    <x v="3"/>
    <x v="312"/>
    <x v="95"/>
    <x v="0"/>
    <n v="743739"/>
    <n v="538237"/>
    <x v="0"/>
    <x v="2"/>
    <x v="0"/>
    <n v="205502"/>
    <n v="38.180578444068317"/>
    <s v="Work in progress"/>
  </r>
  <r>
    <s v="P1459"/>
    <s v="Project-446"/>
    <x v="2"/>
    <x v="2"/>
    <x v="500"/>
    <x v="410"/>
    <x v="1"/>
    <n v="961246"/>
    <n v="541500"/>
    <x v="0"/>
    <x v="3"/>
    <x v="2"/>
    <n v="419746"/>
    <n v="77.515420129270538"/>
    <s v="Timeline extended"/>
  </r>
  <r>
    <s v="P1460"/>
    <s v="Project-628"/>
    <x v="5"/>
    <x v="2"/>
    <x v="490"/>
    <x v="41"/>
    <x v="0"/>
    <n v="589519"/>
    <n v="399531"/>
    <x v="0"/>
    <x v="2"/>
    <x v="2"/>
    <n v="189988"/>
    <n v="47.552755605947972"/>
    <s v="Work in progress"/>
  </r>
  <r>
    <s v="P1461"/>
    <s v="Project-739"/>
    <x v="7"/>
    <x v="4"/>
    <x v="313"/>
    <x v="153"/>
    <x v="0"/>
    <n v="399529"/>
    <n v="978192"/>
    <x v="1"/>
    <x v="3"/>
    <x v="1"/>
    <n v="-578663"/>
    <n v="-59.156382387097828"/>
    <s v="Work in progress"/>
  </r>
  <r>
    <s v="P1462"/>
    <s v="Project-975"/>
    <x v="3"/>
    <x v="1"/>
    <x v="432"/>
    <x v="632"/>
    <x v="3"/>
    <n v="615451"/>
    <n v="1042063"/>
    <x v="2"/>
    <x v="3"/>
    <x v="2"/>
    <n v="-426612"/>
    <n v="-40.939175462520019"/>
    <s v="Project cancelled"/>
  </r>
  <r>
    <s v="P1463"/>
    <s v="Project-862"/>
    <x v="7"/>
    <x v="1"/>
    <x v="302"/>
    <x v="181"/>
    <x v="0"/>
    <n v="958312"/>
    <n v="817357"/>
    <x v="4"/>
    <x v="0"/>
    <x v="0"/>
    <n v="140955"/>
    <n v="17.245218429645799"/>
    <s v="Work in progress"/>
  </r>
  <r>
    <s v="P1464"/>
    <s v="Project-278"/>
    <x v="1"/>
    <x v="6"/>
    <x v="591"/>
    <x v="66"/>
    <x v="0"/>
    <n v="999180"/>
    <n v="1067711"/>
    <x v="0"/>
    <x v="1"/>
    <x v="2"/>
    <n v="-68531"/>
    <n v="-6.4184971401437281"/>
    <s v="Work in progress"/>
  </r>
  <r>
    <s v="P1465"/>
    <s v="Project-281"/>
    <x v="0"/>
    <x v="3"/>
    <x v="56"/>
    <x v="633"/>
    <x v="0"/>
    <n v="924024"/>
    <n v="605883"/>
    <x v="4"/>
    <x v="3"/>
    <x v="2"/>
    <n v="318141"/>
    <n v="52.5086526606622"/>
    <s v="Work in progress"/>
  </r>
  <r>
    <s v="P1466"/>
    <s v="Project-763"/>
    <x v="7"/>
    <x v="1"/>
    <x v="196"/>
    <x v="495"/>
    <x v="1"/>
    <n v="418708"/>
    <n v="570609"/>
    <x v="3"/>
    <x v="1"/>
    <x v="1"/>
    <n v="-151901"/>
    <n v="-26.620855962664454"/>
    <s v="Timeline extended"/>
  </r>
  <r>
    <s v="P1467"/>
    <s v="Project-124"/>
    <x v="3"/>
    <x v="2"/>
    <x v="631"/>
    <x v="426"/>
    <x v="2"/>
    <n v="828755"/>
    <n v="1154709"/>
    <x v="1"/>
    <x v="3"/>
    <x v="2"/>
    <n v="-325954"/>
    <n v="-28.228237590596418"/>
    <s v="Project delivered successfully"/>
  </r>
  <r>
    <s v="P1468"/>
    <s v="Project-279"/>
    <x v="5"/>
    <x v="1"/>
    <x v="432"/>
    <x v="398"/>
    <x v="2"/>
    <n v="629823"/>
    <n v="64187"/>
    <x v="3"/>
    <x v="1"/>
    <x v="1"/>
    <n v="565636"/>
    <n v="881.23140199728914"/>
    <s v="Project delivered successfully"/>
  </r>
  <r>
    <s v="P1469"/>
    <s v="Project-809"/>
    <x v="6"/>
    <x v="7"/>
    <x v="510"/>
    <x v="634"/>
    <x v="2"/>
    <n v="423096"/>
    <n v="73835"/>
    <x v="0"/>
    <x v="2"/>
    <x v="1"/>
    <n v="349261"/>
    <n v="473.02905126295116"/>
    <s v="Project delivered successfully"/>
  </r>
  <r>
    <s v="P1470"/>
    <s v="Project-600"/>
    <x v="4"/>
    <x v="1"/>
    <x v="132"/>
    <x v="525"/>
    <x v="0"/>
    <n v="227182"/>
    <n v="1105811"/>
    <x v="2"/>
    <x v="1"/>
    <x v="2"/>
    <n v="-878629"/>
    <n v="-79.455621258967398"/>
    <s v="Work in progress"/>
  </r>
  <r>
    <s v="P1471"/>
    <s v="Project-955"/>
    <x v="0"/>
    <x v="2"/>
    <x v="28"/>
    <x v="192"/>
    <x v="1"/>
    <n v="752338"/>
    <n v="648496"/>
    <x v="0"/>
    <x v="0"/>
    <x v="1"/>
    <n v="103842"/>
    <n v="16.012743332264193"/>
    <s v="Timeline extended"/>
  </r>
  <r>
    <s v="P1472"/>
    <s v="Project-260"/>
    <x v="6"/>
    <x v="6"/>
    <x v="163"/>
    <x v="415"/>
    <x v="1"/>
    <n v="796178"/>
    <n v="97114"/>
    <x v="4"/>
    <x v="3"/>
    <x v="1"/>
    <n v="699064"/>
    <n v="719.83854027225732"/>
    <s v="Timeline extended"/>
  </r>
  <r>
    <s v="P1473"/>
    <s v="Project-276"/>
    <x v="5"/>
    <x v="4"/>
    <x v="81"/>
    <x v="403"/>
    <x v="0"/>
    <n v="777729"/>
    <n v="683479"/>
    <x v="0"/>
    <x v="0"/>
    <x v="2"/>
    <n v="94250"/>
    <n v="13.789743357147769"/>
    <s v="Work in progress"/>
  </r>
  <r>
    <s v="P1474"/>
    <s v="Project-384"/>
    <x v="7"/>
    <x v="3"/>
    <x v="559"/>
    <x v="519"/>
    <x v="0"/>
    <n v="447968"/>
    <n v="1110736"/>
    <x v="2"/>
    <x v="3"/>
    <x v="2"/>
    <n v="-662768"/>
    <n v="-59.669264343642411"/>
    <s v="Work in progress"/>
  </r>
  <r>
    <s v="P1475"/>
    <s v="Project-162"/>
    <x v="1"/>
    <x v="0"/>
    <x v="584"/>
    <x v="502"/>
    <x v="3"/>
    <n v="598795"/>
    <n v="915443"/>
    <x v="2"/>
    <x v="0"/>
    <x v="0"/>
    <n v="-316648"/>
    <n v="-34.589592142820472"/>
    <s v="Project cancelled"/>
  </r>
  <r>
    <s v="P1476"/>
    <s v="Project-761"/>
    <x v="2"/>
    <x v="1"/>
    <x v="115"/>
    <x v="122"/>
    <x v="1"/>
    <n v="528921"/>
    <n v="949284"/>
    <x v="1"/>
    <x v="3"/>
    <x v="0"/>
    <n v="-420363"/>
    <n v="-44.282111570404645"/>
    <s v="Timeline extended"/>
  </r>
  <r>
    <s v="P1477"/>
    <s v="Project-765"/>
    <x v="1"/>
    <x v="5"/>
    <x v="75"/>
    <x v="7"/>
    <x v="1"/>
    <n v="698513"/>
    <n v="1075843"/>
    <x v="1"/>
    <x v="1"/>
    <x v="1"/>
    <n v="-377330"/>
    <n v="-35.072961389347704"/>
    <s v="Timeline extended"/>
  </r>
  <r>
    <s v="P1478"/>
    <s v="Project-255"/>
    <x v="6"/>
    <x v="5"/>
    <x v="428"/>
    <x v="356"/>
    <x v="1"/>
    <n v="304295"/>
    <n v="671137"/>
    <x v="2"/>
    <x v="3"/>
    <x v="1"/>
    <n v="-366842"/>
    <n v="-54.659778852901866"/>
    <s v="Timeline extended"/>
  </r>
  <r>
    <s v="P1479"/>
    <s v="Project-981"/>
    <x v="3"/>
    <x v="6"/>
    <x v="240"/>
    <x v="157"/>
    <x v="0"/>
    <n v="160282"/>
    <n v="127052"/>
    <x v="2"/>
    <x v="0"/>
    <x v="2"/>
    <n v="33230"/>
    <n v="26.154645342064665"/>
    <s v="Work in progress"/>
  </r>
  <r>
    <s v="P1480"/>
    <s v="Project-568"/>
    <x v="1"/>
    <x v="2"/>
    <x v="369"/>
    <x v="582"/>
    <x v="2"/>
    <n v="271538"/>
    <n v="682182"/>
    <x v="4"/>
    <x v="0"/>
    <x v="0"/>
    <n v="-410644"/>
    <n v="-60.195666259150784"/>
    <s v="Project delivered successfully"/>
  </r>
  <r>
    <s v="P1481"/>
    <s v="Project-148"/>
    <x v="0"/>
    <x v="0"/>
    <x v="515"/>
    <x v="509"/>
    <x v="0"/>
    <n v="241958"/>
    <n v="193233"/>
    <x v="0"/>
    <x v="3"/>
    <x v="0"/>
    <n v="48725"/>
    <n v="25.215672271299418"/>
    <s v="Work in progress"/>
  </r>
  <r>
    <s v="P1482"/>
    <s v="Project-948"/>
    <x v="1"/>
    <x v="0"/>
    <x v="423"/>
    <x v="635"/>
    <x v="0"/>
    <n v="382703"/>
    <n v="467715"/>
    <x v="1"/>
    <x v="3"/>
    <x v="2"/>
    <n v="-85012"/>
    <n v="-18.176025998738549"/>
    <s v="Work in progress"/>
  </r>
  <r>
    <s v="P1483"/>
    <s v="Project-183"/>
    <x v="3"/>
    <x v="7"/>
    <x v="632"/>
    <x v="498"/>
    <x v="2"/>
    <n v="575270"/>
    <n v="717246"/>
    <x v="4"/>
    <x v="2"/>
    <x v="2"/>
    <n v="-141976"/>
    <n v="-19.794603246306007"/>
    <s v="Project delivered successfully"/>
  </r>
  <r>
    <s v="P1484"/>
    <s v="Project-460"/>
    <x v="4"/>
    <x v="0"/>
    <x v="274"/>
    <x v="396"/>
    <x v="0"/>
    <n v="260913"/>
    <n v="432016"/>
    <x v="0"/>
    <x v="2"/>
    <x v="2"/>
    <n v="-171103"/>
    <n v="-39.605709047813043"/>
    <s v="Work in progress"/>
  </r>
  <r>
    <s v="P1485"/>
    <s v="Project-788"/>
    <x v="7"/>
    <x v="5"/>
    <x v="405"/>
    <x v="575"/>
    <x v="2"/>
    <n v="703416"/>
    <n v="79460"/>
    <x v="1"/>
    <x v="1"/>
    <x v="2"/>
    <n v="623956"/>
    <n v="785.24540649383334"/>
    <s v="Project delivered successfully"/>
  </r>
  <r>
    <s v="P1486"/>
    <s v="Project-247"/>
    <x v="2"/>
    <x v="4"/>
    <x v="420"/>
    <x v="138"/>
    <x v="0"/>
    <n v="459362"/>
    <n v="100975"/>
    <x v="4"/>
    <x v="1"/>
    <x v="0"/>
    <n v="358387"/>
    <n v="354.9264669472642"/>
    <s v="Work in progress"/>
  </r>
  <r>
    <s v="P1487"/>
    <s v="Project-729"/>
    <x v="6"/>
    <x v="2"/>
    <x v="626"/>
    <x v="374"/>
    <x v="0"/>
    <n v="821393"/>
    <n v="949868"/>
    <x v="3"/>
    <x v="1"/>
    <x v="2"/>
    <n v="-128475"/>
    <n v="-13.525563551988276"/>
    <s v="Work in progress"/>
  </r>
  <r>
    <s v="P1488"/>
    <s v="Project-441"/>
    <x v="7"/>
    <x v="2"/>
    <x v="234"/>
    <x v="323"/>
    <x v="0"/>
    <n v="235915"/>
    <n v="95781"/>
    <x v="3"/>
    <x v="1"/>
    <x v="2"/>
    <n v="140134"/>
    <n v="146.30667877762812"/>
    <s v="Work in progress"/>
  </r>
  <r>
    <s v="P1489"/>
    <s v="Project-575"/>
    <x v="1"/>
    <x v="1"/>
    <x v="479"/>
    <x v="636"/>
    <x v="0"/>
    <n v="301762"/>
    <n v="300574"/>
    <x v="1"/>
    <x v="1"/>
    <x v="0"/>
    <n v="1188"/>
    <n v="0.39524376692594831"/>
    <s v="Work in progress"/>
  </r>
  <r>
    <s v="P1490"/>
    <s v="Project-162"/>
    <x v="5"/>
    <x v="1"/>
    <x v="266"/>
    <x v="637"/>
    <x v="0"/>
    <n v="651025"/>
    <n v="496935"/>
    <x v="4"/>
    <x v="3"/>
    <x v="2"/>
    <n v="154090"/>
    <n v="31.008079527503597"/>
    <s v="Work in progress"/>
  </r>
  <r>
    <s v="P1491"/>
    <s v="Project-800"/>
    <x v="7"/>
    <x v="1"/>
    <x v="206"/>
    <x v="265"/>
    <x v="0"/>
    <n v="132446"/>
    <n v="592980"/>
    <x v="0"/>
    <x v="2"/>
    <x v="0"/>
    <n v="-460534"/>
    <n v="-77.664339438092341"/>
    <s v="Work in progress"/>
  </r>
  <r>
    <s v="P1492"/>
    <s v="Project-459"/>
    <x v="4"/>
    <x v="5"/>
    <x v="280"/>
    <x v="638"/>
    <x v="3"/>
    <n v="138567"/>
    <n v="1108662"/>
    <x v="0"/>
    <x v="3"/>
    <x v="0"/>
    <n v="-970095"/>
    <n v="-87.501420631355629"/>
    <s v="Project cancelled"/>
  </r>
  <r>
    <s v="P1493"/>
    <s v="Project-660"/>
    <x v="1"/>
    <x v="5"/>
    <x v="207"/>
    <x v="393"/>
    <x v="0"/>
    <n v="860068"/>
    <n v="259334"/>
    <x v="4"/>
    <x v="2"/>
    <x v="2"/>
    <n v="600734"/>
    <n v="231.64490579715732"/>
    <s v="Work in progress"/>
  </r>
  <r>
    <s v="P1494"/>
    <s v="Project-426"/>
    <x v="2"/>
    <x v="6"/>
    <x v="300"/>
    <x v="564"/>
    <x v="0"/>
    <n v="394994"/>
    <n v="296051"/>
    <x v="3"/>
    <x v="2"/>
    <x v="2"/>
    <n v="98943"/>
    <n v="33.420930853130038"/>
    <s v="Work in progress"/>
  </r>
  <r>
    <s v="P1495"/>
    <s v="Project-868"/>
    <x v="3"/>
    <x v="5"/>
    <x v="18"/>
    <x v="563"/>
    <x v="2"/>
    <n v="994836"/>
    <n v="259652"/>
    <x v="4"/>
    <x v="0"/>
    <x v="1"/>
    <n v="735184"/>
    <n v="283.14205166915718"/>
    <s v="Project delivered successfully"/>
  </r>
  <r>
    <s v="P1496"/>
    <s v="Project-835"/>
    <x v="4"/>
    <x v="5"/>
    <x v="427"/>
    <x v="332"/>
    <x v="2"/>
    <n v="232506"/>
    <n v="1107180"/>
    <x v="3"/>
    <x v="0"/>
    <x v="1"/>
    <n v="-874674"/>
    <n v="-79.000162575191027"/>
    <s v="Project delivered successfully"/>
  </r>
  <r>
    <s v="P1497"/>
    <s v="Project-240"/>
    <x v="1"/>
    <x v="5"/>
    <x v="593"/>
    <x v="419"/>
    <x v="0"/>
    <n v="133866"/>
    <n v="1116445"/>
    <x v="3"/>
    <x v="2"/>
    <x v="0"/>
    <n v="-982579"/>
    <n v="-88.009619820053828"/>
    <s v="Work in progress"/>
  </r>
  <r>
    <s v="P1498"/>
    <s v="Project-314"/>
    <x v="4"/>
    <x v="5"/>
    <x v="280"/>
    <x v="171"/>
    <x v="2"/>
    <n v="766631"/>
    <n v="699897"/>
    <x v="0"/>
    <x v="3"/>
    <x v="0"/>
    <n v="66734"/>
    <n v="9.5348315537857715"/>
    <s v="Project delivered successfully"/>
  </r>
  <r>
    <s v="P1499"/>
    <s v="Project-534"/>
    <x v="7"/>
    <x v="4"/>
    <x v="471"/>
    <x v="193"/>
    <x v="2"/>
    <n v="112726"/>
    <n v="808845"/>
    <x v="1"/>
    <x v="2"/>
    <x v="1"/>
    <n v="-696119"/>
    <n v="-86.063337227775406"/>
    <s v="Project delivered successfully"/>
  </r>
  <r>
    <s v="P1500"/>
    <s v="Project-990"/>
    <x v="2"/>
    <x v="5"/>
    <x v="142"/>
    <x v="635"/>
    <x v="0"/>
    <n v="917333"/>
    <n v="673549"/>
    <x v="2"/>
    <x v="1"/>
    <x v="0"/>
    <n v="243784"/>
    <n v="36.193951739220161"/>
    <s v="Work in progress"/>
  </r>
  <r>
    <s v="P1501"/>
    <s v="Project-822"/>
    <x v="3"/>
    <x v="6"/>
    <x v="304"/>
    <x v="470"/>
    <x v="0"/>
    <n v="552253"/>
    <n v="406783"/>
    <x v="4"/>
    <x v="3"/>
    <x v="1"/>
    <n v="145470"/>
    <n v="35.761081461123005"/>
    <s v="Work in progress"/>
  </r>
  <r>
    <s v="P1502"/>
    <s v="Project-417"/>
    <x v="1"/>
    <x v="0"/>
    <x v="38"/>
    <x v="236"/>
    <x v="1"/>
    <n v="715468"/>
    <n v="460037"/>
    <x v="3"/>
    <x v="3"/>
    <x v="2"/>
    <n v="255431"/>
    <n v="55.524012199018777"/>
    <s v="Timeline extended"/>
  </r>
  <r>
    <s v="P1503"/>
    <s v="Project-131"/>
    <x v="0"/>
    <x v="0"/>
    <x v="170"/>
    <x v="403"/>
    <x v="1"/>
    <n v="643184"/>
    <n v="417736"/>
    <x v="4"/>
    <x v="2"/>
    <x v="2"/>
    <n v="225448"/>
    <n v="53.969013922668864"/>
    <s v="Timeline extended"/>
  </r>
  <r>
    <s v="P1504"/>
    <s v="Project-769"/>
    <x v="6"/>
    <x v="7"/>
    <x v="596"/>
    <x v="114"/>
    <x v="2"/>
    <n v="223625"/>
    <n v="1062333"/>
    <x v="1"/>
    <x v="1"/>
    <x v="2"/>
    <n v="-838708"/>
    <n v="-78.949632554010833"/>
    <s v="Project delivered successfully"/>
  </r>
  <r>
    <s v="P1505"/>
    <s v="Project-384"/>
    <x v="3"/>
    <x v="4"/>
    <x v="512"/>
    <x v="7"/>
    <x v="0"/>
    <n v="615168"/>
    <n v="454642"/>
    <x v="1"/>
    <x v="2"/>
    <x v="0"/>
    <n v="160526"/>
    <n v="35.30822053395859"/>
    <s v="Work in progress"/>
  </r>
  <r>
    <s v="P1506"/>
    <s v="Project-404"/>
    <x v="0"/>
    <x v="1"/>
    <x v="281"/>
    <x v="125"/>
    <x v="0"/>
    <n v="819680"/>
    <n v="649165"/>
    <x v="2"/>
    <x v="1"/>
    <x v="2"/>
    <n v="170515"/>
    <n v="26.266819683747585"/>
    <s v="Work in progress"/>
  </r>
  <r>
    <s v="P1507"/>
    <s v="Project-528"/>
    <x v="4"/>
    <x v="3"/>
    <x v="614"/>
    <x v="290"/>
    <x v="2"/>
    <n v="364221"/>
    <n v="299457"/>
    <x v="2"/>
    <x v="3"/>
    <x v="0"/>
    <n v="64764"/>
    <n v="21.62714513269017"/>
    <s v="Project delivered successfully"/>
  </r>
  <r>
    <s v="P1508"/>
    <s v="Project-576"/>
    <x v="5"/>
    <x v="5"/>
    <x v="120"/>
    <x v="639"/>
    <x v="0"/>
    <n v="53625"/>
    <n v="89668"/>
    <x v="3"/>
    <x v="2"/>
    <x v="2"/>
    <n v="-36043"/>
    <n v="-40.196056564214658"/>
    <s v="Work in progress"/>
  </r>
  <r>
    <s v="P1509"/>
    <s v="Project-385"/>
    <x v="3"/>
    <x v="7"/>
    <x v="175"/>
    <x v="157"/>
    <x v="0"/>
    <n v="88237"/>
    <n v="384100"/>
    <x v="2"/>
    <x v="1"/>
    <x v="0"/>
    <n v="-295863"/>
    <n v="-77.027596979953145"/>
    <s v="Work in progress"/>
  </r>
  <r>
    <s v="P1510"/>
    <s v="Project-243"/>
    <x v="4"/>
    <x v="3"/>
    <x v="339"/>
    <x v="134"/>
    <x v="2"/>
    <n v="51223"/>
    <n v="756610"/>
    <x v="3"/>
    <x v="0"/>
    <x v="0"/>
    <n v="-705387"/>
    <n v="-93.229933519250338"/>
    <s v="Project delivered successfully"/>
  </r>
  <r>
    <s v="P1511"/>
    <s v="Project-523"/>
    <x v="0"/>
    <x v="6"/>
    <x v="534"/>
    <x v="128"/>
    <x v="0"/>
    <n v="240375"/>
    <n v="669375"/>
    <x v="0"/>
    <x v="3"/>
    <x v="1"/>
    <n v="-429000"/>
    <n v="-64.089635854341736"/>
    <s v="Work in progress"/>
  </r>
  <r>
    <s v="P1512"/>
    <s v="Project-118"/>
    <x v="7"/>
    <x v="0"/>
    <x v="221"/>
    <x v="370"/>
    <x v="2"/>
    <n v="115197"/>
    <n v="411595"/>
    <x v="3"/>
    <x v="3"/>
    <x v="1"/>
    <n v="-296398"/>
    <n v="-72.012050680887768"/>
    <s v="Project delivered successfully"/>
  </r>
  <r>
    <s v="P1513"/>
    <s v="Project-117"/>
    <x v="7"/>
    <x v="7"/>
    <x v="54"/>
    <x v="23"/>
    <x v="1"/>
    <n v="286486"/>
    <n v="121634"/>
    <x v="2"/>
    <x v="0"/>
    <x v="1"/>
    <n v="164852"/>
    <n v="135.53118371507966"/>
    <s v="Timeline extended"/>
  </r>
  <r>
    <s v="P1514"/>
    <s v="Project-868"/>
    <x v="5"/>
    <x v="6"/>
    <x v="22"/>
    <x v="640"/>
    <x v="0"/>
    <n v="386837"/>
    <n v="989798"/>
    <x v="4"/>
    <x v="1"/>
    <x v="0"/>
    <n v="-602961"/>
    <n v="-60.917581163025183"/>
    <s v="Work in progress"/>
  </r>
  <r>
    <s v="P1515"/>
    <s v="Project-689"/>
    <x v="6"/>
    <x v="7"/>
    <x v="168"/>
    <x v="424"/>
    <x v="1"/>
    <n v="685843"/>
    <n v="139119"/>
    <x v="2"/>
    <x v="3"/>
    <x v="1"/>
    <n v="546724"/>
    <n v="392.99017387991574"/>
    <s v="Timeline extended"/>
  </r>
  <r>
    <s v="P1516"/>
    <s v="Project-470"/>
    <x v="3"/>
    <x v="2"/>
    <x v="183"/>
    <x v="499"/>
    <x v="0"/>
    <n v="349904"/>
    <n v="363935"/>
    <x v="1"/>
    <x v="1"/>
    <x v="1"/>
    <n v="-14031"/>
    <n v="-3.8553587865965078"/>
    <s v="Work in progress"/>
  </r>
  <r>
    <s v="P1517"/>
    <s v="Project-274"/>
    <x v="3"/>
    <x v="6"/>
    <x v="39"/>
    <x v="321"/>
    <x v="1"/>
    <n v="522398"/>
    <n v="983487"/>
    <x v="2"/>
    <x v="0"/>
    <x v="1"/>
    <n v="-461089"/>
    <n v="-46.883080305077755"/>
    <s v="Timeline extended"/>
  </r>
  <r>
    <s v="P1518"/>
    <s v="Project-293"/>
    <x v="3"/>
    <x v="0"/>
    <x v="153"/>
    <x v="447"/>
    <x v="0"/>
    <n v="946606"/>
    <n v="59715"/>
    <x v="0"/>
    <x v="2"/>
    <x v="0"/>
    <n v="886891"/>
    <n v="1485.2063970526667"/>
    <s v="Work in progress"/>
  </r>
  <r>
    <s v="P1519"/>
    <s v="Project-601"/>
    <x v="6"/>
    <x v="0"/>
    <x v="410"/>
    <x v="343"/>
    <x v="0"/>
    <n v="439336"/>
    <n v="983919"/>
    <x v="3"/>
    <x v="3"/>
    <x v="0"/>
    <n v="-544583"/>
    <n v="-55.348356927755226"/>
    <s v="Work in progress"/>
  </r>
  <r>
    <s v="P1520"/>
    <s v="Project-212"/>
    <x v="4"/>
    <x v="4"/>
    <x v="220"/>
    <x v="230"/>
    <x v="2"/>
    <n v="501182"/>
    <n v="248400"/>
    <x v="1"/>
    <x v="3"/>
    <x v="1"/>
    <n v="252782"/>
    <n v="101.76409017713365"/>
    <s v="Project delivered successfully"/>
  </r>
  <r>
    <s v="P1521"/>
    <s v="Project-213"/>
    <x v="2"/>
    <x v="7"/>
    <x v="236"/>
    <x v="414"/>
    <x v="0"/>
    <n v="341168"/>
    <n v="999085"/>
    <x v="3"/>
    <x v="1"/>
    <x v="1"/>
    <n v="-657917"/>
    <n v="-65.851954538402637"/>
    <s v="Work in progress"/>
  </r>
  <r>
    <s v="P1522"/>
    <s v="Project-321"/>
    <x v="2"/>
    <x v="5"/>
    <x v="633"/>
    <x v="137"/>
    <x v="1"/>
    <n v="513539"/>
    <n v="689012"/>
    <x v="3"/>
    <x v="3"/>
    <x v="0"/>
    <n v="-175473"/>
    <n v="-25.467335837401961"/>
    <s v="Timeline extended"/>
  </r>
  <r>
    <s v="P1523"/>
    <s v="Project-777"/>
    <x v="5"/>
    <x v="0"/>
    <x v="44"/>
    <x v="533"/>
    <x v="0"/>
    <n v="859634"/>
    <n v="174875"/>
    <x v="2"/>
    <x v="2"/>
    <x v="0"/>
    <n v="684759"/>
    <n v="391.57055039313798"/>
    <s v="Work in progress"/>
  </r>
  <r>
    <s v="P1524"/>
    <s v="Project-930"/>
    <x v="3"/>
    <x v="7"/>
    <x v="322"/>
    <x v="241"/>
    <x v="0"/>
    <n v="955846"/>
    <n v="298451"/>
    <x v="4"/>
    <x v="0"/>
    <x v="1"/>
    <n v="657395"/>
    <n v="220.26898887924654"/>
    <s v="Work in progress"/>
  </r>
  <r>
    <s v="P1525"/>
    <s v="Project-743"/>
    <x v="4"/>
    <x v="4"/>
    <x v="79"/>
    <x v="288"/>
    <x v="0"/>
    <n v="101524"/>
    <n v="350760"/>
    <x v="1"/>
    <x v="3"/>
    <x v="1"/>
    <n v="-249236"/>
    <n v="-71.055992701562317"/>
    <s v="Work in progress"/>
  </r>
  <r>
    <s v="P1526"/>
    <s v="Project-996"/>
    <x v="7"/>
    <x v="5"/>
    <x v="77"/>
    <x v="498"/>
    <x v="0"/>
    <n v="749268"/>
    <n v="1007987"/>
    <x v="0"/>
    <x v="0"/>
    <x v="1"/>
    <n v="-258719"/>
    <n v="-25.666898481825655"/>
    <s v="Work in progress"/>
  </r>
  <r>
    <s v="P1527"/>
    <s v="Project-363"/>
    <x v="0"/>
    <x v="6"/>
    <x v="582"/>
    <x v="393"/>
    <x v="0"/>
    <n v="479283"/>
    <n v="979078"/>
    <x v="0"/>
    <x v="1"/>
    <x v="0"/>
    <n v="-499795"/>
    <n v="-51.047516132524684"/>
    <s v="Work in progress"/>
  </r>
  <r>
    <s v="P1528"/>
    <s v="Project-154"/>
    <x v="4"/>
    <x v="4"/>
    <x v="103"/>
    <x v="341"/>
    <x v="2"/>
    <n v="452576"/>
    <n v="674116"/>
    <x v="4"/>
    <x v="2"/>
    <x v="1"/>
    <n v="-221540"/>
    <n v="-32.863780120928745"/>
    <s v="Project delivered successfully"/>
  </r>
  <r>
    <s v="P1529"/>
    <s v="Project-970"/>
    <x v="6"/>
    <x v="2"/>
    <x v="634"/>
    <x v="522"/>
    <x v="2"/>
    <n v="410372"/>
    <n v="490287"/>
    <x v="4"/>
    <x v="3"/>
    <x v="0"/>
    <n v="-79915"/>
    <n v="-16.299636743376837"/>
    <s v="Project delivered successfully"/>
  </r>
  <r>
    <s v="P1530"/>
    <s v="Project-742"/>
    <x v="2"/>
    <x v="5"/>
    <x v="317"/>
    <x v="360"/>
    <x v="1"/>
    <n v="154755"/>
    <n v="176004"/>
    <x v="2"/>
    <x v="0"/>
    <x v="2"/>
    <n v="-21249"/>
    <n v="-12.073021067703007"/>
    <s v="Timeline extended"/>
  </r>
  <r>
    <s v="P1531"/>
    <s v="Project-899"/>
    <x v="2"/>
    <x v="7"/>
    <x v="363"/>
    <x v="571"/>
    <x v="3"/>
    <n v="718301"/>
    <n v="216478"/>
    <x v="0"/>
    <x v="2"/>
    <x v="1"/>
    <n v="501823"/>
    <n v="231.81247055128003"/>
    <s v="Project cancelled"/>
  </r>
  <r>
    <s v="P1532"/>
    <s v="Project-877"/>
    <x v="7"/>
    <x v="0"/>
    <x v="493"/>
    <x v="533"/>
    <x v="0"/>
    <n v="328137"/>
    <n v="181397"/>
    <x v="1"/>
    <x v="0"/>
    <x v="2"/>
    <n v="146740"/>
    <n v="80.894391858740775"/>
    <s v="Work in progress"/>
  </r>
  <r>
    <s v="P1533"/>
    <s v="Project-557"/>
    <x v="7"/>
    <x v="0"/>
    <x v="186"/>
    <x v="476"/>
    <x v="2"/>
    <n v="588908"/>
    <n v="544507"/>
    <x v="4"/>
    <x v="1"/>
    <x v="0"/>
    <n v="44401"/>
    <n v="8.1543487962505523"/>
    <s v="Project delivered successfully"/>
  </r>
  <r>
    <s v="P1534"/>
    <s v="Project-977"/>
    <x v="6"/>
    <x v="7"/>
    <x v="3"/>
    <x v="641"/>
    <x v="0"/>
    <n v="959703"/>
    <n v="930173"/>
    <x v="4"/>
    <x v="2"/>
    <x v="2"/>
    <n v="29530"/>
    <n v="3.174678258775518"/>
    <s v="Work in progress"/>
  </r>
  <r>
    <s v="P1535"/>
    <s v="Project-261"/>
    <x v="0"/>
    <x v="7"/>
    <x v="519"/>
    <x v="42"/>
    <x v="2"/>
    <n v="594481"/>
    <n v="546529"/>
    <x v="4"/>
    <x v="2"/>
    <x v="1"/>
    <n v="47952"/>
    <n v="8.7739168461325932"/>
    <s v="Project delivered successfully"/>
  </r>
  <r>
    <s v="P1536"/>
    <s v="Project-479"/>
    <x v="7"/>
    <x v="7"/>
    <x v="13"/>
    <x v="138"/>
    <x v="0"/>
    <n v="887991"/>
    <n v="803559"/>
    <x v="1"/>
    <x v="1"/>
    <x v="2"/>
    <n v="84432"/>
    <n v="10.507255845557079"/>
    <s v="Work in progress"/>
  </r>
  <r>
    <s v="P1537"/>
    <s v="Project-186"/>
    <x v="5"/>
    <x v="1"/>
    <x v="15"/>
    <x v="428"/>
    <x v="3"/>
    <n v="333392"/>
    <n v="477246"/>
    <x v="0"/>
    <x v="1"/>
    <x v="2"/>
    <n v="-143854"/>
    <n v="-30.142526076698388"/>
    <s v="Project cancelled"/>
  </r>
  <r>
    <s v="P1538"/>
    <s v="Project-154"/>
    <x v="0"/>
    <x v="5"/>
    <x v="344"/>
    <x v="360"/>
    <x v="2"/>
    <n v="489068"/>
    <n v="1173771"/>
    <x v="1"/>
    <x v="3"/>
    <x v="2"/>
    <n v="-684703"/>
    <n v="-58.333610218688314"/>
    <s v="Project delivered successfully"/>
  </r>
  <r>
    <s v="P1539"/>
    <s v="Project-575"/>
    <x v="7"/>
    <x v="0"/>
    <x v="635"/>
    <x v="642"/>
    <x v="3"/>
    <n v="972531"/>
    <n v="419288"/>
    <x v="1"/>
    <x v="1"/>
    <x v="0"/>
    <n v="553243"/>
    <n v="131.94820743737"/>
    <s v="Project cancelled"/>
  </r>
  <r>
    <s v="P1540"/>
    <s v="Project-899"/>
    <x v="1"/>
    <x v="5"/>
    <x v="472"/>
    <x v="181"/>
    <x v="1"/>
    <n v="899842"/>
    <n v="829428"/>
    <x v="2"/>
    <x v="1"/>
    <x v="1"/>
    <n v="70414"/>
    <n v="8.489465028911491"/>
    <s v="Timeline extended"/>
  </r>
  <r>
    <s v="P1541"/>
    <s v="Project-277"/>
    <x v="4"/>
    <x v="4"/>
    <x v="156"/>
    <x v="397"/>
    <x v="1"/>
    <n v="316404"/>
    <n v="1050868"/>
    <x v="4"/>
    <x v="0"/>
    <x v="0"/>
    <n v="-734464"/>
    <n v="-69.891175675727112"/>
    <s v="Timeline extended"/>
  </r>
  <r>
    <s v="P1542"/>
    <s v="Project-490"/>
    <x v="7"/>
    <x v="0"/>
    <x v="431"/>
    <x v="204"/>
    <x v="1"/>
    <n v="874028"/>
    <n v="868917"/>
    <x v="0"/>
    <x v="2"/>
    <x v="2"/>
    <n v="5111"/>
    <n v="0.58820347628139402"/>
    <s v="Timeline extended"/>
  </r>
  <r>
    <s v="P1543"/>
    <s v="Project-448"/>
    <x v="5"/>
    <x v="1"/>
    <x v="175"/>
    <x v="535"/>
    <x v="0"/>
    <n v="812436"/>
    <n v="77830"/>
    <x v="2"/>
    <x v="0"/>
    <x v="2"/>
    <n v="734606"/>
    <n v="943.85969420531933"/>
    <s v="Work in progress"/>
  </r>
  <r>
    <s v="P1544"/>
    <s v="Project-107"/>
    <x v="3"/>
    <x v="7"/>
    <x v="570"/>
    <x v="643"/>
    <x v="0"/>
    <n v="59012"/>
    <n v="1112946"/>
    <x v="2"/>
    <x v="1"/>
    <x v="0"/>
    <n v="-1053934"/>
    <n v="-94.697676257428483"/>
    <s v="Work in progress"/>
  </r>
  <r>
    <s v="P1545"/>
    <s v="Project-932"/>
    <x v="7"/>
    <x v="2"/>
    <x v="462"/>
    <x v="85"/>
    <x v="0"/>
    <n v="75823"/>
    <n v="874004"/>
    <x v="3"/>
    <x v="3"/>
    <x v="0"/>
    <n v="-798181"/>
    <n v="-91.324639246502301"/>
    <s v="Work in progress"/>
  </r>
  <r>
    <s v="P1546"/>
    <s v="Project-412"/>
    <x v="2"/>
    <x v="7"/>
    <x v="636"/>
    <x v="644"/>
    <x v="0"/>
    <n v="910283"/>
    <n v="502224"/>
    <x v="4"/>
    <x v="0"/>
    <x v="2"/>
    <n v="408059"/>
    <n v="81.250398228678833"/>
    <s v="Work in progress"/>
  </r>
  <r>
    <s v="P1547"/>
    <s v="Project-858"/>
    <x v="2"/>
    <x v="6"/>
    <x v="585"/>
    <x v="314"/>
    <x v="0"/>
    <n v="97027"/>
    <n v="845530"/>
    <x v="0"/>
    <x v="0"/>
    <x v="1"/>
    <n v="-748503"/>
    <n v="-88.524712310621751"/>
    <s v="Work in progress"/>
  </r>
  <r>
    <s v="P1548"/>
    <s v="Project-934"/>
    <x v="2"/>
    <x v="7"/>
    <x v="212"/>
    <x v="387"/>
    <x v="0"/>
    <n v="259239"/>
    <n v="746921"/>
    <x v="0"/>
    <x v="2"/>
    <x v="0"/>
    <n v="-487682"/>
    <n v="-65.292313377184456"/>
    <s v="Work in progress"/>
  </r>
  <r>
    <s v="P1549"/>
    <s v="Project-542"/>
    <x v="3"/>
    <x v="1"/>
    <x v="637"/>
    <x v="396"/>
    <x v="0"/>
    <n v="395938"/>
    <n v="750614"/>
    <x v="0"/>
    <x v="2"/>
    <x v="2"/>
    <n v="-354676"/>
    <n v="-47.251450146147022"/>
    <s v="Work in progress"/>
  </r>
  <r>
    <s v="P1550"/>
    <s v="Project-866"/>
    <x v="2"/>
    <x v="5"/>
    <x v="400"/>
    <x v="296"/>
    <x v="3"/>
    <n v="861531"/>
    <n v="1061824"/>
    <x v="4"/>
    <x v="2"/>
    <x v="2"/>
    <n v="-200293"/>
    <n v="-18.863107256946538"/>
    <s v="Project cancelled"/>
  </r>
  <r>
    <s v="P1551"/>
    <s v="Project-427"/>
    <x v="1"/>
    <x v="0"/>
    <x v="69"/>
    <x v="186"/>
    <x v="1"/>
    <n v="937859"/>
    <n v="1099119"/>
    <x v="0"/>
    <x v="3"/>
    <x v="1"/>
    <n v="-161260"/>
    <n v="-14.671750738546056"/>
    <s v="Timeline extended"/>
  </r>
  <r>
    <s v="P1552"/>
    <s v="Project-153"/>
    <x v="7"/>
    <x v="7"/>
    <x v="430"/>
    <x v="166"/>
    <x v="0"/>
    <n v="873424"/>
    <n v="989841"/>
    <x v="1"/>
    <x v="3"/>
    <x v="2"/>
    <n v="-116417"/>
    <n v="-11.761181846377347"/>
    <s v="Work in progress"/>
  </r>
  <r>
    <s v="P1553"/>
    <s v="Project-860"/>
    <x v="6"/>
    <x v="0"/>
    <x v="91"/>
    <x v="94"/>
    <x v="0"/>
    <n v="956374"/>
    <n v="624828"/>
    <x v="1"/>
    <x v="1"/>
    <x v="0"/>
    <n v="331546"/>
    <n v="53.061962652121863"/>
    <s v="Work in progress"/>
  </r>
  <r>
    <s v="P1554"/>
    <s v="Project-338"/>
    <x v="2"/>
    <x v="3"/>
    <x v="638"/>
    <x v="502"/>
    <x v="0"/>
    <n v="954318"/>
    <n v="699156"/>
    <x v="4"/>
    <x v="1"/>
    <x v="2"/>
    <n v="255162"/>
    <n v="36.49571769390522"/>
    <s v="Work in progress"/>
  </r>
  <r>
    <s v="P1555"/>
    <s v="Project-328"/>
    <x v="0"/>
    <x v="4"/>
    <x v="146"/>
    <x v="374"/>
    <x v="0"/>
    <n v="192049"/>
    <n v="595260"/>
    <x v="0"/>
    <x v="2"/>
    <x v="2"/>
    <n v="-403211"/>
    <n v="-67.736955280045692"/>
    <s v="Work in progress"/>
  </r>
  <r>
    <s v="P1556"/>
    <s v="Project-678"/>
    <x v="6"/>
    <x v="5"/>
    <x v="47"/>
    <x v="439"/>
    <x v="2"/>
    <n v="797590"/>
    <n v="102613"/>
    <x v="3"/>
    <x v="0"/>
    <x v="2"/>
    <n v="694977"/>
    <n v="677.27968191164859"/>
    <s v="Project delivered successfully"/>
  </r>
  <r>
    <s v="P1557"/>
    <s v="Project-150"/>
    <x v="3"/>
    <x v="0"/>
    <x v="634"/>
    <x v="25"/>
    <x v="0"/>
    <n v="752736"/>
    <n v="649672"/>
    <x v="3"/>
    <x v="2"/>
    <x v="2"/>
    <n v="103064"/>
    <n v="15.864005221096184"/>
    <s v="Work in progress"/>
  </r>
  <r>
    <s v="P1558"/>
    <s v="Project-708"/>
    <x v="1"/>
    <x v="2"/>
    <x v="250"/>
    <x v="486"/>
    <x v="2"/>
    <n v="59218"/>
    <n v="829829"/>
    <x v="3"/>
    <x v="1"/>
    <x v="1"/>
    <n v="-770611"/>
    <n v="-92.863830982045698"/>
    <s v="Project delivered successfully"/>
  </r>
  <r>
    <s v="P1559"/>
    <s v="Project-703"/>
    <x v="0"/>
    <x v="4"/>
    <x v="58"/>
    <x v="15"/>
    <x v="1"/>
    <n v="333932"/>
    <n v="907237"/>
    <x v="1"/>
    <x v="0"/>
    <x v="0"/>
    <n v="-573305"/>
    <n v="-63.192418298636412"/>
    <s v="Timeline extended"/>
  </r>
  <r>
    <s v="P1560"/>
    <s v="Project-363"/>
    <x v="0"/>
    <x v="6"/>
    <x v="345"/>
    <x v="470"/>
    <x v="1"/>
    <n v="70501"/>
    <n v="1049198"/>
    <x v="3"/>
    <x v="1"/>
    <x v="2"/>
    <n v="-978697"/>
    <n v="-93.280486619303502"/>
    <s v="Timeline extended"/>
  </r>
  <r>
    <s v="P1561"/>
    <s v="Project-517"/>
    <x v="0"/>
    <x v="6"/>
    <x v="639"/>
    <x v="11"/>
    <x v="0"/>
    <n v="783349"/>
    <n v="317901"/>
    <x v="0"/>
    <x v="3"/>
    <x v="0"/>
    <n v="465448"/>
    <n v="146.41287696484127"/>
    <s v="Work in progress"/>
  </r>
  <r>
    <s v="P1562"/>
    <s v="Project-902"/>
    <x v="0"/>
    <x v="2"/>
    <x v="353"/>
    <x v="180"/>
    <x v="2"/>
    <n v="678021"/>
    <n v="1065210"/>
    <x v="0"/>
    <x v="2"/>
    <x v="1"/>
    <n v="-387189"/>
    <n v="-36.348607316867096"/>
    <s v="Project delivered successfully"/>
  </r>
  <r>
    <s v="P1563"/>
    <s v="Project-195"/>
    <x v="6"/>
    <x v="7"/>
    <x v="571"/>
    <x v="79"/>
    <x v="0"/>
    <n v="327354"/>
    <n v="700659"/>
    <x v="3"/>
    <x v="2"/>
    <x v="0"/>
    <n v="-373305"/>
    <n v="-53.279127221658463"/>
    <s v="Work in progress"/>
  </r>
  <r>
    <s v="P1564"/>
    <s v="Project-187"/>
    <x v="6"/>
    <x v="4"/>
    <x v="320"/>
    <x v="155"/>
    <x v="0"/>
    <n v="178476"/>
    <n v="285456"/>
    <x v="2"/>
    <x v="0"/>
    <x v="1"/>
    <n v="-106980"/>
    <n v="-37.476879098705226"/>
    <s v="Work in progress"/>
  </r>
  <r>
    <s v="P1565"/>
    <s v="Project-177"/>
    <x v="7"/>
    <x v="0"/>
    <x v="232"/>
    <x v="451"/>
    <x v="0"/>
    <n v="910657"/>
    <n v="411003"/>
    <x v="3"/>
    <x v="2"/>
    <x v="0"/>
    <n v="499654"/>
    <n v="121.56942893360876"/>
    <s v="Work in progress"/>
  </r>
  <r>
    <s v="P1566"/>
    <s v="Project-387"/>
    <x v="2"/>
    <x v="4"/>
    <x v="220"/>
    <x v="59"/>
    <x v="0"/>
    <n v="750849"/>
    <n v="800376"/>
    <x v="2"/>
    <x v="1"/>
    <x v="0"/>
    <n v="-49527"/>
    <n v="-6.1879666556718345"/>
    <s v="Work in progress"/>
  </r>
  <r>
    <s v="P1567"/>
    <s v="Project-219"/>
    <x v="4"/>
    <x v="7"/>
    <x v="640"/>
    <x v="645"/>
    <x v="0"/>
    <n v="273989"/>
    <n v="602618"/>
    <x v="4"/>
    <x v="1"/>
    <x v="2"/>
    <n v="-328629"/>
    <n v="-54.5335519350567"/>
    <s v="Work in progress"/>
  </r>
  <r>
    <s v="P1568"/>
    <s v="Project-913"/>
    <x v="7"/>
    <x v="1"/>
    <x v="168"/>
    <x v="502"/>
    <x v="0"/>
    <n v="900153"/>
    <n v="1119408"/>
    <x v="4"/>
    <x v="3"/>
    <x v="0"/>
    <n v="-219255"/>
    <n v="-19.586692251618711"/>
    <s v="Work in progress"/>
  </r>
  <r>
    <s v="P1569"/>
    <s v="Project-590"/>
    <x v="7"/>
    <x v="5"/>
    <x v="375"/>
    <x v="229"/>
    <x v="2"/>
    <n v="538260"/>
    <n v="181170"/>
    <x v="0"/>
    <x v="1"/>
    <x v="2"/>
    <n v="357090"/>
    <n v="197.10216923331677"/>
    <s v="Project delivered successfully"/>
  </r>
  <r>
    <s v="P1570"/>
    <s v="Project-551"/>
    <x v="1"/>
    <x v="2"/>
    <x v="641"/>
    <x v="561"/>
    <x v="2"/>
    <n v="485869"/>
    <n v="659275"/>
    <x v="1"/>
    <x v="0"/>
    <x v="2"/>
    <n v="-173406"/>
    <n v="-26.302529293542147"/>
    <s v="Project delivered successfully"/>
  </r>
  <r>
    <s v="P1571"/>
    <s v="Project-599"/>
    <x v="1"/>
    <x v="7"/>
    <x v="160"/>
    <x v="92"/>
    <x v="0"/>
    <n v="529894"/>
    <n v="735322"/>
    <x v="0"/>
    <x v="1"/>
    <x v="0"/>
    <n v="-205428"/>
    <n v="-27.937148623324205"/>
    <s v="Work in progress"/>
  </r>
  <r>
    <s v="P1572"/>
    <s v="Project-264"/>
    <x v="2"/>
    <x v="1"/>
    <x v="382"/>
    <x v="322"/>
    <x v="0"/>
    <n v="222022"/>
    <n v="852317"/>
    <x v="0"/>
    <x v="3"/>
    <x v="2"/>
    <n v="-630295"/>
    <n v="-73.95077183723896"/>
    <s v="Work in progress"/>
  </r>
  <r>
    <s v="P1573"/>
    <s v="Project-281"/>
    <x v="4"/>
    <x v="4"/>
    <x v="103"/>
    <x v="72"/>
    <x v="1"/>
    <n v="714276"/>
    <n v="51157"/>
    <x v="1"/>
    <x v="3"/>
    <x v="0"/>
    <n v="663119"/>
    <n v="1296.2429384053014"/>
    <s v="Timeline extended"/>
  </r>
  <r>
    <s v="P1574"/>
    <s v="Project-568"/>
    <x v="1"/>
    <x v="4"/>
    <x v="403"/>
    <x v="249"/>
    <x v="0"/>
    <n v="246983"/>
    <n v="471588"/>
    <x v="0"/>
    <x v="2"/>
    <x v="2"/>
    <n v="-224605"/>
    <n v="-47.627378135151872"/>
    <s v="Work in progress"/>
  </r>
  <r>
    <s v="P1575"/>
    <s v="Project-834"/>
    <x v="2"/>
    <x v="7"/>
    <x v="582"/>
    <x v="479"/>
    <x v="1"/>
    <n v="605737"/>
    <n v="49674"/>
    <x v="1"/>
    <x v="0"/>
    <x v="2"/>
    <n v="556063"/>
    <n v="1119.4246487095866"/>
    <s v="Timeline extended"/>
  </r>
  <r>
    <s v="P1576"/>
    <s v="Project-922"/>
    <x v="2"/>
    <x v="0"/>
    <x v="256"/>
    <x v="646"/>
    <x v="2"/>
    <n v="401477"/>
    <n v="586645"/>
    <x v="0"/>
    <x v="1"/>
    <x v="1"/>
    <n v="-185168"/>
    <n v="-31.563892984684095"/>
    <s v="Project delivered successfully"/>
  </r>
  <r>
    <s v="P1577"/>
    <s v="Project-106"/>
    <x v="6"/>
    <x v="4"/>
    <x v="60"/>
    <x v="339"/>
    <x v="0"/>
    <n v="332926"/>
    <n v="304722"/>
    <x v="4"/>
    <x v="3"/>
    <x v="1"/>
    <n v="28204"/>
    <n v="9.2556494115948311"/>
    <s v="Work in progress"/>
  </r>
  <r>
    <s v="P1578"/>
    <s v="Project-429"/>
    <x v="5"/>
    <x v="0"/>
    <x v="77"/>
    <x v="647"/>
    <x v="0"/>
    <n v="535780"/>
    <n v="240121"/>
    <x v="2"/>
    <x v="1"/>
    <x v="0"/>
    <n v="295659"/>
    <n v="123.12917237559398"/>
    <s v="Work in progress"/>
  </r>
  <r>
    <s v="P1579"/>
    <s v="Project-874"/>
    <x v="6"/>
    <x v="0"/>
    <x v="352"/>
    <x v="129"/>
    <x v="0"/>
    <n v="856675"/>
    <n v="470087"/>
    <x v="0"/>
    <x v="3"/>
    <x v="2"/>
    <n v="386588"/>
    <n v="82.237543263268293"/>
    <s v="Work in progress"/>
  </r>
  <r>
    <s v="P1580"/>
    <s v="Project-772"/>
    <x v="4"/>
    <x v="5"/>
    <x v="642"/>
    <x v="41"/>
    <x v="0"/>
    <n v="559590"/>
    <n v="710859"/>
    <x v="2"/>
    <x v="2"/>
    <x v="1"/>
    <n v="-151269"/>
    <n v="-21.279747460466844"/>
    <s v="Work in progress"/>
  </r>
  <r>
    <s v="P1581"/>
    <s v="Project-250"/>
    <x v="1"/>
    <x v="0"/>
    <x v="462"/>
    <x v="80"/>
    <x v="0"/>
    <n v="603667"/>
    <n v="953925"/>
    <x v="3"/>
    <x v="3"/>
    <x v="1"/>
    <n v="-350258"/>
    <n v="-36.717561653169803"/>
    <s v="Work in progress"/>
  </r>
  <r>
    <s v="P1582"/>
    <s v="Project-184"/>
    <x v="4"/>
    <x v="3"/>
    <x v="166"/>
    <x v="561"/>
    <x v="2"/>
    <n v="87780"/>
    <n v="737564"/>
    <x v="0"/>
    <x v="2"/>
    <x v="1"/>
    <n v="-649784"/>
    <n v="-88.098659912902477"/>
    <s v="Project delivered successfully"/>
  </r>
  <r>
    <s v="P1583"/>
    <s v="Project-246"/>
    <x v="7"/>
    <x v="5"/>
    <x v="643"/>
    <x v="371"/>
    <x v="0"/>
    <n v="998244"/>
    <n v="972095"/>
    <x v="4"/>
    <x v="0"/>
    <x v="2"/>
    <n v="26149"/>
    <n v="2.6899634295002031"/>
    <s v="Work in progress"/>
  </r>
  <r>
    <s v="P1584"/>
    <s v="Project-723"/>
    <x v="7"/>
    <x v="1"/>
    <x v="466"/>
    <x v="156"/>
    <x v="0"/>
    <n v="689232"/>
    <n v="746300"/>
    <x v="1"/>
    <x v="1"/>
    <x v="0"/>
    <n v="-57068"/>
    <n v="-7.6467908347849392"/>
    <s v="Work in progress"/>
  </r>
  <r>
    <s v="P1585"/>
    <s v="Project-480"/>
    <x v="4"/>
    <x v="1"/>
    <x v="205"/>
    <x v="262"/>
    <x v="2"/>
    <n v="832734"/>
    <n v="173274"/>
    <x v="4"/>
    <x v="1"/>
    <x v="2"/>
    <n v="659460"/>
    <n v="380.5879704975934"/>
    <s v="Project delivered successfully"/>
  </r>
  <r>
    <s v="P1586"/>
    <s v="Project-647"/>
    <x v="5"/>
    <x v="4"/>
    <x v="66"/>
    <x v="648"/>
    <x v="0"/>
    <n v="856416"/>
    <n v="524166"/>
    <x v="2"/>
    <x v="2"/>
    <x v="2"/>
    <n v="332250"/>
    <n v="63.386408122617645"/>
    <s v="Work in progress"/>
  </r>
  <r>
    <s v="P1587"/>
    <s v="Project-384"/>
    <x v="5"/>
    <x v="4"/>
    <x v="558"/>
    <x v="524"/>
    <x v="0"/>
    <n v="574338"/>
    <n v="416125"/>
    <x v="1"/>
    <x v="0"/>
    <x v="1"/>
    <n v="158213"/>
    <n v="38.020546710723941"/>
    <s v="Work in progress"/>
  </r>
  <r>
    <s v="P1588"/>
    <s v="Project-799"/>
    <x v="6"/>
    <x v="0"/>
    <x v="422"/>
    <x v="251"/>
    <x v="0"/>
    <n v="974094"/>
    <n v="549071"/>
    <x v="4"/>
    <x v="2"/>
    <x v="2"/>
    <n v="425023"/>
    <n v="77.407657661759586"/>
    <s v="Work in progress"/>
  </r>
  <r>
    <s v="P1589"/>
    <s v="Project-181"/>
    <x v="4"/>
    <x v="5"/>
    <x v="644"/>
    <x v="365"/>
    <x v="0"/>
    <n v="614493"/>
    <n v="252274"/>
    <x v="4"/>
    <x v="3"/>
    <x v="2"/>
    <n v="362219"/>
    <n v="143.58158193075784"/>
    <s v="Work in progress"/>
  </r>
  <r>
    <s v="P1590"/>
    <s v="Project-613"/>
    <x v="1"/>
    <x v="5"/>
    <x v="455"/>
    <x v="349"/>
    <x v="2"/>
    <n v="851594"/>
    <n v="853509"/>
    <x v="4"/>
    <x v="2"/>
    <x v="1"/>
    <n v="-1915"/>
    <n v="-0.22436787426963278"/>
    <s v="Project delivered successfully"/>
  </r>
  <r>
    <s v="P1591"/>
    <s v="Project-996"/>
    <x v="6"/>
    <x v="3"/>
    <x v="97"/>
    <x v="86"/>
    <x v="0"/>
    <n v="361890"/>
    <n v="285672"/>
    <x v="1"/>
    <x v="0"/>
    <x v="1"/>
    <n v="76218"/>
    <n v="26.680248676804169"/>
    <s v="Work in progress"/>
  </r>
  <r>
    <s v="P1592"/>
    <s v="Project-914"/>
    <x v="3"/>
    <x v="0"/>
    <x v="532"/>
    <x v="57"/>
    <x v="2"/>
    <n v="718465"/>
    <n v="180468"/>
    <x v="4"/>
    <x v="3"/>
    <x v="2"/>
    <n v="537997"/>
    <n v="298.11213068244786"/>
    <s v="Project delivered successfully"/>
  </r>
  <r>
    <s v="P1593"/>
    <s v="Project-808"/>
    <x v="5"/>
    <x v="3"/>
    <x v="338"/>
    <x v="643"/>
    <x v="0"/>
    <n v="480715"/>
    <n v="484064"/>
    <x v="4"/>
    <x v="1"/>
    <x v="1"/>
    <n v="-3349"/>
    <n v="-0.69185066437495868"/>
    <s v="Work in progress"/>
  </r>
  <r>
    <s v="P1594"/>
    <s v="Project-622"/>
    <x v="0"/>
    <x v="6"/>
    <x v="480"/>
    <x v="137"/>
    <x v="0"/>
    <n v="479857"/>
    <n v="768848"/>
    <x v="2"/>
    <x v="1"/>
    <x v="0"/>
    <n v="-288991"/>
    <n v="-37.587533556697814"/>
    <s v="Work in progress"/>
  </r>
  <r>
    <s v="P1595"/>
    <s v="Project-845"/>
    <x v="6"/>
    <x v="0"/>
    <x v="635"/>
    <x v="592"/>
    <x v="0"/>
    <n v="585916"/>
    <n v="90530"/>
    <x v="4"/>
    <x v="1"/>
    <x v="0"/>
    <n v="495386"/>
    <n v="547.20645090025403"/>
    <s v="Work in progress"/>
  </r>
  <r>
    <s v="P1596"/>
    <s v="Project-485"/>
    <x v="7"/>
    <x v="2"/>
    <x v="373"/>
    <x v="37"/>
    <x v="2"/>
    <n v="223104"/>
    <n v="225346"/>
    <x v="4"/>
    <x v="0"/>
    <x v="0"/>
    <n v="-2242"/>
    <n v="-0.99491448705546148"/>
    <s v="Project delivered successfully"/>
  </r>
  <r>
    <s v="P1597"/>
    <s v="Project-806"/>
    <x v="6"/>
    <x v="2"/>
    <x v="604"/>
    <x v="252"/>
    <x v="0"/>
    <n v="508245"/>
    <n v="57122"/>
    <x v="3"/>
    <x v="0"/>
    <x v="0"/>
    <n v="451123"/>
    <n v="789.75351003116134"/>
    <s v="Work in progress"/>
  </r>
  <r>
    <s v="P1598"/>
    <s v="Project-570"/>
    <x v="4"/>
    <x v="7"/>
    <x v="526"/>
    <x v="94"/>
    <x v="0"/>
    <n v="350660"/>
    <n v="845813"/>
    <x v="1"/>
    <x v="0"/>
    <x v="0"/>
    <n v="-495153"/>
    <n v="-58.541663464619255"/>
    <s v="Work in progress"/>
  </r>
  <r>
    <s v="P1599"/>
    <s v="Project-218"/>
    <x v="0"/>
    <x v="0"/>
    <x v="154"/>
    <x v="379"/>
    <x v="2"/>
    <n v="399301"/>
    <n v="708627"/>
    <x v="3"/>
    <x v="0"/>
    <x v="1"/>
    <n v="-309326"/>
    <n v="-43.651455561247317"/>
    <s v="Project delivered successfully"/>
  </r>
  <r>
    <s v="P1600"/>
    <s v="Project-495"/>
    <x v="4"/>
    <x v="5"/>
    <x v="219"/>
    <x v="649"/>
    <x v="0"/>
    <n v="444692"/>
    <n v="543888"/>
    <x v="2"/>
    <x v="0"/>
    <x v="1"/>
    <n v="-99196"/>
    <n v="-18.238313770482158"/>
    <s v="Work in progress"/>
  </r>
  <r>
    <s v="P1601"/>
    <s v="Project-631"/>
    <x v="2"/>
    <x v="4"/>
    <x v="379"/>
    <x v="395"/>
    <x v="0"/>
    <n v="169558"/>
    <n v="1055047"/>
    <x v="3"/>
    <x v="3"/>
    <x v="0"/>
    <n v="-885489"/>
    <n v="-83.928867623906797"/>
    <s v="Work in progress"/>
  </r>
  <r>
    <s v="P1602"/>
    <s v="Project-360"/>
    <x v="7"/>
    <x v="1"/>
    <x v="320"/>
    <x v="334"/>
    <x v="2"/>
    <n v="352944"/>
    <n v="692448"/>
    <x v="0"/>
    <x v="2"/>
    <x v="0"/>
    <n v="-339504"/>
    <n v="-49.029530015250245"/>
    <s v="Project delivered successfully"/>
  </r>
  <r>
    <s v="P1603"/>
    <s v="Project-904"/>
    <x v="7"/>
    <x v="7"/>
    <x v="141"/>
    <x v="73"/>
    <x v="0"/>
    <n v="610076"/>
    <n v="651642"/>
    <x v="1"/>
    <x v="1"/>
    <x v="0"/>
    <n v="-41566"/>
    <n v="-6.3786557649752469"/>
    <s v="Work in progress"/>
  </r>
  <r>
    <s v="P1604"/>
    <s v="Project-355"/>
    <x v="5"/>
    <x v="4"/>
    <x v="22"/>
    <x v="84"/>
    <x v="2"/>
    <n v="170754"/>
    <n v="1066960"/>
    <x v="4"/>
    <x v="0"/>
    <x v="1"/>
    <n v="-896206"/>
    <n v="-83.996213541276148"/>
    <s v="Project delivered successfully"/>
  </r>
  <r>
    <s v="P1605"/>
    <s v="Project-833"/>
    <x v="6"/>
    <x v="2"/>
    <x v="340"/>
    <x v="389"/>
    <x v="0"/>
    <n v="338384"/>
    <n v="984093"/>
    <x v="3"/>
    <x v="1"/>
    <x v="1"/>
    <n v="-645709"/>
    <n v="-65.61463195043558"/>
    <s v="Work in progress"/>
  </r>
  <r>
    <s v="P1606"/>
    <s v="Project-325"/>
    <x v="5"/>
    <x v="0"/>
    <x v="17"/>
    <x v="297"/>
    <x v="2"/>
    <n v="554204"/>
    <n v="162508"/>
    <x v="3"/>
    <x v="0"/>
    <x v="2"/>
    <n v="391696"/>
    <n v="241.03182612548304"/>
    <s v="Project delivered successfully"/>
  </r>
  <r>
    <s v="P1607"/>
    <s v="Project-152"/>
    <x v="0"/>
    <x v="7"/>
    <x v="645"/>
    <x v="569"/>
    <x v="2"/>
    <n v="454138"/>
    <n v="485070"/>
    <x v="4"/>
    <x v="1"/>
    <x v="2"/>
    <n v="-30932"/>
    <n v="-6.3768115942028984"/>
    <s v="Project delivered successfully"/>
  </r>
  <r>
    <s v="P1608"/>
    <s v="Project-966"/>
    <x v="6"/>
    <x v="0"/>
    <x v="123"/>
    <x v="380"/>
    <x v="0"/>
    <n v="556906"/>
    <n v="1009392"/>
    <x v="4"/>
    <x v="2"/>
    <x v="2"/>
    <n v="-452486"/>
    <n v="-44.827579374514556"/>
    <s v="Work in progress"/>
  </r>
  <r>
    <s v="P1609"/>
    <s v="Project-599"/>
    <x v="2"/>
    <x v="2"/>
    <x v="80"/>
    <x v="163"/>
    <x v="2"/>
    <n v="900630"/>
    <n v="843713"/>
    <x v="2"/>
    <x v="1"/>
    <x v="2"/>
    <n v="56917"/>
    <n v="6.7460143437401099"/>
    <s v="Project delivered successfully"/>
  </r>
  <r>
    <s v="P1610"/>
    <s v="Project-605"/>
    <x v="4"/>
    <x v="7"/>
    <x v="48"/>
    <x v="289"/>
    <x v="1"/>
    <n v="370883"/>
    <n v="380161"/>
    <x v="3"/>
    <x v="1"/>
    <x v="1"/>
    <n v="-9278"/>
    <n v="-2.4405449270177635"/>
    <s v="Timeline extended"/>
  </r>
  <r>
    <s v="P1611"/>
    <s v="Project-953"/>
    <x v="2"/>
    <x v="2"/>
    <x v="646"/>
    <x v="497"/>
    <x v="0"/>
    <n v="778962"/>
    <n v="114403"/>
    <x v="3"/>
    <x v="0"/>
    <x v="1"/>
    <n v="664559"/>
    <n v="580.89298357560551"/>
    <s v="Work in progress"/>
  </r>
  <r>
    <s v="P1612"/>
    <s v="Project-463"/>
    <x v="7"/>
    <x v="3"/>
    <x v="151"/>
    <x v="507"/>
    <x v="0"/>
    <n v="324233"/>
    <n v="215024"/>
    <x v="0"/>
    <x v="3"/>
    <x v="1"/>
    <n v="109209"/>
    <n v="50.789214227249047"/>
    <s v="Work in progress"/>
  </r>
  <r>
    <s v="P1613"/>
    <s v="Project-379"/>
    <x v="0"/>
    <x v="2"/>
    <x v="334"/>
    <x v="313"/>
    <x v="2"/>
    <n v="606888"/>
    <n v="52766"/>
    <x v="0"/>
    <x v="3"/>
    <x v="1"/>
    <n v="554122"/>
    <n v="1050.1497176211954"/>
    <s v="Project delivered successfully"/>
  </r>
  <r>
    <s v="P1614"/>
    <s v="Project-692"/>
    <x v="3"/>
    <x v="5"/>
    <x v="166"/>
    <x v="650"/>
    <x v="2"/>
    <n v="227248"/>
    <n v="444429"/>
    <x v="3"/>
    <x v="1"/>
    <x v="0"/>
    <n v="-217181"/>
    <n v="-48.867423142954216"/>
    <s v="Project delivered successfully"/>
  </r>
  <r>
    <s v="P1615"/>
    <s v="Project-813"/>
    <x v="0"/>
    <x v="5"/>
    <x v="415"/>
    <x v="426"/>
    <x v="0"/>
    <n v="844599"/>
    <n v="878671"/>
    <x v="0"/>
    <x v="3"/>
    <x v="2"/>
    <n v="-34072"/>
    <n v="-3.8776743513783885"/>
    <s v="Work in progress"/>
  </r>
  <r>
    <s v="P1616"/>
    <s v="Project-257"/>
    <x v="1"/>
    <x v="0"/>
    <x v="638"/>
    <x v="367"/>
    <x v="1"/>
    <n v="914784"/>
    <n v="426010"/>
    <x v="3"/>
    <x v="2"/>
    <x v="1"/>
    <n v="488774"/>
    <n v="114.7329874885566"/>
    <s v="Timeline extended"/>
  </r>
  <r>
    <s v="P1617"/>
    <s v="Project-731"/>
    <x v="0"/>
    <x v="1"/>
    <x v="84"/>
    <x v="54"/>
    <x v="0"/>
    <n v="988668"/>
    <n v="1135340"/>
    <x v="1"/>
    <x v="2"/>
    <x v="1"/>
    <n v="-146672"/>
    <n v="-12.918773230926419"/>
    <s v="Work in progress"/>
  </r>
  <r>
    <s v="P1618"/>
    <s v="Project-158"/>
    <x v="2"/>
    <x v="2"/>
    <x v="265"/>
    <x v="190"/>
    <x v="2"/>
    <n v="398109"/>
    <n v="585146"/>
    <x v="2"/>
    <x v="3"/>
    <x v="2"/>
    <n v="-187037"/>
    <n v="-31.964159372190871"/>
    <s v="Project delivered successfully"/>
  </r>
  <r>
    <s v="P1619"/>
    <s v="Project-826"/>
    <x v="1"/>
    <x v="4"/>
    <x v="311"/>
    <x v="651"/>
    <x v="2"/>
    <n v="437684"/>
    <n v="1121426"/>
    <x v="0"/>
    <x v="3"/>
    <x v="1"/>
    <n v="-683742"/>
    <n v="-60.970764009395182"/>
    <s v="Project delivered successfully"/>
  </r>
  <r>
    <s v="P1620"/>
    <s v="Project-227"/>
    <x v="1"/>
    <x v="5"/>
    <x v="67"/>
    <x v="91"/>
    <x v="3"/>
    <n v="805897"/>
    <n v="960522"/>
    <x v="3"/>
    <x v="2"/>
    <x v="0"/>
    <n v="-154625"/>
    <n v="-16.09801753629797"/>
    <s v="Project cancelled"/>
  </r>
  <r>
    <s v="P1621"/>
    <s v="Project-835"/>
    <x v="6"/>
    <x v="6"/>
    <x v="405"/>
    <x v="233"/>
    <x v="0"/>
    <n v="867847"/>
    <n v="867222"/>
    <x v="0"/>
    <x v="3"/>
    <x v="1"/>
    <n v="625"/>
    <n v="7.2069204886407404E-2"/>
    <s v="Work in progress"/>
  </r>
  <r>
    <s v="P1622"/>
    <s v="Project-820"/>
    <x v="6"/>
    <x v="1"/>
    <x v="398"/>
    <x v="185"/>
    <x v="2"/>
    <n v="516869"/>
    <n v="373264"/>
    <x v="2"/>
    <x v="3"/>
    <x v="2"/>
    <n v="143605"/>
    <n v="38.472769942989409"/>
    <s v="Project delivered successfully"/>
  </r>
  <r>
    <s v="P1623"/>
    <s v="Project-981"/>
    <x v="1"/>
    <x v="3"/>
    <x v="187"/>
    <x v="411"/>
    <x v="0"/>
    <n v="121895"/>
    <n v="826282"/>
    <x v="1"/>
    <x v="0"/>
    <x v="0"/>
    <n v="-704387"/>
    <n v="-85.247772552227929"/>
    <s v="Work in progress"/>
  </r>
  <r>
    <s v="P1624"/>
    <s v="Project-214"/>
    <x v="3"/>
    <x v="7"/>
    <x v="482"/>
    <x v="96"/>
    <x v="0"/>
    <n v="916332"/>
    <n v="776597"/>
    <x v="4"/>
    <x v="0"/>
    <x v="0"/>
    <n v="139735"/>
    <n v="17.993244887631551"/>
    <s v="Work in progress"/>
  </r>
  <r>
    <s v="P1625"/>
    <s v="Project-308"/>
    <x v="6"/>
    <x v="7"/>
    <x v="253"/>
    <x v="584"/>
    <x v="0"/>
    <n v="807861"/>
    <n v="398903"/>
    <x v="4"/>
    <x v="3"/>
    <x v="2"/>
    <n v="408958"/>
    <n v="102.52066291805275"/>
    <s v="Work in progress"/>
  </r>
  <r>
    <s v="P1626"/>
    <s v="Project-625"/>
    <x v="0"/>
    <x v="5"/>
    <x v="316"/>
    <x v="606"/>
    <x v="2"/>
    <n v="668618"/>
    <n v="532704"/>
    <x v="0"/>
    <x v="3"/>
    <x v="2"/>
    <n v="135914"/>
    <n v="25.513981498167837"/>
    <s v="Project delivered successfully"/>
  </r>
  <r>
    <s v="P1627"/>
    <s v="Project-620"/>
    <x v="2"/>
    <x v="1"/>
    <x v="647"/>
    <x v="652"/>
    <x v="0"/>
    <n v="519045"/>
    <n v="731335"/>
    <x v="3"/>
    <x v="0"/>
    <x v="0"/>
    <n v="-212290"/>
    <n v="-29.027736946816439"/>
    <s v="Work in progress"/>
  </r>
  <r>
    <s v="P1628"/>
    <s v="Project-651"/>
    <x v="0"/>
    <x v="5"/>
    <x v="44"/>
    <x v="653"/>
    <x v="0"/>
    <n v="108650"/>
    <n v="882128"/>
    <x v="2"/>
    <x v="0"/>
    <x v="1"/>
    <n v="-773478"/>
    <n v="-87.683193368762815"/>
    <s v="Work in progress"/>
  </r>
  <r>
    <s v="P1629"/>
    <s v="Project-336"/>
    <x v="3"/>
    <x v="7"/>
    <x v="632"/>
    <x v="53"/>
    <x v="2"/>
    <n v="518084"/>
    <n v="642114"/>
    <x v="1"/>
    <x v="3"/>
    <x v="2"/>
    <n v="-124030"/>
    <n v="-19.315884718289901"/>
    <s v="Project delivered successfully"/>
  </r>
  <r>
    <s v="P1630"/>
    <s v="Project-380"/>
    <x v="7"/>
    <x v="6"/>
    <x v="633"/>
    <x v="654"/>
    <x v="2"/>
    <n v="50615"/>
    <n v="783290"/>
    <x v="1"/>
    <x v="0"/>
    <x v="0"/>
    <n v="-732675"/>
    <n v="-93.538153174430931"/>
    <s v="Project delivered successfully"/>
  </r>
  <r>
    <s v="P1631"/>
    <s v="Project-458"/>
    <x v="5"/>
    <x v="2"/>
    <x v="397"/>
    <x v="418"/>
    <x v="2"/>
    <n v="750972"/>
    <n v="693778"/>
    <x v="1"/>
    <x v="2"/>
    <x v="2"/>
    <n v="57194"/>
    <n v="8.2438474555261188"/>
    <s v="Project delivered successfully"/>
  </r>
  <r>
    <s v="P1632"/>
    <s v="Project-300"/>
    <x v="2"/>
    <x v="1"/>
    <x v="293"/>
    <x v="536"/>
    <x v="1"/>
    <n v="914369"/>
    <n v="561369"/>
    <x v="4"/>
    <x v="1"/>
    <x v="1"/>
    <n v="353000"/>
    <n v="62.88199027733986"/>
    <s v="Timeline extended"/>
  </r>
  <r>
    <s v="P1633"/>
    <s v="Project-857"/>
    <x v="6"/>
    <x v="0"/>
    <x v="283"/>
    <x v="259"/>
    <x v="0"/>
    <n v="821614"/>
    <n v="394860"/>
    <x v="2"/>
    <x v="2"/>
    <x v="1"/>
    <n v="426754"/>
    <n v="108.07729321784936"/>
    <s v="Work in progress"/>
  </r>
  <r>
    <s v="P1634"/>
    <s v="Project-377"/>
    <x v="2"/>
    <x v="2"/>
    <x v="0"/>
    <x v="655"/>
    <x v="3"/>
    <n v="572915"/>
    <n v="695474"/>
    <x v="4"/>
    <x v="0"/>
    <x v="0"/>
    <n v="-122559"/>
    <n v="-17.622369779459763"/>
    <s v="Project cancelled"/>
  </r>
  <r>
    <s v="P1635"/>
    <s v="Project-334"/>
    <x v="0"/>
    <x v="2"/>
    <x v="121"/>
    <x v="203"/>
    <x v="1"/>
    <n v="354080"/>
    <n v="803205"/>
    <x v="0"/>
    <x v="2"/>
    <x v="1"/>
    <n v="-449125"/>
    <n v="-55.91660908485381"/>
    <s v="Timeline extended"/>
  </r>
  <r>
    <s v="P1636"/>
    <s v="Project-593"/>
    <x v="5"/>
    <x v="2"/>
    <x v="118"/>
    <x v="204"/>
    <x v="0"/>
    <n v="734732"/>
    <n v="379652"/>
    <x v="1"/>
    <x v="1"/>
    <x v="1"/>
    <n v="355080"/>
    <n v="93.527756998514434"/>
    <s v="Work in progress"/>
  </r>
  <r>
    <s v="P1637"/>
    <s v="Project-103"/>
    <x v="4"/>
    <x v="0"/>
    <x v="570"/>
    <x v="187"/>
    <x v="0"/>
    <n v="419956"/>
    <n v="1076374"/>
    <x v="2"/>
    <x v="0"/>
    <x v="1"/>
    <n v="-656418"/>
    <n v="-60.984193226517924"/>
    <s v="Work in progress"/>
  </r>
  <r>
    <s v="P1638"/>
    <s v="Project-765"/>
    <x v="4"/>
    <x v="6"/>
    <x v="648"/>
    <x v="487"/>
    <x v="0"/>
    <n v="380019"/>
    <n v="1096561"/>
    <x v="1"/>
    <x v="2"/>
    <x v="2"/>
    <n v="-716542"/>
    <n v="-65.344472400532212"/>
    <s v="Work in progress"/>
  </r>
  <r>
    <s v="P1639"/>
    <s v="Project-541"/>
    <x v="6"/>
    <x v="3"/>
    <x v="400"/>
    <x v="531"/>
    <x v="0"/>
    <n v="656070"/>
    <n v="429104"/>
    <x v="4"/>
    <x v="2"/>
    <x v="0"/>
    <n v="226966"/>
    <n v="52.893004959170739"/>
    <s v="Work in progress"/>
  </r>
  <r>
    <s v="P1640"/>
    <s v="Project-128"/>
    <x v="3"/>
    <x v="6"/>
    <x v="649"/>
    <x v="143"/>
    <x v="2"/>
    <n v="111700"/>
    <n v="520899"/>
    <x v="4"/>
    <x v="1"/>
    <x v="0"/>
    <n v="-409199"/>
    <n v="-78.556303621239437"/>
    <s v="Project delivered successfully"/>
  </r>
  <r>
    <s v="P1641"/>
    <s v="Project-208"/>
    <x v="4"/>
    <x v="6"/>
    <x v="382"/>
    <x v="378"/>
    <x v="2"/>
    <n v="58109"/>
    <n v="269990"/>
    <x v="4"/>
    <x v="0"/>
    <x v="0"/>
    <n v="-211881"/>
    <n v="-78.477351013000487"/>
    <s v="Project delivered successfully"/>
  </r>
  <r>
    <s v="P1642"/>
    <s v="Project-709"/>
    <x v="2"/>
    <x v="6"/>
    <x v="603"/>
    <x v="54"/>
    <x v="2"/>
    <n v="73758"/>
    <n v="900277"/>
    <x v="1"/>
    <x v="3"/>
    <x v="1"/>
    <n v="-826519"/>
    <n v="-91.807188232066352"/>
    <s v="Project delivered successfully"/>
  </r>
  <r>
    <s v="P1643"/>
    <s v="Project-826"/>
    <x v="4"/>
    <x v="4"/>
    <x v="88"/>
    <x v="455"/>
    <x v="0"/>
    <n v="793987"/>
    <n v="939878"/>
    <x v="2"/>
    <x v="0"/>
    <x v="2"/>
    <n v="-145891"/>
    <n v="-15.522333749699429"/>
    <s v="Work in progress"/>
  </r>
  <r>
    <s v="P1644"/>
    <s v="Project-904"/>
    <x v="7"/>
    <x v="5"/>
    <x v="406"/>
    <x v="33"/>
    <x v="0"/>
    <n v="945024"/>
    <n v="136747"/>
    <x v="2"/>
    <x v="1"/>
    <x v="0"/>
    <n v="808277"/>
    <n v="591.07475849561592"/>
    <s v="Work in progress"/>
  </r>
  <r>
    <s v="P1645"/>
    <s v="Project-174"/>
    <x v="7"/>
    <x v="7"/>
    <x v="627"/>
    <x v="487"/>
    <x v="1"/>
    <n v="587605"/>
    <n v="52036"/>
    <x v="0"/>
    <x v="1"/>
    <x v="2"/>
    <n v="535569"/>
    <n v="1029.2278422630486"/>
    <s v="Timeline extended"/>
  </r>
  <r>
    <s v="P1646"/>
    <s v="Project-937"/>
    <x v="6"/>
    <x v="5"/>
    <x v="292"/>
    <x v="601"/>
    <x v="0"/>
    <n v="250073"/>
    <n v="286306"/>
    <x v="1"/>
    <x v="1"/>
    <x v="0"/>
    <n v="-36233"/>
    <n v="-12.655340789225514"/>
    <s v="Work in progress"/>
  </r>
  <r>
    <s v="P1647"/>
    <s v="Project-245"/>
    <x v="7"/>
    <x v="1"/>
    <x v="650"/>
    <x v="235"/>
    <x v="3"/>
    <n v="563909"/>
    <n v="770781"/>
    <x v="0"/>
    <x v="1"/>
    <x v="1"/>
    <n v="-206872"/>
    <n v="-26.839270817521449"/>
    <s v="Project cancelled"/>
  </r>
  <r>
    <s v="P1648"/>
    <s v="Project-227"/>
    <x v="4"/>
    <x v="6"/>
    <x v="440"/>
    <x v="27"/>
    <x v="0"/>
    <n v="75622"/>
    <n v="583634"/>
    <x v="0"/>
    <x v="3"/>
    <x v="0"/>
    <n v="-508012"/>
    <n v="-87.042907027349344"/>
    <s v="Work in progress"/>
  </r>
  <r>
    <s v="P1649"/>
    <s v="Project-952"/>
    <x v="3"/>
    <x v="3"/>
    <x v="392"/>
    <x v="138"/>
    <x v="3"/>
    <n v="558911"/>
    <n v="405651"/>
    <x v="0"/>
    <x v="0"/>
    <x v="0"/>
    <n v="153260"/>
    <n v="37.781245454836792"/>
    <s v="Project cancelled"/>
  </r>
  <r>
    <s v="P1650"/>
    <s v="Project-141"/>
    <x v="1"/>
    <x v="1"/>
    <x v="651"/>
    <x v="180"/>
    <x v="0"/>
    <n v="581088"/>
    <n v="931105"/>
    <x v="0"/>
    <x v="0"/>
    <x v="1"/>
    <n v="-350017"/>
    <n v="-37.591571305062267"/>
    <s v="Work in progress"/>
  </r>
  <r>
    <s v="P1651"/>
    <s v="Project-455"/>
    <x v="1"/>
    <x v="5"/>
    <x v="652"/>
    <x v="516"/>
    <x v="0"/>
    <n v="820157"/>
    <n v="318835"/>
    <x v="4"/>
    <x v="2"/>
    <x v="1"/>
    <n v="501322"/>
    <n v="157.23556071322159"/>
    <s v="Work in progress"/>
  </r>
  <r>
    <s v="P1652"/>
    <s v="Project-140"/>
    <x v="6"/>
    <x v="7"/>
    <x v="142"/>
    <x v="76"/>
    <x v="0"/>
    <n v="609827"/>
    <n v="726761"/>
    <x v="0"/>
    <x v="3"/>
    <x v="0"/>
    <n v="-116934"/>
    <n v="-16.089746147633129"/>
    <s v="Work in progress"/>
  </r>
  <r>
    <s v="P1653"/>
    <s v="Project-133"/>
    <x v="5"/>
    <x v="0"/>
    <x v="616"/>
    <x v="303"/>
    <x v="2"/>
    <n v="283259"/>
    <n v="1152304"/>
    <x v="2"/>
    <x v="3"/>
    <x v="2"/>
    <n v="-869045"/>
    <n v="-75.418032047098677"/>
    <s v="Project delivered successfully"/>
  </r>
  <r>
    <s v="P1654"/>
    <s v="Project-116"/>
    <x v="1"/>
    <x v="5"/>
    <x v="497"/>
    <x v="69"/>
    <x v="1"/>
    <n v="707960"/>
    <n v="528021"/>
    <x v="0"/>
    <x v="2"/>
    <x v="1"/>
    <n v="179939"/>
    <n v="34.078000685578793"/>
    <s v="Timeline extended"/>
  </r>
  <r>
    <s v="P1655"/>
    <s v="Project-776"/>
    <x v="1"/>
    <x v="2"/>
    <x v="415"/>
    <x v="190"/>
    <x v="0"/>
    <n v="659451"/>
    <n v="1075618"/>
    <x v="4"/>
    <x v="2"/>
    <x v="0"/>
    <n v="-416167"/>
    <n v="-38.690966495540238"/>
    <s v="Work in progress"/>
  </r>
  <r>
    <s v="P1656"/>
    <s v="Project-252"/>
    <x v="7"/>
    <x v="5"/>
    <x v="148"/>
    <x v="581"/>
    <x v="1"/>
    <n v="296765"/>
    <n v="432628"/>
    <x v="3"/>
    <x v="0"/>
    <x v="1"/>
    <n v="-135863"/>
    <n v="-31.404116238431168"/>
    <s v="Timeline extended"/>
  </r>
  <r>
    <s v="P1657"/>
    <s v="Project-477"/>
    <x v="7"/>
    <x v="2"/>
    <x v="653"/>
    <x v="643"/>
    <x v="2"/>
    <n v="734729"/>
    <n v="635787"/>
    <x v="3"/>
    <x v="0"/>
    <x v="2"/>
    <n v="98942"/>
    <n v="15.562130084446521"/>
    <s v="Project delivered successfully"/>
  </r>
  <r>
    <s v="P1658"/>
    <s v="Project-687"/>
    <x v="4"/>
    <x v="0"/>
    <x v="76"/>
    <x v="550"/>
    <x v="2"/>
    <n v="802341"/>
    <n v="915591"/>
    <x v="3"/>
    <x v="0"/>
    <x v="0"/>
    <n v="-113250"/>
    <n v="-12.369059984206922"/>
    <s v="Project delivered successfully"/>
  </r>
  <r>
    <s v="P1659"/>
    <s v="Project-698"/>
    <x v="6"/>
    <x v="5"/>
    <x v="186"/>
    <x v="290"/>
    <x v="1"/>
    <n v="328833"/>
    <n v="96553"/>
    <x v="1"/>
    <x v="3"/>
    <x v="0"/>
    <n v="232280"/>
    <n v="240.57253529149793"/>
    <s v="Timeline extended"/>
  </r>
  <r>
    <s v="P1660"/>
    <s v="Project-728"/>
    <x v="5"/>
    <x v="3"/>
    <x v="85"/>
    <x v="421"/>
    <x v="0"/>
    <n v="917891"/>
    <n v="1023452"/>
    <x v="2"/>
    <x v="3"/>
    <x v="2"/>
    <n v="-105561"/>
    <n v="-10.314211120795113"/>
    <s v="Work in progress"/>
  </r>
  <r>
    <s v="P1661"/>
    <s v="Project-973"/>
    <x v="6"/>
    <x v="3"/>
    <x v="447"/>
    <x v="318"/>
    <x v="0"/>
    <n v="88469"/>
    <n v="299856"/>
    <x v="4"/>
    <x v="2"/>
    <x v="2"/>
    <n v="-211387"/>
    <n v="-70.496171495651254"/>
    <s v="Work in progress"/>
  </r>
  <r>
    <s v="P1662"/>
    <s v="Project-441"/>
    <x v="0"/>
    <x v="1"/>
    <x v="25"/>
    <x v="578"/>
    <x v="1"/>
    <n v="539155"/>
    <n v="307961"/>
    <x v="3"/>
    <x v="1"/>
    <x v="0"/>
    <n v="231194"/>
    <n v="75.072492945535302"/>
    <s v="Timeline extended"/>
  </r>
  <r>
    <s v="P1663"/>
    <s v="Project-126"/>
    <x v="2"/>
    <x v="0"/>
    <x v="162"/>
    <x v="8"/>
    <x v="1"/>
    <n v="706318"/>
    <n v="739192"/>
    <x v="4"/>
    <x v="1"/>
    <x v="2"/>
    <n v="-32874"/>
    <n v="-4.4472883905669978"/>
    <s v="Timeline extended"/>
  </r>
  <r>
    <s v="P1664"/>
    <s v="Project-924"/>
    <x v="5"/>
    <x v="6"/>
    <x v="38"/>
    <x v="371"/>
    <x v="3"/>
    <n v="304905"/>
    <n v="385760"/>
    <x v="4"/>
    <x v="1"/>
    <x v="2"/>
    <n v="-80855"/>
    <n v="-20.959923268353382"/>
    <s v="Project cancelled"/>
  </r>
  <r>
    <s v="P1665"/>
    <s v="Project-386"/>
    <x v="5"/>
    <x v="3"/>
    <x v="6"/>
    <x v="273"/>
    <x v="1"/>
    <n v="825318"/>
    <n v="452342"/>
    <x v="1"/>
    <x v="1"/>
    <x v="0"/>
    <n v="372976"/>
    <n v="82.454426075845262"/>
    <s v="Timeline extended"/>
  </r>
  <r>
    <s v="P1666"/>
    <s v="Project-745"/>
    <x v="3"/>
    <x v="5"/>
    <x v="450"/>
    <x v="656"/>
    <x v="0"/>
    <n v="896444"/>
    <n v="634955"/>
    <x v="3"/>
    <x v="1"/>
    <x v="1"/>
    <n v="261489"/>
    <n v="41.182288508634471"/>
    <s v="Work in progress"/>
  </r>
  <r>
    <s v="P1667"/>
    <s v="Project-830"/>
    <x v="6"/>
    <x v="0"/>
    <x v="109"/>
    <x v="357"/>
    <x v="1"/>
    <n v="774434"/>
    <n v="744036"/>
    <x v="0"/>
    <x v="0"/>
    <x v="2"/>
    <n v="30398"/>
    <n v="4.0855550000268801"/>
    <s v="Timeline extended"/>
  </r>
  <r>
    <s v="P1668"/>
    <s v="Project-267"/>
    <x v="4"/>
    <x v="7"/>
    <x v="314"/>
    <x v="248"/>
    <x v="0"/>
    <n v="110021"/>
    <n v="732175"/>
    <x v="4"/>
    <x v="2"/>
    <x v="1"/>
    <n v="-622154"/>
    <n v="-84.973401167753622"/>
    <s v="Work in progress"/>
  </r>
  <r>
    <s v="P1669"/>
    <s v="Project-709"/>
    <x v="3"/>
    <x v="2"/>
    <x v="114"/>
    <x v="95"/>
    <x v="3"/>
    <n v="532156"/>
    <n v="788315"/>
    <x v="3"/>
    <x v="1"/>
    <x v="1"/>
    <n v="-256159"/>
    <n v="-32.494497757875976"/>
    <s v="Project cancelled"/>
  </r>
  <r>
    <s v="P1670"/>
    <s v="Project-367"/>
    <x v="5"/>
    <x v="5"/>
    <x v="303"/>
    <x v="205"/>
    <x v="0"/>
    <n v="231854"/>
    <n v="774271"/>
    <x v="4"/>
    <x v="1"/>
    <x v="1"/>
    <n v="-542417"/>
    <n v="-70.055187395627627"/>
    <s v="Work in progress"/>
  </r>
  <r>
    <s v="P1671"/>
    <s v="Project-848"/>
    <x v="5"/>
    <x v="2"/>
    <x v="654"/>
    <x v="581"/>
    <x v="2"/>
    <n v="518735"/>
    <n v="665318"/>
    <x v="1"/>
    <x v="1"/>
    <x v="2"/>
    <n v="-146583"/>
    <n v="-22.03202077803396"/>
    <s v="Project delivered successfully"/>
  </r>
  <r>
    <s v="P1672"/>
    <s v="Project-920"/>
    <x v="5"/>
    <x v="2"/>
    <x v="655"/>
    <x v="171"/>
    <x v="0"/>
    <n v="281979"/>
    <n v="671673"/>
    <x v="1"/>
    <x v="0"/>
    <x v="0"/>
    <n v="-389694"/>
    <n v="-58.018410744514071"/>
    <s v="Work in progress"/>
  </r>
  <r>
    <s v="P1673"/>
    <s v="Project-554"/>
    <x v="1"/>
    <x v="6"/>
    <x v="22"/>
    <x v="584"/>
    <x v="0"/>
    <n v="598930"/>
    <n v="193597"/>
    <x v="0"/>
    <x v="1"/>
    <x v="0"/>
    <n v="405333"/>
    <n v="209.3694633697836"/>
    <s v="Work in progress"/>
  </r>
  <r>
    <s v="P1674"/>
    <s v="Project-784"/>
    <x v="6"/>
    <x v="0"/>
    <x v="451"/>
    <x v="537"/>
    <x v="0"/>
    <n v="391147"/>
    <n v="59030"/>
    <x v="1"/>
    <x v="2"/>
    <x v="0"/>
    <n v="332117"/>
    <n v="562.62408944604431"/>
    <s v="Work in progress"/>
  </r>
  <r>
    <s v="P1675"/>
    <s v="Project-500"/>
    <x v="2"/>
    <x v="0"/>
    <x v="284"/>
    <x v="542"/>
    <x v="1"/>
    <n v="698002"/>
    <n v="1122643"/>
    <x v="3"/>
    <x v="0"/>
    <x v="0"/>
    <n v="-424641"/>
    <n v="-37.825114484301778"/>
    <s v="Timeline extended"/>
  </r>
  <r>
    <s v="P1676"/>
    <s v="Project-575"/>
    <x v="2"/>
    <x v="1"/>
    <x v="542"/>
    <x v="577"/>
    <x v="1"/>
    <n v="574493"/>
    <n v="538961"/>
    <x v="1"/>
    <x v="0"/>
    <x v="0"/>
    <n v="35532"/>
    <n v="6.5926848139290231"/>
    <s v="Timeline extended"/>
  </r>
  <r>
    <s v="P1677"/>
    <s v="Project-801"/>
    <x v="3"/>
    <x v="2"/>
    <x v="81"/>
    <x v="10"/>
    <x v="0"/>
    <n v="929377"/>
    <n v="952711"/>
    <x v="0"/>
    <x v="3"/>
    <x v="0"/>
    <n v="-23334"/>
    <n v="-2.4492212223853822"/>
    <s v="Work in progress"/>
  </r>
  <r>
    <s v="P1678"/>
    <s v="Project-733"/>
    <x v="5"/>
    <x v="1"/>
    <x v="549"/>
    <x v="657"/>
    <x v="2"/>
    <n v="62442"/>
    <n v="892865"/>
    <x v="2"/>
    <x v="3"/>
    <x v="1"/>
    <n v="-830423"/>
    <n v="-93.006557542293635"/>
    <s v="Project delivered successfully"/>
  </r>
  <r>
    <s v="P1679"/>
    <s v="Project-657"/>
    <x v="2"/>
    <x v="6"/>
    <x v="535"/>
    <x v="583"/>
    <x v="2"/>
    <n v="928258"/>
    <n v="843071"/>
    <x v="4"/>
    <x v="0"/>
    <x v="1"/>
    <n v="85187"/>
    <n v="10.104368433975312"/>
    <s v="Project delivered successfully"/>
  </r>
  <r>
    <s v="P1680"/>
    <s v="Project-675"/>
    <x v="7"/>
    <x v="2"/>
    <x v="483"/>
    <x v="311"/>
    <x v="0"/>
    <n v="797004"/>
    <n v="426008"/>
    <x v="4"/>
    <x v="1"/>
    <x v="1"/>
    <n v="370996"/>
    <n v="87.086627481174062"/>
    <s v="Work in progress"/>
  </r>
  <r>
    <s v="P1681"/>
    <s v="Project-229"/>
    <x v="6"/>
    <x v="1"/>
    <x v="312"/>
    <x v="74"/>
    <x v="0"/>
    <n v="973195"/>
    <n v="517976"/>
    <x v="3"/>
    <x v="1"/>
    <x v="2"/>
    <n v="455219"/>
    <n v="87.884187684371469"/>
    <s v="Work in progress"/>
  </r>
  <r>
    <s v="P1682"/>
    <s v="Project-921"/>
    <x v="2"/>
    <x v="1"/>
    <x v="35"/>
    <x v="478"/>
    <x v="1"/>
    <n v="88909"/>
    <n v="49198"/>
    <x v="0"/>
    <x v="1"/>
    <x v="2"/>
    <n v="39711"/>
    <n v="80.716695800642299"/>
    <s v="Timeline extended"/>
  </r>
  <r>
    <s v="P1683"/>
    <s v="Project-462"/>
    <x v="4"/>
    <x v="7"/>
    <x v="209"/>
    <x v="346"/>
    <x v="2"/>
    <n v="331648"/>
    <n v="731565"/>
    <x v="0"/>
    <x v="1"/>
    <x v="2"/>
    <n v="-399917"/>
    <n v="-54.665955861748436"/>
    <s v="Project delivered successfully"/>
  </r>
  <r>
    <s v="P1684"/>
    <s v="Project-804"/>
    <x v="6"/>
    <x v="1"/>
    <x v="269"/>
    <x v="255"/>
    <x v="0"/>
    <n v="507486"/>
    <n v="1161527"/>
    <x v="0"/>
    <x v="3"/>
    <x v="0"/>
    <n v="-654041"/>
    <n v="-56.30872119201706"/>
    <s v="Work in progress"/>
  </r>
  <r>
    <s v="P1685"/>
    <s v="Project-918"/>
    <x v="4"/>
    <x v="0"/>
    <x v="554"/>
    <x v="194"/>
    <x v="2"/>
    <n v="145698"/>
    <n v="100511"/>
    <x v="4"/>
    <x v="2"/>
    <x v="1"/>
    <n v="45187"/>
    <n v="44.957268358687109"/>
    <s v="Project delivered successfully"/>
  </r>
  <r>
    <s v="P1686"/>
    <s v="Project-792"/>
    <x v="2"/>
    <x v="1"/>
    <x v="511"/>
    <x v="437"/>
    <x v="0"/>
    <n v="810392"/>
    <n v="309037"/>
    <x v="1"/>
    <x v="0"/>
    <x v="2"/>
    <n v="501355"/>
    <n v="162.23138329714567"/>
    <s v="Work in progress"/>
  </r>
  <r>
    <s v="P1687"/>
    <s v="Project-391"/>
    <x v="7"/>
    <x v="2"/>
    <x v="258"/>
    <x v="658"/>
    <x v="0"/>
    <n v="754690"/>
    <n v="225985"/>
    <x v="4"/>
    <x v="1"/>
    <x v="1"/>
    <n v="528705"/>
    <n v="233.95579352611898"/>
    <s v="Work in progress"/>
  </r>
  <r>
    <s v="P1688"/>
    <s v="Project-470"/>
    <x v="4"/>
    <x v="1"/>
    <x v="547"/>
    <x v="659"/>
    <x v="0"/>
    <n v="137087"/>
    <n v="48243"/>
    <x v="4"/>
    <x v="3"/>
    <x v="0"/>
    <n v="88844"/>
    <n v="184.15935990713677"/>
    <s v="Work in progress"/>
  </r>
  <r>
    <s v="P1689"/>
    <s v="Project-893"/>
    <x v="1"/>
    <x v="3"/>
    <x v="4"/>
    <x v="487"/>
    <x v="0"/>
    <n v="259991"/>
    <n v="710849"/>
    <x v="4"/>
    <x v="2"/>
    <x v="1"/>
    <n v="-450858"/>
    <n v="-63.425284413426766"/>
    <s v="Work in progress"/>
  </r>
  <r>
    <s v="P1690"/>
    <s v="Project-128"/>
    <x v="2"/>
    <x v="4"/>
    <x v="73"/>
    <x v="352"/>
    <x v="2"/>
    <n v="787392"/>
    <n v="371358"/>
    <x v="1"/>
    <x v="0"/>
    <x v="0"/>
    <n v="416034"/>
    <n v="112.03043962968349"/>
    <s v="Project delivered successfully"/>
  </r>
  <r>
    <s v="P1691"/>
    <s v="Project-248"/>
    <x v="1"/>
    <x v="2"/>
    <x v="552"/>
    <x v="136"/>
    <x v="1"/>
    <n v="91716"/>
    <n v="916801"/>
    <x v="2"/>
    <x v="0"/>
    <x v="2"/>
    <n v="-825085"/>
    <n v="-89.996084210204828"/>
    <s v="Timeline extended"/>
  </r>
  <r>
    <s v="P1692"/>
    <s v="Project-878"/>
    <x v="2"/>
    <x v="3"/>
    <x v="293"/>
    <x v="290"/>
    <x v="0"/>
    <n v="255696"/>
    <n v="733365"/>
    <x v="3"/>
    <x v="0"/>
    <x v="0"/>
    <n v="-477669"/>
    <n v="-65.13386921928371"/>
    <s v="Work in progress"/>
  </r>
  <r>
    <s v="P1693"/>
    <s v="Project-395"/>
    <x v="0"/>
    <x v="6"/>
    <x v="656"/>
    <x v="383"/>
    <x v="0"/>
    <n v="228054"/>
    <n v="256073"/>
    <x v="2"/>
    <x v="1"/>
    <x v="0"/>
    <n v="-28019"/>
    <n v="-10.941801751844201"/>
    <s v="Work in progress"/>
  </r>
  <r>
    <s v="P1694"/>
    <s v="Project-110"/>
    <x v="0"/>
    <x v="2"/>
    <x v="435"/>
    <x v="31"/>
    <x v="2"/>
    <n v="208516"/>
    <n v="1074221"/>
    <x v="2"/>
    <x v="0"/>
    <x v="1"/>
    <n v="-865705"/>
    <n v="-80.589096657019368"/>
    <s v="Project delivered successfully"/>
  </r>
  <r>
    <s v="P1695"/>
    <s v="Project-611"/>
    <x v="0"/>
    <x v="0"/>
    <x v="22"/>
    <x v="194"/>
    <x v="1"/>
    <n v="992238"/>
    <n v="676868"/>
    <x v="4"/>
    <x v="1"/>
    <x v="0"/>
    <n v="315370"/>
    <n v="46.59254093855818"/>
    <s v="Timeline extended"/>
  </r>
  <r>
    <s v="P1696"/>
    <s v="Project-775"/>
    <x v="4"/>
    <x v="4"/>
    <x v="11"/>
    <x v="239"/>
    <x v="2"/>
    <n v="747105"/>
    <n v="367468"/>
    <x v="2"/>
    <x v="2"/>
    <x v="2"/>
    <n v="379637"/>
    <n v="103.31158087234806"/>
    <s v="Project delivered successfully"/>
  </r>
  <r>
    <s v="P1697"/>
    <s v="Project-212"/>
    <x v="1"/>
    <x v="4"/>
    <x v="44"/>
    <x v="569"/>
    <x v="1"/>
    <n v="84571"/>
    <n v="717703"/>
    <x v="4"/>
    <x v="3"/>
    <x v="2"/>
    <n v="-633132"/>
    <n v="-88.216434931998336"/>
    <s v="Timeline extended"/>
  </r>
  <r>
    <s v="P1698"/>
    <s v="Project-286"/>
    <x v="1"/>
    <x v="0"/>
    <x v="86"/>
    <x v="28"/>
    <x v="0"/>
    <n v="273023"/>
    <n v="273470"/>
    <x v="4"/>
    <x v="3"/>
    <x v="0"/>
    <n v="-447"/>
    <n v="-0.16345485793688522"/>
    <s v="Work in progress"/>
  </r>
  <r>
    <s v="P1699"/>
    <s v="Project-906"/>
    <x v="1"/>
    <x v="4"/>
    <x v="654"/>
    <x v="657"/>
    <x v="2"/>
    <n v="982893"/>
    <n v="1153359"/>
    <x v="3"/>
    <x v="3"/>
    <x v="1"/>
    <n v="-170466"/>
    <n v="-14.779960099153863"/>
    <s v="Project delivered successfully"/>
  </r>
  <r>
    <s v="P1700"/>
    <s v="Project-843"/>
    <x v="7"/>
    <x v="0"/>
    <x v="362"/>
    <x v="147"/>
    <x v="0"/>
    <n v="929712"/>
    <n v="469179"/>
    <x v="0"/>
    <x v="0"/>
    <x v="2"/>
    <n v="460533"/>
    <n v="98.157206524588688"/>
    <s v="Work in progress"/>
  </r>
  <r>
    <s v="P1701"/>
    <s v="Project-326"/>
    <x v="1"/>
    <x v="3"/>
    <x v="386"/>
    <x v="238"/>
    <x v="0"/>
    <n v="789578"/>
    <n v="721332"/>
    <x v="4"/>
    <x v="3"/>
    <x v="2"/>
    <n v="68246"/>
    <n v="9.4611080611978959"/>
    <s v="Work in progress"/>
  </r>
  <r>
    <s v="P1702"/>
    <s v="Project-409"/>
    <x v="7"/>
    <x v="6"/>
    <x v="366"/>
    <x v="660"/>
    <x v="0"/>
    <n v="619326"/>
    <n v="309103"/>
    <x v="2"/>
    <x v="2"/>
    <x v="0"/>
    <n v="310223"/>
    <n v="100.36233876733644"/>
    <s v="Work in progress"/>
  </r>
  <r>
    <s v="P1703"/>
    <s v="Project-197"/>
    <x v="0"/>
    <x v="7"/>
    <x v="136"/>
    <x v="366"/>
    <x v="0"/>
    <n v="647083"/>
    <n v="538102"/>
    <x v="3"/>
    <x v="1"/>
    <x v="0"/>
    <n v="108981"/>
    <n v="20.252851689828322"/>
    <s v="Work in progress"/>
  </r>
  <r>
    <s v="P1704"/>
    <s v="Project-154"/>
    <x v="0"/>
    <x v="2"/>
    <x v="305"/>
    <x v="522"/>
    <x v="1"/>
    <n v="881600"/>
    <n v="195205"/>
    <x v="2"/>
    <x v="3"/>
    <x v="2"/>
    <n v="686395"/>
    <n v="351.62777592787069"/>
    <s v="Timeline extended"/>
  </r>
  <r>
    <s v="P1705"/>
    <s v="Project-722"/>
    <x v="4"/>
    <x v="0"/>
    <x v="114"/>
    <x v="165"/>
    <x v="1"/>
    <n v="783442"/>
    <n v="250826"/>
    <x v="0"/>
    <x v="1"/>
    <x v="0"/>
    <n v="532616"/>
    <n v="212.34481273871131"/>
    <s v="Timeline extended"/>
  </r>
  <r>
    <s v="P1706"/>
    <s v="Project-763"/>
    <x v="2"/>
    <x v="2"/>
    <x v="135"/>
    <x v="95"/>
    <x v="0"/>
    <n v="117690"/>
    <n v="1129726"/>
    <x v="1"/>
    <x v="1"/>
    <x v="0"/>
    <n v="-1012036"/>
    <n v="-89.582429721897171"/>
    <s v="Work in progress"/>
  </r>
  <r>
    <s v="P1707"/>
    <s v="Project-857"/>
    <x v="0"/>
    <x v="6"/>
    <x v="427"/>
    <x v="115"/>
    <x v="0"/>
    <n v="950485"/>
    <n v="313878"/>
    <x v="0"/>
    <x v="3"/>
    <x v="2"/>
    <n v="636607"/>
    <n v="202.81988543319378"/>
    <s v="Work in progress"/>
  </r>
  <r>
    <s v="P1708"/>
    <s v="Project-505"/>
    <x v="2"/>
    <x v="3"/>
    <x v="0"/>
    <x v="52"/>
    <x v="0"/>
    <n v="585518"/>
    <n v="181074"/>
    <x v="3"/>
    <x v="3"/>
    <x v="1"/>
    <n v="404444"/>
    <n v="223.35840595557616"/>
    <s v="Work in progress"/>
  </r>
  <r>
    <s v="P1709"/>
    <s v="Project-168"/>
    <x v="2"/>
    <x v="7"/>
    <x v="365"/>
    <x v="396"/>
    <x v="0"/>
    <n v="919733"/>
    <n v="416582"/>
    <x v="0"/>
    <x v="3"/>
    <x v="1"/>
    <n v="503151"/>
    <n v="120.78078265503551"/>
    <s v="Work in progress"/>
  </r>
  <r>
    <s v="P1710"/>
    <s v="Project-411"/>
    <x v="6"/>
    <x v="6"/>
    <x v="164"/>
    <x v="555"/>
    <x v="2"/>
    <n v="186974"/>
    <n v="652041"/>
    <x v="0"/>
    <x v="0"/>
    <x v="2"/>
    <n v="-465067"/>
    <n v="-71.324809329474675"/>
    <s v="Project delivered successfully"/>
  </r>
  <r>
    <s v="P1711"/>
    <s v="Project-388"/>
    <x v="4"/>
    <x v="3"/>
    <x v="374"/>
    <x v="414"/>
    <x v="1"/>
    <n v="903190"/>
    <n v="544497"/>
    <x v="3"/>
    <x v="3"/>
    <x v="0"/>
    <n v="358693"/>
    <n v="65.876028701719207"/>
    <s v="Timeline extended"/>
  </r>
  <r>
    <s v="P1712"/>
    <s v="Project-861"/>
    <x v="5"/>
    <x v="4"/>
    <x v="657"/>
    <x v="533"/>
    <x v="3"/>
    <n v="77050"/>
    <n v="401007"/>
    <x v="3"/>
    <x v="0"/>
    <x v="2"/>
    <n v="-323957"/>
    <n v="-80.785871568326741"/>
    <s v="Project cancelled"/>
  </r>
  <r>
    <s v="P1713"/>
    <s v="Project-647"/>
    <x v="5"/>
    <x v="2"/>
    <x v="199"/>
    <x v="324"/>
    <x v="2"/>
    <n v="411949"/>
    <n v="716235"/>
    <x v="2"/>
    <x v="2"/>
    <x v="2"/>
    <n v="-304286"/>
    <n v="-42.48410088867481"/>
    <s v="Project delivered successfully"/>
  </r>
  <r>
    <s v="P1714"/>
    <s v="Project-850"/>
    <x v="3"/>
    <x v="5"/>
    <x v="484"/>
    <x v="267"/>
    <x v="1"/>
    <n v="255658"/>
    <n v="186118"/>
    <x v="4"/>
    <x v="1"/>
    <x v="0"/>
    <n v="69540"/>
    <n v="37.363393116195105"/>
    <s v="Timeline extended"/>
  </r>
  <r>
    <s v="P1715"/>
    <s v="Project-247"/>
    <x v="6"/>
    <x v="7"/>
    <x v="478"/>
    <x v="565"/>
    <x v="0"/>
    <n v="557728"/>
    <n v="184736"/>
    <x v="1"/>
    <x v="2"/>
    <x v="1"/>
    <n v="372992"/>
    <n v="201.9054217910965"/>
    <s v="Work in progress"/>
  </r>
  <r>
    <s v="P1716"/>
    <s v="Project-566"/>
    <x v="4"/>
    <x v="4"/>
    <x v="275"/>
    <x v="356"/>
    <x v="0"/>
    <n v="905542"/>
    <n v="447669"/>
    <x v="1"/>
    <x v="3"/>
    <x v="1"/>
    <n v="457873"/>
    <n v="102.27936265410382"/>
    <s v="Work in progress"/>
  </r>
  <r>
    <s v="P1717"/>
    <s v="Project-838"/>
    <x v="3"/>
    <x v="6"/>
    <x v="474"/>
    <x v="436"/>
    <x v="0"/>
    <n v="938465"/>
    <n v="559034"/>
    <x v="1"/>
    <x v="1"/>
    <x v="0"/>
    <n v="379431"/>
    <n v="67.872615976845779"/>
    <s v="Work in progress"/>
  </r>
  <r>
    <s v="P1718"/>
    <s v="Project-343"/>
    <x v="3"/>
    <x v="7"/>
    <x v="140"/>
    <x v="233"/>
    <x v="2"/>
    <n v="126693"/>
    <n v="678053"/>
    <x v="0"/>
    <x v="3"/>
    <x v="2"/>
    <n v="-551360"/>
    <n v="-81.315177427133278"/>
    <s v="Project delivered successfully"/>
  </r>
  <r>
    <s v="P1719"/>
    <s v="Project-590"/>
    <x v="6"/>
    <x v="4"/>
    <x v="227"/>
    <x v="72"/>
    <x v="2"/>
    <n v="958860"/>
    <n v="436433"/>
    <x v="3"/>
    <x v="3"/>
    <x v="0"/>
    <n v="522427"/>
    <n v="119.703826245953"/>
    <s v="Project delivered successfully"/>
  </r>
  <r>
    <s v="P1720"/>
    <s v="Project-948"/>
    <x v="5"/>
    <x v="3"/>
    <x v="5"/>
    <x v="263"/>
    <x v="0"/>
    <n v="593863"/>
    <n v="355328"/>
    <x v="3"/>
    <x v="1"/>
    <x v="2"/>
    <n v="238535"/>
    <n v="67.130932546829968"/>
    <s v="Work in progress"/>
  </r>
  <r>
    <s v="P1721"/>
    <s v="Project-606"/>
    <x v="4"/>
    <x v="0"/>
    <x v="61"/>
    <x v="592"/>
    <x v="0"/>
    <n v="764300"/>
    <n v="118898"/>
    <x v="3"/>
    <x v="2"/>
    <x v="0"/>
    <n v="645402"/>
    <n v="542.81989604534976"/>
    <s v="Work in progress"/>
  </r>
  <r>
    <s v="P1722"/>
    <s v="Project-464"/>
    <x v="5"/>
    <x v="2"/>
    <x v="43"/>
    <x v="215"/>
    <x v="0"/>
    <n v="352388"/>
    <n v="858267"/>
    <x v="4"/>
    <x v="3"/>
    <x v="0"/>
    <n v="-505879"/>
    <n v="-58.941914346001887"/>
    <s v="Work in progress"/>
  </r>
  <r>
    <s v="P1723"/>
    <s v="Project-581"/>
    <x v="3"/>
    <x v="1"/>
    <x v="58"/>
    <x v="622"/>
    <x v="3"/>
    <n v="526697"/>
    <n v="825565"/>
    <x v="3"/>
    <x v="1"/>
    <x v="1"/>
    <n v="-298868"/>
    <n v="-36.201631609867178"/>
    <s v="Project cancelled"/>
  </r>
  <r>
    <s v="P1724"/>
    <s v="Project-300"/>
    <x v="4"/>
    <x v="1"/>
    <x v="180"/>
    <x v="661"/>
    <x v="0"/>
    <n v="327106"/>
    <n v="952908"/>
    <x v="3"/>
    <x v="2"/>
    <x v="1"/>
    <n v="-625802"/>
    <n v="-65.672866635603853"/>
    <s v="Work in progress"/>
  </r>
  <r>
    <s v="P1725"/>
    <s v="Project-253"/>
    <x v="3"/>
    <x v="3"/>
    <x v="307"/>
    <x v="205"/>
    <x v="2"/>
    <n v="281898"/>
    <n v="194411"/>
    <x v="0"/>
    <x v="0"/>
    <x v="0"/>
    <n v="87487"/>
    <n v="45.001054467082625"/>
    <s v="Project delivered successfully"/>
  </r>
  <r>
    <s v="P1726"/>
    <s v="Project-549"/>
    <x v="1"/>
    <x v="6"/>
    <x v="386"/>
    <x v="595"/>
    <x v="2"/>
    <n v="830839"/>
    <n v="759692"/>
    <x v="2"/>
    <x v="2"/>
    <x v="0"/>
    <n v="71147"/>
    <n v="9.3652427562749114"/>
    <s v="Project delivered successfully"/>
  </r>
  <r>
    <s v="P1727"/>
    <s v="Project-600"/>
    <x v="6"/>
    <x v="2"/>
    <x v="658"/>
    <x v="75"/>
    <x v="0"/>
    <n v="412839"/>
    <n v="247972"/>
    <x v="1"/>
    <x v="2"/>
    <x v="1"/>
    <n v="164867"/>
    <n v="66.486135531430961"/>
    <s v="Work in progress"/>
  </r>
  <r>
    <s v="P1728"/>
    <s v="Project-172"/>
    <x v="2"/>
    <x v="6"/>
    <x v="252"/>
    <x v="662"/>
    <x v="2"/>
    <n v="822723"/>
    <n v="157240"/>
    <x v="0"/>
    <x v="1"/>
    <x v="2"/>
    <n v="665483"/>
    <n v="423.22755024166884"/>
    <s v="Project delivered successfully"/>
  </r>
  <r>
    <s v="P1729"/>
    <s v="Project-812"/>
    <x v="4"/>
    <x v="2"/>
    <x v="493"/>
    <x v="352"/>
    <x v="1"/>
    <n v="297943"/>
    <n v="293380"/>
    <x v="0"/>
    <x v="2"/>
    <x v="1"/>
    <n v="4563"/>
    <n v="1.5553207444270229"/>
    <s v="Timeline extended"/>
  </r>
  <r>
    <s v="P1730"/>
    <s v="Project-395"/>
    <x v="4"/>
    <x v="3"/>
    <x v="315"/>
    <x v="644"/>
    <x v="0"/>
    <n v="140388"/>
    <n v="884348"/>
    <x v="0"/>
    <x v="0"/>
    <x v="2"/>
    <n v="-743960"/>
    <n v="-84.125253859340447"/>
    <s v="Work in progress"/>
  </r>
  <r>
    <s v="P1731"/>
    <s v="Project-116"/>
    <x v="2"/>
    <x v="2"/>
    <x v="612"/>
    <x v="449"/>
    <x v="1"/>
    <n v="801580"/>
    <n v="921913"/>
    <x v="1"/>
    <x v="0"/>
    <x v="1"/>
    <n v="-120333"/>
    <n v="-13.052533156599374"/>
    <s v="Timeline extended"/>
  </r>
  <r>
    <s v="P1732"/>
    <s v="Project-740"/>
    <x v="3"/>
    <x v="0"/>
    <x v="117"/>
    <x v="290"/>
    <x v="0"/>
    <n v="127332"/>
    <n v="158357"/>
    <x v="0"/>
    <x v="3"/>
    <x v="1"/>
    <n v="-31025"/>
    <n v="-19.591808382326008"/>
    <s v="Work in progress"/>
  </r>
  <r>
    <s v="P1733"/>
    <s v="Project-316"/>
    <x v="1"/>
    <x v="6"/>
    <x v="503"/>
    <x v="471"/>
    <x v="0"/>
    <n v="991954"/>
    <n v="531817"/>
    <x v="2"/>
    <x v="0"/>
    <x v="2"/>
    <n v="460137"/>
    <n v="86.521679449885951"/>
    <s v="Work in progress"/>
  </r>
  <r>
    <s v="P1734"/>
    <s v="Project-160"/>
    <x v="7"/>
    <x v="3"/>
    <x v="461"/>
    <x v="428"/>
    <x v="1"/>
    <n v="758854"/>
    <n v="654109"/>
    <x v="3"/>
    <x v="3"/>
    <x v="0"/>
    <n v="104745"/>
    <n v="16.013386148180196"/>
    <s v="Timeline extended"/>
  </r>
  <r>
    <s v="P1735"/>
    <s v="Project-715"/>
    <x v="2"/>
    <x v="0"/>
    <x v="498"/>
    <x v="497"/>
    <x v="1"/>
    <n v="963818"/>
    <n v="762382"/>
    <x v="2"/>
    <x v="0"/>
    <x v="1"/>
    <n v="201436"/>
    <n v="26.421924966748954"/>
    <s v="Timeline extended"/>
  </r>
  <r>
    <s v="P1736"/>
    <s v="Project-141"/>
    <x v="6"/>
    <x v="2"/>
    <x v="391"/>
    <x v="382"/>
    <x v="3"/>
    <n v="357181"/>
    <n v="414691"/>
    <x v="3"/>
    <x v="2"/>
    <x v="1"/>
    <n v="-57510"/>
    <n v="-13.868157254437641"/>
    <s v="Project cancelled"/>
  </r>
  <r>
    <s v="P1737"/>
    <s v="Project-124"/>
    <x v="5"/>
    <x v="3"/>
    <x v="428"/>
    <x v="261"/>
    <x v="2"/>
    <n v="162666"/>
    <n v="934609"/>
    <x v="3"/>
    <x v="3"/>
    <x v="1"/>
    <n v="-771943"/>
    <n v="-82.595288511024407"/>
    <s v="Project delivered successfully"/>
  </r>
  <r>
    <s v="P1738"/>
    <s v="Project-138"/>
    <x v="3"/>
    <x v="2"/>
    <x v="406"/>
    <x v="463"/>
    <x v="1"/>
    <n v="701336"/>
    <n v="1008793"/>
    <x v="0"/>
    <x v="0"/>
    <x v="0"/>
    <n v="-307457"/>
    <n v="-30.477709500363304"/>
    <s v="Timeline extended"/>
  </r>
  <r>
    <s v="P1739"/>
    <s v="Project-902"/>
    <x v="2"/>
    <x v="6"/>
    <x v="490"/>
    <x v="663"/>
    <x v="1"/>
    <n v="836360"/>
    <n v="198482"/>
    <x v="0"/>
    <x v="2"/>
    <x v="1"/>
    <n v="637878"/>
    <n v="321.37826100099755"/>
    <s v="Timeline extended"/>
  </r>
  <r>
    <s v="P1740"/>
    <s v="Project-230"/>
    <x v="2"/>
    <x v="3"/>
    <x v="351"/>
    <x v="505"/>
    <x v="1"/>
    <n v="395184"/>
    <n v="383126"/>
    <x v="1"/>
    <x v="2"/>
    <x v="0"/>
    <n v="12058"/>
    <n v="3.1472674785840691"/>
    <s v="Timeline extended"/>
  </r>
  <r>
    <s v="P1741"/>
    <s v="Project-597"/>
    <x v="4"/>
    <x v="2"/>
    <x v="542"/>
    <x v="448"/>
    <x v="2"/>
    <n v="685552"/>
    <n v="474518"/>
    <x v="4"/>
    <x v="3"/>
    <x v="1"/>
    <n v="211034"/>
    <n v="44.47333926215655"/>
    <s v="Project delivered successfully"/>
  </r>
  <r>
    <s v="P1742"/>
    <s v="Project-328"/>
    <x v="5"/>
    <x v="6"/>
    <x v="346"/>
    <x v="309"/>
    <x v="0"/>
    <n v="735401"/>
    <n v="444919"/>
    <x v="2"/>
    <x v="1"/>
    <x v="2"/>
    <n v="290482"/>
    <n v="65.288737950053829"/>
    <s v="Work in progress"/>
  </r>
  <r>
    <s v="P1743"/>
    <s v="Project-207"/>
    <x v="5"/>
    <x v="0"/>
    <x v="276"/>
    <x v="21"/>
    <x v="1"/>
    <n v="847147"/>
    <n v="860623"/>
    <x v="1"/>
    <x v="2"/>
    <x v="1"/>
    <n v="-13476"/>
    <n v="-1.5658424188059115"/>
    <s v="Timeline extended"/>
  </r>
  <r>
    <s v="P1744"/>
    <s v="Project-271"/>
    <x v="6"/>
    <x v="5"/>
    <x v="606"/>
    <x v="640"/>
    <x v="0"/>
    <n v="465019"/>
    <n v="279526"/>
    <x v="1"/>
    <x v="2"/>
    <x v="1"/>
    <n v="185493"/>
    <n v="66.35983772529211"/>
    <s v="Work in progress"/>
  </r>
  <r>
    <s v="P1745"/>
    <s v="Project-534"/>
    <x v="5"/>
    <x v="0"/>
    <x v="124"/>
    <x v="119"/>
    <x v="0"/>
    <n v="512122"/>
    <n v="346256"/>
    <x v="2"/>
    <x v="1"/>
    <x v="0"/>
    <n v="165866"/>
    <n v="47.902707823113531"/>
    <s v="Work in progress"/>
  </r>
  <r>
    <s v="P1746"/>
    <s v="Project-577"/>
    <x v="2"/>
    <x v="2"/>
    <x v="138"/>
    <x v="135"/>
    <x v="0"/>
    <n v="898158"/>
    <n v="41399"/>
    <x v="2"/>
    <x v="3"/>
    <x v="0"/>
    <n v="856759"/>
    <n v="2069.5161718882096"/>
    <s v="Work in progress"/>
  </r>
  <r>
    <s v="P1747"/>
    <s v="Project-201"/>
    <x v="7"/>
    <x v="3"/>
    <x v="568"/>
    <x v="161"/>
    <x v="2"/>
    <n v="445124"/>
    <n v="920797"/>
    <x v="3"/>
    <x v="0"/>
    <x v="0"/>
    <n v="-475673"/>
    <n v="-51.658834683431856"/>
    <s v="Project delivered successfully"/>
  </r>
  <r>
    <s v="P1748"/>
    <s v="Project-965"/>
    <x v="0"/>
    <x v="1"/>
    <x v="476"/>
    <x v="557"/>
    <x v="0"/>
    <n v="954640"/>
    <n v="42685"/>
    <x v="4"/>
    <x v="0"/>
    <x v="2"/>
    <n v="911955"/>
    <n v="2136.4765139978913"/>
    <s v="Work in progress"/>
  </r>
  <r>
    <s v="P1749"/>
    <s v="Project-623"/>
    <x v="3"/>
    <x v="0"/>
    <x v="278"/>
    <x v="268"/>
    <x v="0"/>
    <n v="218147"/>
    <n v="379921"/>
    <x v="0"/>
    <x v="2"/>
    <x v="2"/>
    <n v="-161774"/>
    <n v="-42.580957620136815"/>
    <s v="Work in progress"/>
  </r>
  <r>
    <s v="P1750"/>
    <s v="Project-374"/>
    <x v="0"/>
    <x v="0"/>
    <x v="582"/>
    <x v="501"/>
    <x v="1"/>
    <n v="245659"/>
    <n v="820919"/>
    <x v="4"/>
    <x v="1"/>
    <x v="0"/>
    <n v="-575260"/>
    <n v="-70.075123124205916"/>
    <s v="Timeline extended"/>
  </r>
  <r>
    <s v="P1751"/>
    <s v="Project-712"/>
    <x v="2"/>
    <x v="6"/>
    <x v="637"/>
    <x v="664"/>
    <x v="0"/>
    <n v="365792"/>
    <n v="978329"/>
    <x v="4"/>
    <x v="2"/>
    <x v="2"/>
    <n v="-612537"/>
    <n v="-62.610532857556102"/>
    <s v="Work in progress"/>
  </r>
  <r>
    <s v="P1752"/>
    <s v="Project-143"/>
    <x v="0"/>
    <x v="4"/>
    <x v="303"/>
    <x v="85"/>
    <x v="2"/>
    <n v="595422"/>
    <n v="693110"/>
    <x v="0"/>
    <x v="3"/>
    <x v="0"/>
    <n v="-97688"/>
    <n v="-14.094155328879976"/>
    <s v="Project delivered successfully"/>
  </r>
  <r>
    <s v="P1753"/>
    <s v="Project-916"/>
    <x v="2"/>
    <x v="1"/>
    <x v="460"/>
    <x v="75"/>
    <x v="0"/>
    <n v="820545"/>
    <n v="473445"/>
    <x v="4"/>
    <x v="2"/>
    <x v="2"/>
    <n v="347100"/>
    <n v="73.313690080157144"/>
    <s v="Work in progress"/>
  </r>
  <r>
    <s v="P1754"/>
    <s v="Project-116"/>
    <x v="0"/>
    <x v="2"/>
    <x v="471"/>
    <x v="588"/>
    <x v="0"/>
    <n v="892575"/>
    <n v="637508"/>
    <x v="1"/>
    <x v="0"/>
    <x v="0"/>
    <n v="255067"/>
    <n v="40.010007717550209"/>
    <s v="Work in progress"/>
  </r>
  <r>
    <s v="P1755"/>
    <s v="Project-429"/>
    <x v="5"/>
    <x v="5"/>
    <x v="154"/>
    <x v="533"/>
    <x v="0"/>
    <n v="119123"/>
    <n v="1138191"/>
    <x v="1"/>
    <x v="1"/>
    <x v="0"/>
    <n v="-1019068"/>
    <n v="-89.534006155381647"/>
    <s v="Work in progress"/>
  </r>
  <r>
    <s v="P1756"/>
    <s v="Project-668"/>
    <x v="1"/>
    <x v="3"/>
    <x v="321"/>
    <x v="665"/>
    <x v="2"/>
    <n v="538775"/>
    <n v="676157"/>
    <x v="0"/>
    <x v="3"/>
    <x v="2"/>
    <n v="-137382"/>
    <n v="-20.318062225193263"/>
    <s v="Project delivered successfully"/>
  </r>
  <r>
    <s v="P1757"/>
    <s v="Project-922"/>
    <x v="5"/>
    <x v="4"/>
    <x v="563"/>
    <x v="440"/>
    <x v="0"/>
    <n v="226225"/>
    <n v="966417"/>
    <x v="0"/>
    <x v="2"/>
    <x v="1"/>
    <n v="-740192"/>
    <n v="-76.591367908470147"/>
    <s v="Work in progress"/>
  </r>
  <r>
    <s v="P1758"/>
    <s v="Project-596"/>
    <x v="5"/>
    <x v="2"/>
    <x v="156"/>
    <x v="223"/>
    <x v="1"/>
    <n v="707773"/>
    <n v="917996"/>
    <x v="2"/>
    <x v="0"/>
    <x v="0"/>
    <n v="-210223"/>
    <n v="-22.900208715506384"/>
    <s v="Timeline extended"/>
  </r>
  <r>
    <s v="P1759"/>
    <s v="Project-914"/>
    <x v="6"/>
    <x v="7"/>
    <x v="659"/>
    <x v="465"/>
    <x v="0"/>
    <n v="271646"/>
    <n v="734875"/>
    <x v="2"/>
    <x v="2"/>
    <x v="0"/>
    <n v="-463229"/>
    <n v="-63.035073992175541"/>
    <s v="Work in progress"/>
  </r>
  <r>
    <s v="P1760"/>
    <s v="Project-111"/>
    <x v="4"/>
    <x v="5"/>
    <x v="427"/>
    <x v="463"/>
    <x v="0"/>
    <n v="203627"/>
    <n v="1125918"/>
    <x v="4"/>
    <x v="0"/>
    <x v="1"/>
    <n v="-922291"/>
    <n v="-81.914579925003423"/>
    <s v="Work in progress"/>
  </r>
  <r>
    <s v="P1761"/>
    <s v="Project-417"/>
    <x v="4"/>
    <x v="0"/>
    <x v="660"/>
    <x v="666"/>
    <x v="0"/>
    <n v="454168"/>
    <n v="404160"/>
    <x v="4"/>
    <x v="1"/>
    <x v="0"/>
    <n v="50008"/>
    <n v="12.373317498020587"/>
    <s v="Work in progress"/>
  </r>
  <r>
    <s v="P1762"/>
    <s v="Project-691"/>
    <x v="0"/>
    <x v="7"/>
    <x v="302"/>
    <x v="186"/>
    <x v="0"/>
    <n v="774353"/>
    <n v="800893"/>
    <x v="0"/>
    <x v="3"/>
    <x v="0"/>
    <n v="-26540"/>
    <n v="-3.313800969667609"/>
    <s v="Work in progress"/>
  </r>
  <r>
    <s v="P1763"/>
    <s v="Project-315"/>
    <x v="2"/>
    <x v="0"/>
    <x v="384"/>
    <x v="11"/>
    <x v="2"/>
    <n v="517216"/>
    <n v="876938"/>
    <x v="4"/>
    <x v="2"/>
    <x v="2"/>
    <n v="-359722"/>
    <n v="-41.020231760968279"/>
    <s v="Project delivered successfully"/>
  </r>
  <r>
    <s v="P1764"/>
    <s v="Project-438"/>
    <x v="6"/>
    <x v="0"/>
    <x v="328"/>
    <x v="346"/>
    <x v="1"/>
    <n v="958089"/>
    <n v="870720"/>
    <x v="3"/>
    <x v="3"/>
    <x v="1"/>
    <n v="87369"/>
    <n v="10.034109702315325"/>
    <s v="Timeline extended"/>
  </r>
  <r>
    <s v="P1765"/>
    <s v="Project-875"/>
    <x v="5"/>
    <x v="7"/>
    <x v="599"/>
    <x v="112"/>
    <x v="2"/>
    <n v="116686"/>
    <n v="807156"/>
    <x v="1"/>
    <x v="1"/>
    <x v="0"/>
    <n v="-690470"/>
    <n v="-85.543562830481349"/>
    <s v="Project delivered successfully"/>
  </r>
  <r>
    <s v="P1766"/>
    <s v="Project-760"/>
    <x v="6"/>
    <x v="5"/>
    <x v="582"/>
    <x v="255"/>
    <x v="0"/>
    <n v="949273"/>
    <n v="154939"/>
    <x v="4"/>
    <x v="0"/>
    <x v="0"/>
    <n v="794334"/>
    <n v="512.67531092881711"/>
    <s v="Work in progress"/>
  </r>
  <r>
    <s v="P1767"/>
    <s v="Project-180"/>
    <x v="0"/>
    <x v="6"/>
    <x v="230"/>
    <x v="203"/>
    <x v="0"/>
    <n v="606552"/>
    <n v="318766"/>
    <x v="4"/>
    <x v="1"/>
    <x v="1"/>
    <n v="287786"/>
    <n v="90.281272155750614"/>
    <s v="Work in progress"/>
  </r>
  <r>
    <s v="P1768"/>
    <s v="Project-826"/>
    <x v="4"/>
    <x v="7"/>
    <x v="409"/>
    <x v="355"/>
    <x v="0"/>
    <n v="286830"/>
    <n v="865141"/>
    <x v="2"/>
    <x v="1"/>
    <x v="1"/>
    <n v="-578311"/>
    <n v="-66.845866743108928"/>
    <s v="Work in progress"/>
  </r>
  <r>
    <s v="P1769"/>
    <s v="Project-584"/>
    <x v="1"/>
    <x v="2"/>
    <x v="541"/>
    <x v="146"/>
    <x v="3"/>
    <n v="490769"/>
    <n v="974974"/>
    <x v="3"/>
    <x v="3"/>
    <x v="2"/>
    <n v="-484205"/>
    <n v="-49.663375638734983"/>
    <s v="Project cancelled"/>
  </r>
  <r>
    <s v="P1770"/>
    <s v="Project-473"/>
    <x v="3"/>
    <x v="4"/>
    <x v="87"/>
    <x v="305"/>
    <x v="0"/>
    <n v="235431"/>
    <n v="166537"/>
    <x v="4"/>
    <x v="1"/>
    <x v="2"/>
    <n v="68894"/>
    <n v="41.368584758942454"/>
    <s v="Work in progress"/>
  </r>
  <r>
    <s v="P1771"/>
    <s v="Project-809"/>
    <x v="0"/>
    <x v="4"/>
    <x v="628"/>
    <x v="358"/>
    <x v="2"/>
    <n v="946317"/>
    <n v="898850"/>
    <x v="1"/>
    <x v="2"/>
    <x v="2"/>
    <n v="47467"/>
    <n v="5.2808588752294598"/>
    <s v="Project delivered successfully"/>
  </r>
  <r>
    <s v="P1772"/>
    <s v="Project-299"/>
    <x v="6"/>
    <x v="7"/>
    <x v="156"/>
    <x v="140"/>
    <x v="0"/>
    <n v="803682"/>
    <n v="127739"/>
    <x v="4"/>
    <x v="0"/>
    <x v="0"/>
    <n v="675943"/>
    <n v="529.15945795724099"/>
    <s v="Work in progress"/>
  </r>
  <r>
    <s v="P1773"/>
    <s v="Project-636"/>
    <x v="1"/>
    <x v="2"/>
    <x v="301"/>
    <x v="485"/>
    <x v="0"/>
    <n v="190880"/>
    <n v="256445"/>
    <x v="0"/>
    <x v="1"/>
    <x v="1"/>
    <n v="-65565"/>
    <n v="-25.566885686989416"/>
    <s v="Work in progress"/>
  </r>
  <r>
    <s v="P1774"/>
    <s v="Project-565"/>
    <x v="3"/>
    <x v="6"/>
    <x v="661"/>
    <x v="624"/>
    <x v="0"/>
    <n v="102330"/>
    <n v="1102912"/>
    <x v="3"/>
    <x v="2"/>
    <x v="2"/>
    <n v="-1000582"/>
    <n v="-90.721834561596935"/>
    <s v="Work in progress"/>
  </r>
  <r>
    <s v="P1775"/>
    <s v="Project-188"/>
    <x v="7"/>
    <x v="4"/>
    <x v="581"/>
    <x v="565"/>
    <x v="0"/>
    <n v="688960"/>
    <n v="1123340"/>
    <x v="4"/>
    <x v="0"/>
    <x v="1"/>
    <n v="-434380"/>
    <n v="-38.668613242651375"/>
    <s v="Work in progress"/>
  </r>
  <r>
    <s v="P1776"/>
    <s v="Project-367"/>
    <x v="0"/>
    <x v="2"/>
    <x v="516"/>
    <x v="84"/>
    <x v="2"/>
    <n v="350489"/>
    <n v="520548"/>
    <x v="3"/>
    <x v="3"/>
    <x v="0"/>
    <n v="-170059"/>
    <n v="-32.669225508502578"/>
    <s v="Project delivered successfully"/>
  </r>
  <r>
    <s v="P1777"/>
    <s v="Project-754"/>
    <x v="0"/>
    <x v="6"/>
    <x v="200"/>
    <x v="152"/>
    <x v="0"/>
    <n v="512833"/>
    <n v="1123996"/>
    <x v="4"/>
    <x v="0"/>
    <x v="0"/>
    <n v="-611163"/>
    <n v="-54.37412588656899"/>
    <s v="Work in progress"/>
  </r>
  <r>
    <s v="P1778"/>
    <s v="Project-670"/>
    <x v="7"/>
    <x v="2"/>
    <x v="210"/>
    <x v="281"/>
    <x v="2"/>
    <n v="613510"/>
    <n v="512974"/>
    <x v="1"/>
    <x v="3"/>
    <x v="1"/>
    <n v="100536"/>
    <n v="19.598654122821042"/>
    <s v="Project delivered successfully"/>
  </r>
  <r>
    <s v="P1779"/>
    <s v="Project-588"/>
    <x v="7"/>
    <x v="0"/>
    <x v="89"/>
    <x v="219"/>
    <x v="0"/>
    <n v="107755"/>
    <n v="1182957"/>
    <x v="1"/>
    <x v="0"/>
    <x v="1"/>
    <n v="-1075202"/>
    <n v="-90.891046758250724"/>
    <s v="Work in progress"/>
  </r>
  <r>
    <s v="P1780"/>
    <s v="Project-976"/>
    <x v="0"/>
    <x v="4"/>
    <x v="371"/>
    <x v="350"/>
    <x v="3"/>
    <n v="845365"/>
    <n v="661884"/>
    <x v="3"/>
    <x v="1"/>
    <x v="2"/>
    <n v="183481"/>
    <n v="27.721020601797292"/>
    <s v="Project cancelled"/>
  </r>
  <r>
    <s v="P1781"/>
    <s v="Project-637"/>
    <x v="7"/>
    <x v="6"/>
    <x v="614"/>
    <x v="43"/>
    <x v="0"/>
    <n v="904639"/>
    <n v="842879"/>
    <x v="2"/>
    <x v="3"/>
    <x v="1"/>
    <n v="61760"/>
    <n v="7.3272676149245628"/>
    <s v="Work in progress"/>
  </r>
  <r>
    <s v="P1782"/>
    <s v="Project-146"/>
    <x v="5"/>
    <x v="4"/>
    <x v="662"/>
    <x v="667"/>
    <x v="1"/>
    <n v="224811"/>
    <n v="165105"/>
    <x v="2"/>
    <x v="3"/>
    <x v="2"/>
    <n v="59706"/>
    <n v="36.162442082311259"/>
    <s v="Timeline extended"/>
  </r>
  <r>
    <s v="P1783"/>
    <s v="Project-387"/>
    <x v="3"/>
    <x v="0"/>
    <x v="54"/>
    <x v="30"/>
    <x v="1"/>
    <n v="228810"/>
    <n v="1003356"/>
    <x v="0"/>
    <x v="3"/>
    <x v="1"/>
    <n v="-774546"/>
    <n v="-77.195531795294997"/>
    <s v="Timeline extended"/>
  </r>
  <r>
    <s v="P1784"/>
    <s v="Project-877"/>
    <x v="3"/>
    <x v="7"/>
    <x v="157"/>
    <x v="51"/>
    <x v="3"/>
    <n v="941123"/>
    <n v="1099073"/>
    <x v="2"/>
    <x v="1"/>
    <x v="1"/>
    <n v="-157950"/>
    <n v="-14.371201912884768"/>
    <s v="Project cancelled"/>
  </r>
  <r>
    <s v="P1785"/>
    <s v="Project-115"/>
    <x v="3"/>
    <x v="0"/>
    <x v="289"/>
    <x v="152"/>
    <x v="0"/>
    <n v="679425"/>
    <n v="1158290"/>
    <x v="3"/>
    <x v="1"/>
    <x v="1"/>
    <n v="-478865"/>
    <n v="-41.342409931882344"/>
    <s v="Work in progress"/>
  </r>
  <r>
    <s v="P1786"/>
    <s v="Project-810"/>
    <x v="5"/>
    <x v="4"/>
    <x v="663"/>
    <x v="172"/>
    <x v="2"/>
    <n v="265616"/>
    <n v="233154"/>
    <x v="2"/>
    <x v="0"/>
    <x v="0"/>
    <n v="32462"/>
    <n v="13.92298652392839"/>
    <s v="Project delivered successfully"/>
  </r>
  <r>
    <s v="P1787"/>
    <s v="Project-500"/>
    <x v="2"/>
    <x v="4"/>
    <x v="498"/>
    <x v="666"/>
    <x v="0"/>
    <n v="989387"/>
    <n v="968482"/>
    <x v="0"/>
    <x v="0"/>
    <x v="0"/>
    <n v="20905"/>
    <n v="2.1585326314789537"/>
    <s v="Work in progress"/>
  </r>
  <r>
    <s v="P1788"/>
    <s v="Project-893"/>
    <x v="7"/>
    <x v="5"/>
    <x v="592"/>
    <x v="556"/>
    <x v="0"/>
    <n v="935250"/>
    <n v="794227"/>
    <x v="4"/>
    <x v="1"/>
    <x v="0"/>
    <n v="141023"/>
    <n v="17.756006783954714"/>
    <s v="Work in progress"/>
  </r>
  <r>
    <s v="P1789"/>
    <s v="Project-185"/>
    <x v="1"/>
    <x v="6"/>
    <x v="532"/>
    <x v="537"/>
    <x v="0"/>
    <n v="410654"/>
    <n v="173954"/>
    <x v="2"/>
    <x v="1"/>
    <x v="2"/>
    <n v="236700"/>
    <n v="136.07045540775147"/>
    <s v="Work in progress"/>
  </r>
  <r>
    <s v="P1790"/>
    <s v="Project-349"/>
    <x v="7"/>
    <x v="7"/>
    <x v="29"/>
    <x v="287"/>
    <x v="0"/>
    <n v="673539"/>
    <n v="1034824"/>
    <x v="3"/>
    <x v="3"/>
    <x v="2"/>
    <n v="-361285"/>
    <n v="-34.912700130650236"/>
    <s v="Work in progress"/>
  </r>
  <r>
    <s v="P1791"/>
    <s v="Project-490"/>
    <x v="0"/>
    <x v="0"/>
    <x v="325"/>
    <x v="559"/>
    <x v="3"/>
    <n v="720740"/>
    <n v="1016354"/>
    <x v="3"/>
    <x v="0"/>
    <x v="0"/>
    <n v="-295614"/>
    <n v="-29.085731939855602"/>
    <s v="Project cancelled"/>
  </r>
  <r>
    <s v="P1792"/>
    <s v="Project-881"/>
    <x v="4"/>
    <x v="6"/>
    <x v="324"/>
    <x v="304"/>
    <x v="0"/>
    <n v="330356"/>
    <n v="876302"/>
    <x v="0"/>
    <x v="0"/>
    <x v="0"/>
    <n v="-545946"/>
    <n v="-62.301124498175284"/>
    <s v="Work in progress"/>
  </r>
  <r>
    <s v="P1793"/>
    <s v="Project-434"/>
    <x v="6"/>
    <x v="3"/>
    <x v="16"/>
    <x v="636"/>
    <x v="2"/>
    <n v="340318"/>
    <n v="703955"/>
    <x v="0"/>
    <x v="3"/>
    <x v="1"/>
    <n v="-363637"/>
    <n v="-51.656284847753057"/>
    <s v="Project delivered successfully"/>
  </r>
  <r>
    <s v="P1794"/>
    <s v="Project-728"/>
    <x v="6"/>
    <x v="6"/>
    <x v="410"/>
    <x v="296"/>
    <x v="2"/>
    <n v="450077"/>
    <n v="245363"/>
    <x v="1"/>
    <x v="3"/>
    <x v="1"/>
    <n v="204714"/>
    <n v="83.433117462698121"/>
    <s v="Project delivered successfully"/>
  </r>
  <r>
    <s v="P1795"/>
    <s v="Project-618"/>
    <x v="3"/>
    <x v="3"/>
    <x v="527"/>
    <x v="668"/>
    <x v="0"/>
    <n v="711454"/>
    <n v="1176423"/>
    <x v="1"/>
    <x v="3"/>
    <x v="2"/>
    <n v="-464969"/>
    <n v="-39.523963744333457"/>
    <s v="Work in progress"/>
  </r>
  <r>
    <s v="P1796"/>
    <s v="Project-236"/>
    <x v="7"/>
    <x v="7"/>
    <x v="67"/>
    <x v="568"/>
    <x v="2"/>
    <n v="678937"/>
    <n v="225110"/>
    <x v="1"/>
    <x v="2"/>
    <x v="2"/>
    <n v="453827"/>
    <n v="201.60232775087735"/>
    <s v="Project delivered successfully"/>
  </r>
  <r>
    <s v="P1797"/>
    <s v="Project-982"/>
    <x v="1"/>
    <x v="0"/>
    <x v="283"/>
    <x v="430"/>
    <x v="0"/>
    <n v="625607"/>
    <n v="458665"/>
    <x v="4"/>
    <x v="2"/>
    <x v="1"/>
    <n v="166942"/>
    <n v="36.397370629980486"/>
    <s v="Work in progress"/>
  </r>
  <r>
    <s v="P1798"/>
    <s v="Project-787"/>
    <x v="0"/>
    <x v="0"/>
    <x v="302"/>
    <x v="419"/>
    <x v="2"/>
    <n v="752088"/>
    <n v="441855"/>
    <x v="3"/>
    <x v="1"/>
    <x v="2"/>
    <n v="310233"/>
    <n v="70.21149472111891"/>
    <s v="Project delivered successfully"/>
  </r>
  <r>
    <s v="P1799"/>
    <s v="Project-939"/>
    <x v="5"/>
    <x v="2"/>
    <x v="624"/>
    <x v="212"/>
    <x v="0"/>
    <n v="467579"/>
    <n v="992874"/>
    <x v="1"/>
    <x v="0"/>
    <x v="0"/>
    <n v="-525295"/>
    <n v="-52.906511803108955"/>
    <s v="Work in progress"/>
  </r>
  <r>
    <s v="P1800"/>
    <s v="Project-597"/>
    <x v="2"/>
    <x v="4"/>
    <x v="212"/>
    <x v="94"/>
    <x v="1"/>
    <n v="137846"/>
    <n v="759988"/>
    <x v="3"/>
    <x v="3"/>
    <x v="1"/>
    <n v="-622142"/>
    <n v="-81.862082032874213"/>
    <s v="Timeline extended"/>
  </r>
  <r>
    <s v="P1801"/>
    <s v="Project-926"/>
    <x v="5"/>
    <x v="1"/>
    <x v="508"/>
    <x v="132"/>
    <x v="2"/>
    <n v="220372"/>
    <n v="1150494"/>
    <x v="0"/>
    <x v="3"/>
    <x v="1"/>
    <n v="-930122"/>
    <n v="-80.845445521662867"/>
    <s v="Project delivered successfully"/>
  </r>
  <r>
    <s v="P1802"/>
    <s v="Project-826"/>
    <x v="1"/>
    <x v="5"/>
    <x v="195"/>
    <x v="547"/>
    <x v="3"/>
    <n v="104808"/>
    <n v="465926"/>
    <x v="4"/>
    <x v="0"/>
    <x v="2"/>
    <n v="-361118"/>
    <n v="-77.505440778149321"/>
    <s v="Project cancelled"/>
  </r>
  <r>
    <s v="P1803"/>
    <s v="Project-576"/>
    <x v="0"/>
    <x v="6"/>
    <x v="527"/>
    <x v="584"/>
    <x v="0"/>
    <n v="973447"/>
    <n v="215123"/>
    <x v="0"/>
    <x v="2"/>
    <x v="1"/>
    <n v="758324"/>
    <n v="352.50717031651664"/>
    <s v="Work in progress"/>
  </r>
  <r>
    <s v="P1804"/>
    <s v="Project-693"/>
    <x v="3"/>
    <x v="7"/>
    <x v="113"/>
    <x v="38"/>
    <x v="0"/>
    <n v="261177"/>
    <n v="221711"/>
    <x v="3"/>
    <x v="0"/>
    <x v="1"/>
    <n v="39466"/>
    <n v="17.800650396236541"/>
    <s v="Work in progress"/>
  </r>
  <r>
    <s v="P1805"/>
    <s v="Project-322"/>
    <x v="7"/>
    <x v="1"/>
    <x v="54"/>
    <x v="295"/>
    <x v="0"/>
    <n v="616904"/>
    <n v="33159"/>
    <x v="1"/>
    <x v="1"/>
    <x v="0"/>
    <n v="583745"/>
    <n v="1760.4421122470519"/>
    <s v="Work in progress"/>
  </r>
  <r>
    <s v="P1806"/>
    <s v="Project-471"/>
    <x v="0"/>
    <x v="6"/>
    <x v="524"/>
    <x v="478"/>
    <x v="0"/>
    <n v="910761"/>
    <n v="887624"/>
    <x v="0"/>
    <x v="2"/>
    <x v="1"/>
    <n v="23137"/>
    <n v="2.6066217227114183"/>
    <s v="Work in progress"/>
  </r>
  <r>
    <s v="P1807"/>
    <s v="Project-501"/>
    <x v="6"/>
    <x v="1"/>
    <x v="472"/>
    <x v="36"/>
    <x v="0"/>
    <n v="809103"/>
    <n v="359132"/>
    <x v="2"/>
    <x v="0"/>
    <x v="1"/>
    <n v="449971"/>
    <n v="125.29404230199481"/>
    <s v="Work in progress"/>
  </r>
  <r>
    <s v="P1808"/>
    <s v="Project-542"/>
    <x v="2"/>
    <x v="7"/>
    <x v="187"/>
    <x v="142"/>
    <x v="2"/>
    <n v="206359"/>
    <n v="826651"/>
    <x v="4"/>
    <x v="0"/>
    <x v="1"/>
    <n v="-620292"/>
    <n v="-75.036744647983241"/>
    <s v="Project delivered successfully"/>
  </r>
  <r>
    <s v="P1809"/>
    <s v="Project-589"/>
    <x v="5"/>
    <x v="0"/>
    <x v="49"/>
    <x v="411"/>
    <x v="0"/>
    <n v="964389"/>
    <n v="788849"/>
    <x v="3"/>
    <x v="1"/>
    <x v="1"/>
    <n v="175540"/>
    <n v="22.252674466215968"/>
    <s v="Work in progress"/>
  </r>
  <r>
    <s v="P1810"/>
    <s v="Project-714"/>
    <x v="2"/>
    <x v="7"/>
    <x v="264"/>
    <x v="290"/>
    <x v="0"/>
    <n v="739331"/>
    <n v="503212"/>
    <x v="1"/>
    <x v="0"/>
    <x v="0"/>
    <n v="236119"/>
    <n v="46.922370690683053"/>
    <s v="Work in progress"/>
  </r>
  <r>
    <s v="P1811"/>
    <s v="Project-372"/>
    <x v="2"/>
    <x v="6"/>
    <x v="523"/>
    <x v="598"/>
    <x v="1"/>
    <n v="106152"/>
    <n v="1099670"/>
    <x v="0"/>
    <x v="2"/>
    <x v="1"/>
    <n v="-993518"/>
    <n v="-90.346922258495738"/>
    <s v="Timeline extended"/>
  </r>
  <r>
    <s v="P1812"/>
    <s v="Project-625"/>
    <x v="1"/>
    <x v="1"/>
    <x v="200"/>
    <x v="143"/>
    <x v="2"/>
    <n v="92351"/>
    <n v="155312"/>
    <x v="4"/>
    <x v="3"/>
    <x v="0"/>
    <n v="-62961"/>
    <n v="-40.538400123622125"/>
    <s v="Project delivered successfully"/>
  </r>
  <r>
    <s v="P1813"/>
    <s v="Project-258"/>
    <x v="1"/>
    <x v="4"/>
    <x v="90"/>
    <x v="97"/>
    <x v="0"/>
    <n v="555931"/>
    <n v="134894"/>
    <x v="1"/>
    <x v="3"/>
    <x v="0"/>
    <n v="421037"/>
    <n v="312.12433466277224"/>
    <s v="Work in progress"/>
  </r>
  <r>
    <s v="P1814"/>
    <s v="Project-251"/>
    <x v="7"/>
    <x v="5"/>
    <x v="153"/>
    <x v="573"/>
    <x v="0"/>
    <n v="765400"/>
    <n v="671406"/>
    <x v="0"/>
    <x v="3"/>
    <x v="0"/>
    <n v="93994"/>
    <n v="13.999577007056832"/>
    <s v="Work in progress"/>
  </r>
  <r>
    <s v="P1815"/>
    <s v="Project-719"/>
    <x v="1"/>
    <x v="5"/>
    <x v="532"/>
    <x v="295"/>
    <x v="0"/>
    <n v="277977"/>
    <n v="713284"/>
    <x v="3"/>
    <x v="2"/>
    <x v="2"/>
    <n v="-435307"/>
    <n v="-61.028566461605763"/>
    <s v="Work in progress"/>
  </r>
  <r>
    <s v="P1816"/>
    <s v="Project-287"/>
    <x v="1"/>
    <x v="4"/>
    <x v="335"/>
    <x v="172"/>
    <x v="0"/>
    <n v="793919"/>
    <n v="899757"/>
    <x v="2"/>
    <x v="0"/>
    <x v="2"/>
    <n v="-105838"/>
    <n v="-11.762953775297108"/>
    <s v="Work in progress"/>
  </r>
  <r>
    <s v="P1817"/>
    <s v="Project-912"/>
    <x v="0"/>
    <x v="4"/>
    <x v="326"/>
    <x v="574"/>
    <x v="2"/>
    <n v="434521"/>
    <n v="1000653"/>
    <x v="2"/>
    <x v="0"/>
    <x v="1"/>
    <n v="-566132"/>
    <n v="-56.576255705024614"/>
    <s v="Project delivered successfully"/>
  </r>
  <r>
    <s v="P1818"/>
    <s v="Project-197"/>
    <x v="6"/>
    <x v="0"/>
    <x v="153"/>
    <x v="596"/>
    <x v="0"/>
    <n v="110616"/>
    <n v="61854"/>
    <x v="3"/>
    <x v="0"/>
    <x v="0"/>
    <n v="48762"/>
    <n v="78.834028518770012"/>
    <s v="Work in progress"/>
  </r>
  <r>
    <s v="P1819"/>
    <s v="Project-230"/>
    <x v="3"/>
    <x v="6"/>
    <x v="78"/>
    <x v="184"/>
    <x v="1"/>
    <n v="816781"/>
    <n v="90796"/>
    <x v="4"/>
    <x v="0"/>
    <x v="2"/>
    <n v="725985"/>
    <n v="799.57817525001099"/>
    <s v="Timeline extended"/>
  </r>
  <r>
    <s v="P1820"/>
    <s v="Project-904"/>
    <x v="7"/>
    <x v="3"/>
    <x v="664"/>
    <x v="669"/>
    <x v="2"/>
    <n v="204969"/>
    <n v="1055181"/>
    <x v="3"/>
    <x v="3"/>
    <x v="1"/>
    <n v="-850212"/>
    <n v="-80.574991399579787"/>
    <s v="Project delivered successfully"/>
  </r>
  <r>
    <s v="P1821"/>
    <s v="Project-270"/>
    <x v="0"/>
    <x v="7"/>
    <x v="218"/>
    <x v="56"/>
    <x v="2"/>
    <n v="335154"/>
    <n v="1151151"/>
    <x v="0"/>
    <x v="2"/>
    <x v="2"/>
    <n v="-815997"/>
    <n v="-70.885313916245565"/>
    <s v="Project delivered successfully"/>
  </r>
  <r>
    <s v="P1822"/>
    <s v="Project-282"/>
    <x v="3"/>
    <x v="5"/>
    <x v="483"/>
    <x v="12"/>
    <x v="0"/>
    <n v="544651"/>
    <n v="140380"/>
    <x v="4"/>
    <x v="1"/>
    <x v="0"/>
    <n v="404271"/>
    <n v="287.98333095882606"/>
    <s v="Work in progress"/>
  </r>
  <r>
    <s v="P1823"/>
    <s v="Project-463"/>
    <x v="2"/>
    <x v="4"/>
    <x v="509"/>
    <x v="68"/>
    <x v="0"/>
    <n v="696110"/>
    <n v="316243"/>
    <x v="2"/>
    <x v="2"/>
    <x v="1"/>
    <n v="379867"/>
    <n v="120.11870618480094"/>
    <s v="Work in progress"/>
  </r>
  <r>
    <s v="P1824"/>
    <s v="Project-138"/>
    <x v="0"/>
    <x v="7"/>
    <x v="606"/>
    <x v="600"/>
    <x v="2"/>
    <n v="201186"/>
    <n v="492422"/>
    <x v="0"/>
    <x v="0"/>
    <x v="0"/>
    <n v="-291236"/>
    <n v="-59.143580099995532"/>
    <s v="Project delivered successfully"/>
  </r>
  <r>
    <s v="P1825"/>
    <s v="Project-626"/>
    <x v="4"/>
    <x v="5"/>
    <x v="599"/>
    <x v="33"/>
    <x v="0"/>
    <n v="855482"/>
    <n v="1187447"/>
    <x v="1"/>
    <x v="0"/>
    <x v="0"/>
    <n v="-331965"/>
    <n v="-27.956195097549617"/>
    <s v="Work in progress"/>
  </r>
  <r>
    <s v="P1826"/>
    <s v="Project-987"/>
    <x v="0"/>
    <x v="4"/>
    <x v="569"/>
    <x v="198"/>
    <x v="0"/>
    <n v="296309"/>
    <n v="804079"/>
    <x v="1"/>
    <x v="2"/>
    <x v="2"/>
    <n v="-507770"/>
    <n v="-63.149267671460137"/>
    <s v="Work in progress"/>
  </r>
  <r>
    <s v="P1827"/>
    <s v="Project-596"/>
    <x v="1"/>
    <x v="6"/>
    <x v="627"/>
    <x v="117"/>
    <x v="0"/>
    <n v="333269"/>
    <n v="45793"/>
    <x v="1"/>
    <x v="2"/>
    <x v="1"/>
    <n v="287476"/>
    <n v="627.7728037036228"/>
    <s v="Work in progress"/>
  </r>
  <r>
    <s v="P1828"/>
    <s v="Project-615"/>
    <x v="3"/>
    <x v="5"/>
    <x v="615"/>
    <x v="151"/>
    <x v="0"/>
    <n v="537310"/>
    <n v="377806"/>
    <x v="2"/>
    <x v="3"/>
    <x v="1"/>
    <n v="159504"/>
    <n v="42.218493089045701"/>
    <s v="Work in progress"/>
  </r>
  <r>
    <s v="P1829"/>
    <s v="Project-448"/>
    <x v="7"/>
    <x v="0"/>
    <x v="604"/>
    <x v="670"/>
    <x v="2"/>
    <n v="493612"/>
    <n v="245836"/>
    <x v="3"/>
    <x v="0"/>
    <x v="1"/>
    <n v="247776"/>
    <n v="100.78914398216696"/>
    <s v="Project delivered successfully"/>
  </r>
  <r>
    <s v="P1830"/>
    <s v="Project-496"/>
    <x v="7"/>
    <x v="3"/>
    <x v="316"/>
    <x v="350"/>
    <x v="0"/>
    <n v="225918"/>
    <n v="507347"/>
    <x v="4"/>
    <x v="2"/>
    <x v="2"/>
    <n v="-281429"/>
    <n v="-55.47071333820837"/>
    <s v="Work in progress"/>
  </r>
  <r>
    <s v="P1831"/>
    <s v="Project-821"/>
    <x v="3"/>
    <x v="3"/>
    <x v="372"/>
    <x v="480"/>
    <x v="0"/>
    <n v="463612"/>
    <n v="423576"/>
    <x v="2"/>
    <x v="0"/>
    <x v="1"/>
    <n v="40036"/>
    <n v="9.4519047349236018"/>
    <s v="Work in progress"/>
  </r>
  <r>
    <s v="P1832"/>
    <s v="Project-260"/>
    <x v="1"/>
    <x v="4"/>
    <x v="434"/>
    <x v="559"/>
    <x v="0"/>
    <n v="404805"/>
    <n v="687992"/>
    <x v="0"/>
    <x v="2"/>
    <x v="2"/>
    <n v="-283187"/>
    <n v="-41.161379783485849"/>
    <s v="Work in progress"/>
  </r>
  <r>
    <s v="P1833"/>
    <s v="Project-115"/>
    <x v="5"/>
    <x v="5"/>
    <x v="154"/>
    <x v="116"/>
    <x v="2"/>
    <n v="831444"/>
    <n v="110882"/>
    <x v="0"/>
    <x v="0"/>
    <x v="1"/>
    <n v="720562"/>
    <n v="649.84578200248916"/>
    <s v="Project delivered successfully"/>
  </r>
  <r>
    <s v="P1834"/>
    <s v="Project-592"/>
    <x v="0"/>
    <x v="0"/>
    <x v="172"/>
    <x v="254"/>
    <x v="1"/>
    <n v="566941"/>
    <n v="930290"/>
    <x v="1"/>
    <x v="2"/>
    <x v="2"/>
    <n v="-363349"/>
    <n v="-39.057605692848469"/>
    <s v="Timeline extended"/>
  </r>
  <r>
    <s v="P1835"/>
    <s v="Project-525"/>
    <x v="1"/>
    <x v="2"/>
    <x v="453"/>
    <x v="4"/>
    <x v="1"/>
    <n v="662404"/>
    <n v="179080"/>
    <x v="4"/>
    <x v="0"/>
    <x v="1"/>
    <n v="483324"/>
    <n v="269.8927853473308"/>
    <s v="Timeline extended"/>
  </r>
  <r>
    <s v="P1836"/>
    <s v="Project-207"/>
    <x v="4"/>
    <x v="7"/>
    <x v="130"/>
    <x v="110"/>
    <x v="0"/>
    <n v="169233"/>
    <n v="631944"/>
    <x v="1"/>
    <x v="1"/>
    <x v="2"/>
    <n v="-462711"/>
    <n v="-73.220253693365237"/>
    <s v="Work in progress"/>
  </r>
  <r>
    <s v="P1837"/>
    <s v="Project-993"/>
    <x v="6"/>
    <x v="7"/>
    <x v="206"/>
    <x v="199"/>
    <x v="0"/>
    <n v="466790"/>
    <n v="453499"/>
    <x v="0"/>
    <x v="3"/>
    <x v="0"/>
    <n v="13291"/>
    <n v="2.9307672122761019"/>
    <s v="Work in progress"/>
  </r>
  <r>
    <s v="P1838"/>
    <s v="Project-549"/>
    <x v="2"/>
    <x v="1"/>
    <x v="488"/>
    <x v="237"/>
    <x v="0"/>
    <n v="926587"/>
    <n v="693178"/>
    <x v="0"/>
    <x v="1"/>
    <x v="0"/>
    <n v="233409"/>
    <n v="33.672303506458654"/>
    <s v="Work in progress"/>
  </r>
  <r>
    <s v="P1839"/>
    <s v="Project-410"/>
    <x v="3"/>
    <x v="0"/>
    <x v="141"/>
    <x v="67"/>
    <x v="2"/>
    <n v="966275"/>
    <n v="1109155"/>
    <x v="3"/>
    <x v="3"/>
    <x v="0"/>
    <n v="-142880"/>
    <n v="-12.881878547182316"/>
    <s v="Project delivered successfully"/>
  </r>
  <r>
    <s v="P1840"/>
    <s v="Project-838"/>
    <x v="6"/>
    <x v="5"/>
    <x v="534"/>
    <x v="313"/>
    <x v="2"/>
    <n v="63869"/>
    <n v="226092"/>
    <x v="3"/>
    <x v="3"/>
    <x v="1"/>
    <n v="-162223"/>
    <n v="-71.750880172673064"/>
    <s v="Project delivered successfully"/>
  </r>
  <r>
    <s v="P1841"/>
    <s v="Project-269"/>
    <x v="0"/>
    <x v="6"/>
    <x v="631"/>
    <x v="387"/>
    <x v="2"/>
    <n v="509410"/>
    <n v="667492"/>
    <x v="3"/>
    <x v="2"/>
    <x v="2"/>
    <n v="-158082"/>
    <n v="-23.68298047017792"/>
    <s v="Project delivered successfully"/>
  </r>
  <r>
    <s v="P1842"/>
    <s v="Project-645"/>
    <x v="7"/>
    <x v="6"/>
    <x v="225"/>
    <x v="77"/>
    <x v="0"/>
    <n v="636455"/>
    <n v="427534"/>
    <x v="1"/>
    <x v="1"/>
    <x v="0"/>
    <n v="208921"/>
    <n v="48.866522896424613"/>
    <s v="Work in progress"/>
  </r>
  <r>
    <s v="P1843"/>
    <s v="Project-513"/>
    <x v="2"/>
    <x v="1"/>
    <x v="357"/>
    <x v="100"/>
    <x v="2"/>
    <n v="761507"/>
    <n v="937043"/>
    <x v="4"/>
    <x v="3"/>
    <x v="1"/>
    <n v="-175536"/>
    <n v="-18.732971699271005"/>
    <s v="Project delivered successfully"/>
  </r>
  <r>
    <s v="P1844"/>
    <s v="Project-350"/>
    <x v="6"/>
    <x v="4"/>
    <x v="400"/>
    <x v="671"/>
    <x v="0"/>
    <n v="293758"/>
    <n v="458297"/>
    <x v="3"/>
    <x v="0"/>
    <x v="2"/>
    <n v="-164539"/>
    <n v="-35.902264252220725"/>
    <s v="Work in progress"/>
  </r>
  <r>
    <s v="P1845"/>
    <s v="Project-858"/>
    <x v="5"/>
    <x v="5"/>
    <x v="665"/>
    <x v="302"/>
    <x v="2"/>
    <n v="717482"/>
    <n v="540332"/>
    <x v="2"/>
    <x v="2"/>
    <x v="0"/>
    <n v="177150"/>
    <n v="32.785398606782493"/>
    <s v="Project delivered successfully"/>
  </r>
  <r>
    <s v="P1846"/>
    <s v="Project-880"/>
    <x v="6"/>
    <x v="1"/>
    <x v="530"/>
    <x v="482"/>
    <x v="0"/>
    <n v="224899"/>
    <n v="536568"/>
    <x v="3"/>
    <x v="2"/>
    <x v="0"/>
    <n v="-311669"/>
    <n v="-58.085648044609442"/>
    <s v="Work in progress"/>
  </r>
  <r>
    <s v="P1847"/>
    <s v="Project-240"/>
    <x v="4"/>
    <x v="3"/>
    <x v="525"/>
    <x v="136"/>
    <x v="2"/>
    <n v="718695"/>
    <n v="239742"/>
    <x v="1"/>
    <x v="0"/>
    <x v="1"/>
    <n v="478953"/>
    <n v="199.77851190029281"/>
    <s v="Project delivered successfully"/>
  </r>
  <r>
    <s v="P1848"/>
    <s v="Project-373"/>
    <x v="7"/>
    <x v="7"/>
    <x v="205"/>
    <x v="552"/>
    <x v="0"/>
    <n v="301536"/>
    <n v="928118"/>
    <x v="4"/>
    <x v="0"/>
    <x v="2"/>
    <n v="-626582"/>
    <n v="-67.511027692599441"/>
    <s v="Work in progress"/>
  </r>
  <r>
    <s v="P1849"/>
    <s v="Project-515"/>
    <x v="3"/>
    <x v="5"/>
    <x v="642"/>
    <x v="84"/>
    <x v="0"/>
    <n v="900008"/>
    <n v="106377"/>
    <x v="3"/>
    <x v="3"/>
    <x v="1"/>
    <n v="793631"/>
    <n v="746.05506829483818"/>
    <s v="Work in progress"/>
  </r>
  <r>
    <s v="P1850"/>
    <s v="Project-707"/>
    <x v="0"/>
    <x v="1"/>
    <x v="444"/>
    <x v="305"/>
    <x v="2"/>
    <n v="595965"/>
    <n v="383815"/>
    <x v="4"/>
    <x v="0"/>
    <x v="0"/>
    <n v="212150"/>
    <n v="55.274025246538052"/>
    <s v="Project delivered successfully"/>
  </r>
  <r>
    <s v="P1851"/>
    <s v="Project-838"/>
    <x v="3"/>
    <x v="3"/>
    <x v="415"/>
    <x v="48"/>
    <x v="0"/>
    <n v="471439"/>
    <n v="173499"/>
    <x v="2"/>
    <x v="2"/>
    <x v="1"/>
    <n v="297940"/>
    <n v="171.72433270508765"/>
    <s v="Work in progress"/>
  </r>
  <r>
    <s v="P1852"/>
    <s v="Project-990"/>
    <x v="2"/>
    <x v="0"/>
    <x v="646"/>
    <x v="645"/>
    <x v="2"/>
    <n v="473030"/>
    <n v="656551"/>
    <x v="0"/>
    <x v="0"/>
    <x v="1"/>
    <n v="-183521"/>
    <n v="-27.952283980985481"/>
    <s v="Project delivered successfully"/>
  </r>
  <r>
    <s v="P1853"/>
    <s v="Project-138"/>
    <x v="0"/>
    <x v="1"/>
    <x v="163"/>
    <x v="372"/>
    <x v="2"/>
    <n v="175662"/>
    <n v="1014789"/>
    <x v="4"/>
    <x v="1"/>
    <x v="0"/>
    <n v="-839127"/>
    <n v="-82.689800539816645"/>
    <s v="Project delivered successfully"/>
  </r>
  <r>
    <s v="P1854"/>
    <s v="Project-913"/>
    <x v="1"/>
    <x v="4"/>
    <x v="498"/>
    <x v="427"/>
    <x v="2"/>
    <n v="526827"/>
    <n v="675647"/>
    <x v="3"/>
    <x v="2"/>
    <x v="0"/>
    <n v="-148820"/>
    <n v="-22.026294795951141"/>
    <s v="Project delivered successfully"/>
  </r>
  <r>
    <s v="P1855"/>
    <s v="Project-128"/>
    <x v="5"/>
    <x v="4"/>
    <x v="10"/>
    <x v="205"/>
    <x v="0"/>
    <n v="486401"/>
    <n v="365314"/>
    <x v="1"/>
    <x v="0"/>
    <x v="2"/>
    <n v="121087"/>
    <n v="33.146005901772178"/>
    <s v="Work in progress"/>
  </r>
  <r>
    <s v="P1856"/>
    <s v="Project-576"/>
    <x v="1"/>
    <x v="4"/>
    <x v="33"/>
    <x v="246"/>
    <x v="0"/>
    <n v="651082"/>
    <n v="892582"/>
    <x v="1"/>
    <x v="2"/>
    <x v="2"/>
    <n v="-241500"/>
    <n v="-27.056337681019784"/>
    <s v="Work in progress"/>
  </r>
  <r>
    <s v="P1857"/>
    <s v="Project-417"/>
    <x v="1"/>
    <x v="5"/>
    <x v="308"/>
    <x v="181"/>
    <x v="2"/>
    <n v="125675"/>
    <n v="826714"/>
    <x v="1"/>
    <x v="3"/>
    <x v="0"/>
    <n v="-701039"/>
    <n v="-84.798249455071527"/>
    <s v="Project delivered successfully"/>
  </r>
  <r>
    <s v="P1858"/>
    <s v="Project-344"/>
    <x v="3"/>
    <x v="6"/>
    <x v="502"/>
    <x v="30"/>
    <x v="0"/>
    <n v="878757"/>
    <n v="181391"/>
    <x v="1"/>
    <x v="1"/>
    <x v="0"/>
    <n v="697366"/>
    <n v="384.45457602637396"/>
    <s v="Work in progress"/>
  </r>
  <r>
    <s v="P1859"/>
    <s v="Project-847"/>
    <x v="2"/>
    <x v="6"/>
    <x v="589"/>
    <x v="250"/>
    <x v="2"/>
    <n v="90503"/>
    <n v="984230"/>
    <x v="4"/>
    <x v="3"/>
    <x v="2"/>
    <n v="-893727"/>
    <n v="-90.804689960679923"/>
    <s v="Project delivered successfully"/>
  </r>
  <r>
    <s v="P1860"/>
    <s v="Project-796"/>
    <x v="5"/>
    <x v="7"/>
    <x v="546"/>
    <x v="328"/>
    <x v="0"/>
    <n v="855946"/>
    <n v="678423"/>
    <x v="1"/>
    <x v="1"/>
    <x v="1"/>
    <n v="177523"/>
    <n v="26.167007899201533"/>
    <s v="Work in progress"/>
  </r>
  <r>
    <s v="P1861"/>
    <s v="Project-371"/>
    <x v="6"/>
    <x v="1"/>
    <x v="606"/>
    <x v="567"/>
    <x v="0"/>
    <n v="630484"/>
    <n v="150019"/>
    <x v="0"/>
    <x v="0"/>
    <x v="0"/>
    <n v="480465"/>
    <n v="320.26943253854512"/>
    <s v="Work in progress"/>
  </r>
  <r>
    <s v="P1862"/>
    <s v="Project-539"/>
    <x v="0"/>
    <x v="0"/>
    <x v="595"/>
    <x v="473"/>
    <x v="0"/>
    <n v="988421"/>
    <n v="378492"/>
    <x v="2"/>
    <x v="2"/>
    <x v="0"/>
    <n v="609929"/>
    <n v="161.14713124715979"/>
    <s v="Work in progress"/>
  </r>
  <r>
    <s v="P1863"/>
    <s v="Project-847"/>
    <x v="0"/>
    <x v="1"/>
    <x v="244"/>
    <x v="580"/>
    <x v="0"/>
    <n v="931065"/>
    <n v="121368"/>
    <x v="4"/>
    <x v="0"/>
    <x v="1"/>
    <n v="809697"/>
    <n v="667.14208028475377"/>
    <s v="Work in progress"/>
  </r>
  <r>
    <s v="P1864"/>
    <s v="Project-338"/>
    <x v="4"/>
    <x v="7"/>
    <x v="77"/>
    <x v="164"/>
    <x v="0"/>
    <n v="755479"/>
    <n v="217461"/>
    <x v="4"/>
    <x v="3"/>
    <x v="2"/>
    <n v="538018"/>
    <n v="247.40896068720369"/>
    <s v="Work in progress"/>
  </r>
  <r>
    <s v="P1865"/>
    <s v="Project-476"/>
    <x v="7"/>
    <x v="3"/>
    <x v="378"/>
    <x v="648"/>
    <x v="2"/>
    <n v="657612"/>
    <n v="812190"/>
    <x v="1"/>
    <x v="2"/>
    <x v="2"/>
    <n v="-154578"/>
    <n v="-19.032246149300043"/>
    <s v="Project delivered successfully"/>
  </r>
  <r>
    <s v="P1866"/>
    <s v="Project-365"/>
    <x v="4"/>
    <x v="7"/>
    <x v="318"/>
    <x v="358"/>
    <x v="2"/>
    <n v="468277"/>
    <n v="1129844"/>
    <x v="1"/>
    <x v="0"/>
    <x v="1"/>
    <n v="-661567"/>
    <n v="-58.553835750776216"/>
    <s v="Project delivered successfully"/>
  </r>
  <r>
    <s v="P1867"/>
    <s v="Project-458"/>
    <x v="6"/>
    <x v="4"/>
    <x v="463"/>
    <x v="407"/>
    <x v="0"/>
    <n v="715307"/>
    <n v="1191268"/>
    <x v="4"/>
    <x v="0"/>
    <x v="0"/>
    <n v="-475961"/>
    <n v="-39.954149695954229"/>
    <s v="Work in progress"/>
  </r>
  <r>
    <s v="P1868"/>
    <s v="Project-439"/>
    <x v="4"/>
    <x v="5"/>
    <x v="456"/>
    <x v="203"/>
    <x v="3"/>
    <n v="524296"/>
    <n v="387345"/>
    <x v="1"/>
    <x v="2"/>
    <x v="1"/>
    <n v="136951"/>
    <n v="35.356336082820221"/>
    <s v="Project cancelled"/>
  </r>
  <r>
    <s v="P1869"/>
    <s v="Project-488"/>
    <x v="0"/>
    <x v="3"/>
    <x v="153"/>
    <x v="281"/>
    <x v="0"/>
    <n v="397694"/>
    <n v="498741"/>
    <x v="1"/>
    <x v="2"/>
    <x v="0"/>
    <n v="-101047"/>
    <n v="-20.260415726800083"/>
    <s v="Work in progress"/>
  </r>
  <r>
    <s v="P1870"/>
    <s v="Project-676"/>
    <x v="3"/>
    <x v="5"/>
    <x v="30"/>
    <x v="98"/>
    <x v="1"/>
    <n v="916763"/>
    <n v="148222"/>
    <x v="1"/>
    <x v="3"/>
    <x v="2"/>
    <n v="768541"/>
    <n v="518.50669941034391"/>
    <s v="Timeline extended"/>
  </r>
  <r>
    <s v="P1871"/>
    <s v="Project-788"/>
    <x v="1"/>
    <x v="4"/>
    <x v="657"/>
    <x v="430"/>
    <x v="2"/>
    <n v="213704"/>
    <n v="905022"/>
    <x v="1"/>
    <x v="1"/>
    <x v="0"/>
    <n v="-691318"/>
    <n v="-76.386872363323761"/>
    <s v="Project delivered successfully"/>
  </r>
  <r>
    <s v="P1872"/>
    <s v="Project-102"/>
    <x v="2"/>
    <x v="2"/>
    <x v="20"/>
    <x v="304"/>
    <x v="2"/>
    <n v="200424"/>
    <n v="453693"/>
    <x v="1"/>
    <x v="1"/>
    <x v="0"/>
    <n v="-253269"/>
    <n v="-55.82387208971705"/>
    <s v="Project delivered successfully"/>
  </r>
  <r>
    <s v="P1873"/>
    <s v="Project-528"/>
    <x v="1"/>
    <x v="7"/>
    <x v="270"/>
    <x v="200"/>
    <x v="0"/>
    <n v="335797"/>
    <n v="573864"/>
    <x v="3"/>
    <x v="2"/>
    <x v="0"/>
    <n v="-238067"/>
    <n v="-41.484916286785719"/>
    <s v="Work in progress"/>
  </r>
  <r>
    <s v="P1874"/>
    <s v="Project-241"/>
    <x v="1"/>
    <x v="7"/>
    <x v="11"/>
    <x v="318"/>
    <x v="0"/>
    <n v="248187"/>
    <n v="411785"/>
    <x v="3"/>
    <x v="1"/>
    <x v="0"/>
    <n v="-163598"/>
    <n v="-39.728984785749844"/>
    <s v="Work in progress"/>
  </r>
  <r>
    <s v="P1875"/>
    <s v="Project-475"/>
    <x v="5"/>
    <x v="0"/>
    <x v="83"/>
    <x v="89"/>
    <x v="0"/>
    <n v="933726"/>
    <n v="485919"/>
    <x v="3"/>
    <x v="3"/>
    <x v="0"/>
    <n v="447807"/>
    <n v="92.156717477604289"/>
    <s v="Work in progress"/>
  </r>
  <r>
    <s v="P1876"/>
    <s v="Project-769"/>
    <x v="0"/>
    <x v="1"/>
    <x v="529"/>
    <x v="411"/>
    <x v="2"/>
    <n v="618043"/>
    <n v="711066"/>
    <x v="4"/>
    <x v="1"/>
    <x v="2"/>
    <n v="-93023"/>
    <n v="-13.08218927638222"/>
    <s v="Project delivered successfully"/>
  </r>
  <r>
    <s v="P1877"/>
    <s v="Project-423"/>
    <x v="6"/>
    <x v="3"/>
    <x v="127"/>
    <x v="172"/>
    <x v="0"/>
    <n v="940728"/>
    <n v="240926"/>
    <x v="2"/>
    <x v="2"/>
    <x v="1"/>
    <n v="699802"/>
    <n v="290.46346180985034"/>
    <s v="Work in progress"/>
  </r>
  <r>
    <s v="P1878"/>
    <s v="Project-245"/>
    <x v="6"/>
    <x v="6"/>
    <x v="193"/>
    <x v="385"/>
    <x v="2"/>
    <n v="672642"/>
    <n v="247267"/>
    <x v="4"/>
    <x v="3"/>
    <x v="2"/>
    <n v="425375"/>
    <n v="172.03063894494613"/>
    <s v="Project delivered successfully"/>
  </r>
  <r>
    <s v="P1879"/>
    <s v="Project-392"/>
    <x v="2"/>
    <x v="5"/>
    <x v="546"/>
    <x v="181"/>
    <x v="0"/>
    <n v="384132"/>
    <n v="471652"/>
    <x v="3"/>
    <x v="2"/>
    <x v="0"/>
    <n v="-87520"/>
    <n v="-18.556054039842934"/>
    <s v="Work in progress"/>
  </r>
  <r>
    <s v="P1880"/>
    <s v="Project-764"/>
    <x v="3"/>
    <x v="3"/>
    <x v="554"/>
    <x v="334"/>
    <x v="1"/>
    <n v="874353"/>
    <n v="178044"/>
    <x v="4"/>
    <x v="3"/>
    <x v="1"/>
    <n v="696309"/>
    <n v="391.08815798341982"/>
    <s v="Timeline extended"/>
  </r>
  <r>
    <s v="P1881"/>
    <s v="Project-531"/>
    <x v="5"/>
    <x v="0"/>
    <x v="511"/>
    <x v="637"/>
    <x v="0"/>
    <n v="502219"/>
    <n v="175120"/>
    <x v="2"/>
    <x v="3"/>
    <x v="0"/>
    <n v="327099"/>
    <n v="186.78563270899954"/>
    <s v="Work in progress"/>
  </r>
  <r>
    <s v="P1882"/>
    <s v="Project-804"/>
    <x v="7"/>
    <x v="0"/>
    <x v="199"/>
    <x v="630"/>
    <x v="0"/>
    <n v="524092"/>
    <n v="1177484"/>
    <x v="1"/>
    <x v="2"/>
    <x v="2"/>
    <n v="-653392"/>
    <n v="-55.490520465670869"/>
    <s v="Work in progress"/>
  </r>
  <r>
    <s v="P1883"/>
    <s v="Project-684"/>
    <x v="3"/>
    <x v="5"/>
    <x v="424"/>
    <x v="548"/>
    <x v="0"/>
    <n v="883100"/>
    <n v="400868"/>
    <x v="0"/>
    <x v="0"/>
    <x v="2"/>
    <n v="482232"/>
    <n v="120.29695560633425"/>
    <s v="Work in progress"/>
  </r>
  <r>
    <s v="P1884"/>
    <s v="Project-498"/>
    <x v="4"/>
    <x v="6"/>
    <x v="218"/>
    <x v="81"/>
    <x v="0"/>
    <n v="367319"/>
    <n v="267741"/>
    <x v="3"/>
    <x v="2"/>
    <x v="0"/>
    <n v="99578"/>
    <n v="37.191913080178232"/>
    <s v="Work in progress"/>
  </r>
  <r>
    <s v="P1885"/>
    <s v="Project-916"/>
    <x v="3"/>
    <x v="1"/>
    <x v="635"/>
    <x v="623"/>
    <x v="0"/>
    <n v="753098"/>
    <n v="1158801"/>
    <x v="3"/>
    <x v="3"/>
    <x v="0"/>
    <n v="-405703"/>
    <n v="-35.010584215926634"/>
    <s v="Work in progress"/>
  </r>
  <r>
    <s v="P1886"/>
    <s v="Project-988"/>
    <x v="3"/>
    <x v="5"/>
    <x v="220"/>
    <x v="248"/>
    <x v="2"/>
    <n v="365596"/>
    <n v="510570"/>
    <x v="2"/>
    <x v="2"/>
    <x v="1"/>
    <n v="-144974"/>
    <n v="-28.394539436316276"/>
    <s v="Project delivered successfully"/>
  </r>
  <r>
    <s v="P1887"/>
    <s v="Project-443"/>
    <x v="1"/>
    <x v="5"/>
    <x v="193"/>
    <x v="569"/>
    <x v="0"/>
    <n v="249395"/>
    <n v="915169"/>
    <x v="1"/>
    <x v="2"/>
    <x v="1"/>
    <n v="-665774"/>
    <n v="-72.748749138137327"/>
    <s v="Work in progress"/>
  </r>
  <r>
    <s v="P1888"/>
    <s v="Project-239"/>
    <x v="3"/>
    <x v="4"/>
    <x v="97"/>
    <x v="315"/>
    <x v="0"/>
    <n v="358293"/>
    <n v="912969"/>
    <x v="1"/>
    <x v="3"/>
    <x v="0"/>
    <n v="-554676"/>
    <n v="-60.755184458617983"/>
    <s v="Work in progress"/>
  </r>
  <r>
    <s v="P1889"/>
    <s v="Project-286"/>
    <x v="6"/>
    <x v="6"/>
    <x v="75"/>
    <x v="651"/>
    <x v="1"/>
    <n v="294965"/>
    <n v="611890"/>
    <x v="0"/>
    <x v="1"/>
    <x v="1"/>
    <n v="-316925"/>
    <n v="-51.794440177156019"/>
    <s v="Timeline extended"/>
  </r>
  <r>
    <s v="P1890"/>
    <s v="Project-904"/>
    <x v="4"/>
    <x v="1"/>
    <x v="545"/>
    <x v="276"/>
    <x v="0"/>
    <n v="852271"/>
    <n v="57182"/>
    <x v="1"/>
    <x v="3"/>
    <x v="0"/>
    <n v="795089"/>
    <n v="1390.4532894966949"/>
    <s v="Work in progress"/>
  </r>
  <r>
    <s v="P1891"/>
    <s v="Project-160"/>
    <x v="4"/>
    <x v="7"/>
    <x v="402"/>
    <x v="315"/>
    <x v="1"/>
    <n v="570724"/>
    <n v="1024877"/>
    <x v="2"/>
    <x v="2"/>
    <x v="0"/>
    <n v="-454153"/>
    <n v="-44.312927307374444"/>
    <s v="Timeline extended"/>
  </r>
  <r>
    <s v="P1892"/>
    <s v="Project-479"/>
    <x v="0"/>
    <x v="4"/>
    <x v="25"/>
    <x v="87"/>
    <x v="3"/>
    <n v="576443"/>
    <n v="432003"/>
    <x v="1"/>
    <x v="3"/>
    <x v="0"/>
    <n v="144440"/>
    <n v="33.434952998011589"/>
    <s v="Project cancelled"/>
  </r>
  <r>
    <s v="P1893"/>
    <s v="Project-809"/>
    <x v="3"/>
    <x v="2"/>
    <x v="467"/>
    <x v="372"/>
    <x v="0"/>
    <n v="450235"/>
    <n v="816825"/>
    <x v="2"/>
    <x v="3"/>
    <x v="2"/>
    <n v="-366590"/>
    <n v="-44.87987022924127"/>
    <s v="Work in progress"/>
  </r>
  <r>
    <s v="P1894"/>
    <s v="Project-906"/>
    <x v="1"/>
    <x v="6"/>
    <x v="189"/>
    <x v="132"/>
    <x v="0"/>
    <n v="628800"/>
    <n v="173128"/>
    <x v="3"/>
    <x v="1"/>
    <x v="0"/>
    <n v="455672"/>
    <n v="263.19948246384178"/>
    <s v="Work in progress"/>
  </r>
  <r>
    <s v="P1895"/>
    <s v="Project-539"/>
    <x v="3"/>
    <x v="1"/>
    <x v="469"/>
    <x v="228"/>
    <x v="0"/>
    <n v="504906"/>
    <n v="484699"/>
    <x v="3"/>
    <x v="0"/>
    <x v="0"/>
    <n v="20207"/>
    <n v="4.1689790983682657"/>
    <s v="Work in progress"/>
  </r>
  <r>
    <s v="P1896"/>
    <s v="Project-418"/>
    <x v="7"/>
    <x v="0"/>
    <x v="336"/>
    <x v="560"/>
    <x v="2"/>
    <n v="922582"/>
    <n v="1056200"/>
    <x v="3"/>
    <x v="2"/>
    <x v="0"/>
    <n v="-133618"/>
    <n v="-12.650823707631131"/>
    <s v="Project delivered successfully"/>
  </r>
  <r>
    <s v="P1897"/>
    <s v="Project-401"/>
    <x v="7"/>
    <x v="4"/>
    <x v="598"/>
    <x v="401"/>
    <x v="2"/>
    <n v="700329"/>
    <n v="451645"/>
    <x v="4"/>
    <x v="2"/>
    <x v="1"/>
    <n v="248684"/>
    <n v="55.061829534258102"/>
    <s v="Project delivered successfully"/>
  </r>
  <r>
    <s v="P1898"/>
    <s v="Project-443"/>
    <x v="1"/>
    <x v="1"/>
    <x v="162"/>
    <x v="390"/>
    <x v="2"/>
    <n v="338334"/>
    <n v="345050"/>
    <x v="3"/>
    <x v="1"/>
    <x v="0"/>
    <n v="-6716"/>
    <n v="-1.9463845819446455"/>
    <s v="Project delivered successfully"/>
  </r>
  <r>
    <s v="P1899"/>
    <s v="Project-110"/>
    <x v="0"/>
    <x v="3"/>
    <x v="340"/>
    <x v="672"/>
    <x v="2"/>
    <n v="549127"/>
    <n v="1045261"/>
    <x v="2"/>
    <x v="3"/>
    <x v="2"/>
    <n v="-496134"/>
    <n v="-47.465082883605149"/>
    <s v="Project delivered successfully"/>
  </r>
  <r>
    <s v="P1900"/>
    <s v="Project-161"/>
    <x v="0"/>
    <x v="5"/>
    <x v="666"/>
    <x v="327"/>
    <x v="0"/>
    <n v="323072"/>
    <n v="860821"/>
    <x v="0"/>
    <x v="0"/>
    <x v="2"/>
    <n v="-537749"/>
    <n v="-62.469317082180851"/>
    <s v="Work in progress"/>
  </r>
  <r>
    <s v="P1901"/>
    <s v="Project-944"/>
    <x v="4"/>
    <x v="2"/>
    <x v="667"/>
    <x v="508"/>
    <x v="1"/>
    <n v="360569"/>
    <n v="313049"/>
    <x v="1"/>
    <x v="2"/>
    <x v="0"/>
    <n v="47520"/>
    <n v="15.179732246389543"/>
    <s v="Timeline extended"/>
  </r>
  <r>
    <s v="P1902"/>
    <s v="Project-325"/>
    <x v="4"/>
    <x v="7"/>
    <x v="50"/>
    <x v="452"/>
    <x v="2"/>
    <n v="648422"/>
    <n v="611845"/>
    <x v="3"/>
    <x v="0"/>
    <x v="0"/>
    <n v="36577"/>
    <n v="5.9781480603747683"/>
    <s v="Project delivered successfully"/>
  </r>
  <r>
    <s v="P1903"/>
    <s v="Project-252"/>
    <x v="5"/>
    <x v="5"/>
    <x v="333"/>
    <x v="177"/>
    <x v="2"/>
    <n v="684163"/>
    <n v="791994"/>
    <x v="4"/>
    <x v="0"/>
    <x v="0"/>
    <n v="-107831"/>
    <n v="-13.615128397437354"/>
    <s v="Project delivered successfully"/>
  </r>
  <r>
    <s v="P1904"/>
    <s v="Project-810"/>
    <x v="1"/>
    <x v="3"/>
    <x v="179"/>
    <x v="468"/>
    <x v="1"/>
    <n v="267189"/>
    <n v="787624"/>
    <x v="4"/>
    <x v="3"/>
    <x v="2"/>
    <n v="-520435"/>
    <n v="-66.076579687769794"/>
    <s v="Timeline extended"/>
  </r>
  <r>
    <s v="P1905"/>
    <s v="Project-663"/>
    <x v="3"/>
    <x v="3"/>
    <x v="473"/>
    <x v="110"/>
    <x v="2"/>
    <n v="698552"/>
    <n v="227271"/>
    <x v="2"/>
    <x v="3"/>
    <x v="1"/>
    <n v="471281"/>
    <n v="207.36521597564143"/>
    <s v="Project delivered successfully"/>
  </r>
  <r>
    <s v="P1906"/>
    <s v="Project-871"/>
    <x v="2"/>
    <x v="2"/>
    <x v="668"/>
    <x v="435"/>
    <x v="0"/>
    <n v="230046"/>
    <n v="732661"/>
    <x v="0"/>
    <x v="3"/>
    <x v="1"/>
    <n v="-502615"/>
    <n v="-68.601304013725311"/>
    <s v="Work in progress"/>
  </r>
  <r>
    <s v="P1907"/>
    <s v="Project-670"/>
    <x v="1"/>
    <x v="7"/>
    <x v="455"/>
    <x v="471"/>
    <x v="0"/>
    <n v="422335"/>
    <n v="639040"/>
    <x v="3"/>
    <x v="2"/>
    <x v="0"/>
    <n v="-216705"/>
    <n v="-33.911022784176268"/>
    <s v="Work in progress"/>
  </r>
  <r>
    <s v="P1908"/>
    <s v="Project-683"/>
    <x v="5"/>
    <x v="0"/>
    <x v="109"/>
    <x v="584"/>
    <x v="0"/>
    <n v="229815"/>
    <n v="821006"/>
    <x v="3"/>
    <x v="0"/>
    <x v="1"/>
    <n v="-591191"/>
    <n v="-72.008121743324651"/>
    <s v="Work in progress"/>
  </r>
  <r>
    <s v="P1909"/>
    <s v="Project-759"/>
    <x v="4"/>
    <x v="4"/>
    <x v="496"/>
    <x v="76"/>
    <x v="0"/>
    <n v="522671"/>
    <n v="812262"/>
    <x v="4"/>
    <x v="0"/>
    <x v="2"/>
    <n v="-289591"/>
    <n v="-35.652412645180988"/>
    <s v="Work in progress"/>
  </r>
  <r>
    <s v="P1910"/>
    <s v="Project-960"/>
    <x v="1"/>
    <x v="6"/>
    <x v="60"/>
    <x v="673"/>
    <x v="3"/>
    <n v="940148"/>
    <n v="1004280"/>
    <x v="2"/>
    <x v="2"/>
    <x v="0"/>
    <n v="-64132"/>
    <n v="-6.3858684828932173"/>
    <s v="Project cancelled"/>
  </r>
  <r>
    <s v="P1911"/>
    <s v="Project-674"/>
    <x v="1"/>
    <x v="7"/>
    <x v="614"/>
    <x v="624"/>
    <x v="0"/>
    <n v="251107"/>
    <n v="1035716"/>
    <x v="4"/>
    <x v="1"/>
    <x v="1"/>
    <n v="-784609"/>
    <n v="-75.755226336177088"/>
    <s v="Work in progress"/>
  </r>
  <r>
    <s v="P1912"/>
    <s v="Project-409"/>
    <x v="4"/>
    <x v="6"/>
    <x v="164"/>
    <x v="348"/>
    <x v="2"/>
    <n v="630609"/>
    <n v="510313"/>
    <x v="4"/>
    <x v="3"/>
    <x v="0"/>
    <n v="120296"/>
    <n v="23.572983639452648"/>
    <s v="Project delivered successfully"/>
  </r>
  <r>
    <s v="P1913"/>
    <s v="Project-984"/>
    <x v="6"/>
    <x v="1"/>
    <x v="43"/>
    <x v="412"/>
    <x v="0"/>
    <n v="425926"/>
    <n v="316881"/>
    <x v="0"/>
    <x v="2"/>
    <x v="0"/>
    <n v="109045"/>
    <n v="34.411971686532169"/>
    <s v="Work in progress"/>
  </r>
  <r>
    <s v="P1914"/>
    <s v="Project-342"/>
    <x v="5"/>
    <x v="3"/>
    <x v="236"/>
    <x v="330"/>
    <x v="0"/>
    <n v="159398"/>
    <n v="1170188"/>
    <x v="2"/>
    <x v="3"/>
    <x v="2"/>
    <n v="-1010790"/>
    <n v="-86.378428081641573"/>
    <s v="Work in progress"/>
  </r>
  <r>
    <s v="P1915"/>
    <s v="Project-592"/>
    <x v="4"/>
    <x v="1"/>
    <x v="499"/>
    <x v="582"/>
    <x v="1"/>
    <n v="371117"/>
    <n v="101082"/>
    <x v="0"/>
    <x v="0"/>
    <x v="2"/>
    <n v="270035"/>
    <n v="267.14449654735756"/>
    <s v="Timeline extended"/>
  </r>
  <r>
    <s v="P1916"/>
    <s v="Project-465"/>
    <x v="0"/>
    <x v="0"/>
    <x v="669"/>
    <x v="313"/>
    <x v="1"/>
    <n v="626702"/>
    <n v="444496"/>
    <x v="2"/>
    <x v="2"/>
    <x v="1"/>
    <n v="182206"/>
    <n v="40.991594974982902"/>
    <s v="Timeline extended"/>
  </r>
  <r>
    <s v="P1917"/>
    <s v="Project-429"/>
    <x v="3"/>
    <x v="1"/>
    <x v="144"/>
    <x v="630"/>
    <x v="0"/>
    <n v="468818"/>
    <n v="149229"/>
    <x v="3"/>
    <x v="1"/>
    <x v="2"/>
    <n v="319589"/>
    <n v="214.16011633127607"/>
    <s v="Work in progress"/>
  </r>
  <r>
    <s v="P1918"/>
    <s v="Project-206"/>
    <x v="4"/>
    <x v="7"/>
    <x v="367"/>
    <x v="229"/>
    <x v="0"/>
    <n v="298749"/>
    <n v="260205"/>
    <x v="1"/>
    <x v="3"/>
    <x v="0"/>
    <n v="38544"/>
    <n v="14.81293595434369"/>
    <s v="Work in progress"/>
  </r>
  <r>
    <s v="P1919"/>
    <s v="Project-325"/>
    <x v="5"/>
    <x v="1"/>
    <x v="386"/>
    <x v="281"/>
    <x v="0"/>
    <n v="341836"/>
    <n v="126342"/>
    <x v="1"/>
    <x v="0"/>
    <x v="2"/>
    <n v="215494"/>
    <n v="170.56402463155561"/>
    <s v="Work in progress"/>
  </r>
  <r>
    <s v="P1920"/>
    <s v="Project-924"/>
    <x v="7"/>
    <x v="0"/>
    <x v="96"/>
    <x v="300"/>
    <x v="0"/>
    <n v="418102"/>
    <n v="797224"/>
    <x v="2"/>
    <x v="0"/>
    <x v="1"/>
    <n v="-379122"/>
    <n v="-47.555266775711722"/>
    <s v="Work in progress"/>
  </r>
  <r>
    <s v="P1921"/>
    <s v="Project-317"/>
    <x v="0"/>
    <x v="0"/>
    <x v="494"/>
    <x v="150"/>
    <x v="0"/>
    <n v="360894"/>
    <n v="582375"/>
    <x v="1"/>
    <x v="1"/>
    <x v="1"/>
    <n v="-221481"/>
    <n v="-38.030650354153252"/>
    <s v="Work in progress"/>
  </r>
  <r>
    <s v="P1922"/>
    <s v="Project-852"/>
    <x v="7"/>
    <x v="0"/>
    <x v="90"/>
    <x v="422"/>
    <x v="0"/>
    <n v="464976"/>
    <n v="1188420"/>
    <x v="4"/>
    <x v="1"/>
    <x v="1"/>
    <n v="-723444"/>
    <n v="-60.874438329883375"/>
    <s v="Work in progress"/>
  </r>
  <r>
    <s v="P1923"/>
    <s v="Project-605"/>
    <x v="2"/>
    <x v="7"/>
    <x v="121"/>
    <x v="674"/>
    <x v="3"/>
    <n v="380600"/>
    <n v="1059696"/>
    <x v="3"/>
    <x v="3"/>
    <x v="2"/>
    <n v="-679096"/>
    <n v="-64.084039196146819"/>
    <s v="Project cancelled"/>
  </r>
  <r>
    <s v="P1924"/>
    <s v="Project-358"/>
    <x v="4"/>
    <x v="0"/>
    <x v="670"/>
    <x v="338"/>
    <x v="2"/>
    <n v="860517"/>
    <n v="358905"/>
    <x v="3"/>
    <x v="0"/>
    <x v="2"/>
    <n v="501612"/>
    <n v="139.76177540017554"/>
    <s v="Project delivered successfully"/>
  </r>
  <r>
    <s v="P1925"/>
    <s v="Project-987"/>
    <x v="0"/>
    <x v="3"/>
    <x v="34"/>
    <x v="637"/>
    <x v="1"/>
    <n v="335069"/>
    <n v="682862"/>
    <x v="1"/>
    <x v="1"/>
    <x v="2"/>
    <n v="-347793"/>
    <n v="-50.931667013247186"/>
    <s v="Timeline extended"/>
  </r>
  <r>
    <s v="P1926"/>
    <s v="Project-873"/>
    <x v="3"/>
    <x v="5"/>
    <x v="402"/>
    <x v="647"/>
    <x v="2"/>
    <n v="842047"/>
    <n v="1020387"/>
    <x v="2"/>
    <x v="2"/>
    <x v="2"/>
    <n v="-178340"/>
    <n v="-17.477682487134782"/>
    <s v="Project delivered successfully"/>
  </r>
  <r>
    <s v="P1927"/>
    <s v="Project-616"/>
    <x v="4"/>
    <x v="0"/>
    <x v="510"/>
    <x v="578"/>
    <x v="0"/>
    <n v="873515"/>
    <n v="66764"/>
    <x v="4"/>
    <x v="1"/>
    <x v="2"/>
    <n v="806751"/>
    <n v="1208.3622910550596"/>
    <s v="Work in progress"/>
  </r>
  <r>
    <s v="P1928"/>
    <s v="Project-872"/>
    <x v="3"/>
    <x v="1"/>
    <x v="164"/>
    <x v="675"/>
    <x v="1"/>
    <n v="564004"/>
    <n v="223198"/>
    <x v="2"/>
    <x v="2"/>
    <x v="1"/>
    <n v="340806"/>
    <n v="152.6922284249859"/>
    <s v="Timeline extended"/>
  </r>
  <r>
    <s v="P1929"/>
    <s v="Project-153"/>
    <x v="6"/>
    <x v="4"/>
    <x v="362"/>
    <x v="635"/>
    <x v="0"/>
    <n v="422908"/>
    <n v="339199"/>
    <x v="1"/>
    <x v="0"/>
    <x v="1"/>
    <n v="83709"/>
    <n v="24.678433603872655"/>
    <s v="Work in progress"/>
  </r>
  <r>
    <s v="P1930"/>
    <s v="Project-146"/>
    <x v="1"/>
    <x v="1"/>
    <x v="650"/>
    <x v="469"/>
    <x v="1"/>
    <n v="511535"/>
    <n v="856152"/>
    <x v="3"/>
    <x v="3"/>
    <x v="2"/>
    <n v="-344617"/>
    <n v="-40.251847802726623"/>
    <s v="Timeline extended"/>
  </r>
  <r>
    <s v="P1931"/>
    <s v="Project-826"/>
    <x v="7"/>
    <x v="4"/>
    <x v="7"/>
    <x v="402"/>
    <x v="0"/>
    <n v="583893"/>
    <n v="123120"/>
    <x v="3"/>
    <x v="0"/>
    <x v="0"/>
    <n v="460773"/>
    <n v="374.2470760233918"/>
    <s v="Work in progress"/>
  </r>
  <r>
    <s v="P1932"/>
    <s v="Project-788"/>
    <x v="0"/>
    <x v="1"/>
    <x v="234"/>
    <x v="124"/>
    <x v="0"/>
    <n v="947525"/>
    <n v="157976"/>
    <x v="2"/>
    <x v="0"/>
    <x v="1"/>
    <n v="789549"/>
    <n v="499.79047450245605"/>
    <s v="Work in progress"/>
  </r>
  <r>
    <s v="P1933"/>
    <s v="Project-620"/>
    <x v="3"/>
    <x v="7"/>
    <x v="359"/>
    <x v="582"/>
    <x v="1"/>
    <n v="881040"/>
    <n v="930499"/>
    <x v="0"/>
    <x v="0"/>
    <x v="0"/>
    <n v="-49459"/>
    <n v="-5.3153200594519712"/>
    <s v="Timeline extended"/>
  </r>
  <r>
    <s v="P1934"/>
    <s v="Project-198"/>
    <x v="5"/>
    <x v="1"/>
    <x v="508"/>
    <x v="458"/>
    <x v="2"/>
    <n v="440932"/>
    <n v="567507"/>
    <x v="2"/>
    <x v="0"/>
    <x v="0"/>
    <n v="-126575"/>
    <n v="-22.303689646118901"/>
    <s v="Project delivered successfully"/>
  </r>
  <r>
    <s v="P1935"/>
    <s v="Project-119"/>
    <x v="3"/>
    <x v="7"/>
    <x v="247"/>
    <x v="194"/>
    <x v="1"/>
    <n v="69192"/>
    <n v="400652"/>
    <x v="0"/>
    <x v="3"/>
    <x v="1"/>
    <n v="-331460"/>
    <n v="-82.730149855735149"/>
    <s v="Timeline extended"/>
  </r>
  <r>
    <s v="P1936"/>
    <s v="Project-989"/>
    <x v="5"/>
    <x v="7"/>
    <x v="553"/>
    <x v="502"/>
    <x v="1"/>
    <n v="970835"/>
    <n v="341009"/>
    <x v="2"/>
    <x v="1"/>
    <x v="0"/>
    <n v="629826"/>
    <n v="184.69483210120555"/>
    <s v="Timeline extended"/>
  </r>
  <r>
    <s v="P1937"/>
    <s v="Project-852"/>
    <x v="4"/>
    <x v="0"/>
    <x v="544"/>
    <x v="226"/>
    <x v="0"/>
    <n v="887762"/>
    <n v="1133033"/>
    <x v="0"/>
    <x v="3"/>
    <x v="0"/>
    <n v="-245271"/>
    <n v="-21.647295356798963"/>
    <s v="Work in progress"/>
  </r>
  <r>
    <s v="P1938"/>
    <s v="Project-672"/>
    <x v="0"/>
    <x v="3"/>
    <x v="493"/>
    <x v="304"/>
    <x v="0"/>
    <n v="278464"/>
    <n v="1168735"/>
    <x v="0"/>
    <x v="3"/>
    <x v="1"/>
    <n v="-890271"/>
    <n v="-76.173897419004305"/>
    <s v="Work in progress"/>
  </r>
  <r>
    <s v="P1939"/>
    <s v="Project-990"/>
    <x v="3"/>
    <x v="4"/>
    <x v="671"/>
    <x v="656"/>
    <x v="0"/>
    <n v="362093"/>
    <n v="984321"/>
    <x v="0"/>
    <x v="3"/>
    <x v="1"/>
    <n v="-622228"/>
    <n v="-63.213931227719414"/>
    <s v="Work in progress"/>
  </r>
  <r>
    <s v="P1940"/>
    <s v="Project-589"/>
    <x v="2"/>
    <x v="0"/>
    <x v="161"/>
    <x v="173"/>
    <x v="2"/>
    <n v="118382"/>
    <n v="123391"/>
    <x v="0"/>
    <x v="3"/>
    <x v="2"/>
    <n v="-5009"/>
    <n v="-4.059453282654327"/>
    <s v="Project delivered successfully"/>
  </r>
  <r>
    <s v="P1941"/>
    <s v="Project-518"/>
    <x v="3"/>
    <x v="0"/>
    <x v="291"/>
    <x v="256"/>
    <x v="2"/>
    <n v="673521"/>
    <n v="999884"/>
    <x v="4"/>
    <x v="1"/>
    <x v="1"/>
    <n v="-326363"/>
    <n v="-32.640086250004998"/>
    <s v="Project delivered successfully"/>
  </r>
  <r>
    <s v="P1942"/>
    <s v="Project-789"/>
    <x v="6"/>
    <x v="5"/>
    <x v="47"/>
    <x v="613"/>
    <x v="0"/>
    <n v="480802"/>
    <n v="342544"/>
    <x v="0"/>
    <x v="0"/>
    <x v="0"/>
    <n v="138258"/>
    <n v="40.36211406417862"/>
    <s v="Work in progress"/>
  </r>
  <r>
    <s v="P1943"/>
    <s v="Project-949"/>
    <x v="2"/>
    <x v="7"/>
    <x v="672"/>
    <x v="225"/>
    <x v="2"/>
    <n v="102243"/>
    <n v="328402"/>
    <x v="0"/>
    <x v="1"/>
    <x v="1"/>
    <n v="-226159"/>
    <n v="-68.866511166192652"/>
    <s v="Project delivered successfully"/>
  </r>
  <r>
    <s v="P1944"/>
    <s v="Project-161"/>
    <x v="0"/>
    <x v="7"/>
    <x v="213"/>
    <x v="568"/>
    <x v="2"/>
    <n v="412710"/>
    <n v="766366"/>
    <x v="3"/>
    <x v="1"/>
    <x v="2"/>
    <n v="-353656"/>
    <n v="-46.147141183194449"/>
    <s v="Project delivered successfully"/>
  </r>
  <r>
    <s v="P1945"/>
    <s v="Project-244"/>
    <x v="6"/>
    <x v="4"/>
    <x v="316"/>
    <x v="98"/>
    <x v="0"/>
    <n v="370762"/>
    <n v="927898"/>
    <x v="4"/>
    <x v="0"/>
    <x v="1"/>
    <n v="-557136"/>
    <n v="-60.042806429154929"/>
    <s v="Work in progress"/>
  </r>
  <r>
    <s v="P1946"/>
    <s v="Project-315"/>
    <x v="3"/>
    <x v="1"/>
    <x v="673"/>
    <x v="235"/>
    <x v="1"/>
    <n v="188621"/>
    <n v="703641"/>
    <x v="0"/>
    <x v="1"/>
    <x v="0"/>
    <n v="-515020"/>
    <n v="-73.193574564301969"/>
    <s v="Timeline extended"/>
  </r>
  <r>
    <s v="P1947"/>
    <s v="Project-102"/>
    <x v="5"/>
    <x v="1"/>
    <x v="387"/>
    <x v="218"/>
    <x v="2"/>
    <n v="954600"/>
    <n v="695522"/>
    <x v="1"/>
    <x v="3"/>
    <x v="1"/>
    <n v="259078"/>
    <n v="37.249432800112722"/>
    <s v="Project delivered successfully"/>
  </r>
  <r>
    <s v="P1948"/>
    <s v="Project-259"/>
    <x v="3"/>
    <x v="6"/>
    <x v="480"/>
    <x v="450"/>
    <x v="1"/>
    <n v="102494"/>
    <n v="1048528"/>
    <x v="4"/>
    <x v="3"/>
    <x v="0"/>
    <n v="-946034"/>
    <n v="-90.224962995742601"/>
    <s v="Timeline extended"/>
  </r>
  <r>
    <s v="P1949"/>
    <s v="Project-838"/>
    <x v="7"/>
    <x v="0"/>
    <x v="674"/>
    <x v="383"/>
    <x v="0"/>
    <n v="793333"/>
    <n v="401021"/>
    <x v="3"/>
    <x v="0"/>
    <x v="1"/>
    <n v="392312"/>
    <n v="97.828293281399226"/>
    <s v="Work in progress"/>
  </r>
  <r>
    <s v="P1950"/>
    <s v="Project-880"/>
    <x v="4"/>
    <x v="6"/>
    <x v="645"/>
    <x v="14"/>
    <x v="0"/>
    <n v="336102"/>
    <n v="773192"/>
    <x v="2"/>
    <x v="0"/>
    <x v="2"/>
    <n v="-437090"/>
    <n v="-56.530590073358233"/>
    <s v="Work in progress"/>
  </r>
  <r>
    <s v="P1951"/>
    <s v="Project-219"/>
    <x v="1"/>
    <x v="2"/>
    <x v="607"/>
    <x v="108"/>
    <x v="0"/>
    <n v="270851"/>
    <n v="1090251"/>
    <x v="3"/>
    <x v="0"/>
    <x v="2"/>
    <n v="-819400"/>
    <n v="-75.157005130011342"/>
    <s v="Work in progress"/>
  </r>
  <r>
    <s v="P1952"/>
    <s v="Project-992"/>
    <x v="5"/>
    <x v="2"/>
    <x v="464"/>
    <x v="427"/>
    <x v="0"/>
    <n v="550929"/>
    <n v="119606"/>
    <x v="3"/>
    <x v="3"/>
    <x v="1"/>
    <n v="431323"/>
    <n v="360.61986856846647"/>
    <s v="Work in progress"/>
  </r>
  <r>
    <s v="P1953"/>
    <s v="Project-188"/>
    <x v="7"/>
    <x v="6"/>
    <x v="675"/>
    <x v="94"/>
    <x v="3"/>
    <n v="157960"/>
    <n v="312224"/>
    <x v="4"/>
    <x v="0"/>
    <x v="0"/>
    <n v="-154264"/>
    <n v="-49.408117249154451"/>
    <s v="Project cancelled"/>
  </r>
  <r>
    <s v="P1954"/>
    <s v="Project-428"/>
    <x v="2"/>
    <x v="1"/>
    <x v="127"/>
    <x v="111"/>
    <x v="0"/>
    <n v="152478"/>
    <n v="273747"/>
    <x v="4"/>
    <x v="1"/>
    <x v="2"/>
    <n v="-121269"/>
    <n v="-44.299663557956798"/>
    <s v="Work in progress"/>
  </r>
  <r>
    <s v="P1955"/>
    <s v="Project-679"/>
    <x v="4"/>
    <x v="2"/>
    <x v="214"/>
    <x v="447"/>
    <x v="2"/>
    <n v="572419"/>
    <n v="278585"/>
    <x v="1"/>
    <x v="1"/>
    <x v="0"/>
    <n v="293834"/>
    <n v="105.47373333094028"/>
    <s v="Project delivered successfully"/>
  </r>
  <r>
    <s v="P1956"/>
    <s v="Project-456"/>
    <x v="0"/>
    <x v="5"/>
    <x v="303"/>
    <x v="153"/>
    <x v="0"/>
    <n v="480754"/>
    <n v="1088595"/>
    <x v="1"/>
    <x v="2"/>
    <x v="1"/>
    <n v="-607841"/>
    <n v="-55.837203000197498"/>
    <s v="Work in progress"/>
  </r>
  <r>
    <s v="P1957"/>
    <s v="Project-709"/>
    <x v="5"/>
    <x v="1"/>
    <x v="584"/>
    <x v="72"/>
    <x v="0"/>
    <n v="55833"/>
    <n v="490498"/>
    <x v="4"/>
    <x v="2"/>
    <x v="2"/>
    <n v="-434665"/>
    <n v="-88.617078968721586"/>
    <s v="Work in progress"/>
  </r>
  <r>
    <s v="P1958"/>
    <s v="Project-366"/>
    <x v="1"/>
    <x v="7"/>
    <x v="545"/>
    <x v="504"/>
    <x v="0"/>
    <n v="466602"/>
    <n v="380448"/>
    <x v="4"/>
    <x v="0"/>
    <x v="2"/>
    <n v="86154"/>
    <n v="22.645407519555892"/>
    <s v="Work in progress"/>
  </r>
  <r>
    <s v="P1959"/>
    <s v="Project-716"/>
    <x v="4"/>
    <x v="0"/>
    <x v="24"/>
    <x v="460"/>
    <x v="2"/>
    <n v="298053"/>
    <n v="759221"/>
    <x v="4"/>
    <x v="2"/>
    <x v="0"/>
    <n v="-461168"/>
    <n v="-60.742260817337765"/>
    <s v="Project delivered successfully"/>
  </r>
  <r>
    <s v="P1960"/>
    <s v="Project-422"/>
    <x v="2"/>
    <x v="3"/>
    <x v="520"/>
    <x v="359"/>
    <x v="2"/>
    <n v="149341"/>
    <n v="1083062"/>
    <x v="2"/>
    <x v="3"/>
    <x v="2"/>
    <n v="-933721"/>
    <n v="-86.211223364867379"/>
    <s v="Project delivered successfully"/>
  </r>
  <r>
    <s v="P1961"/>
    <s v="Project-734"/>
    <x v="6"/>
    <x v="0"/>
    <x v="272"/>
    <x v="476"/>
    <x v="0"/>
    <n v="777138"/>
    <n v="374165"/>
    <x v="3"/>
    <x v="3"/>
    <x v="0"/>
    <n v="402973"/>
    <n v="107.6992770569134"/>
    <s v="Work in progress"/>
  </r>
  <r>
    <s v="P1962"/>
    <s v="Project-640"/>
    <x v="6"/>
    <x v="6"/>
    <x v="16"/>
    <x v="615"/>
    <x v="1"/>
    <n v="668528"/>
    <n v="765224"/>
    <x v="1"/>
    <x v="1"/>
    <x v="0"/>
    <n v="-96696"/>
    <n v="-12.636299959227626"/>
    <s v="Timeline extended"/>
  </r>
  <r>
    <s v="P1963"/>
    <s v="Project-748"/>
    <x v="1"/>
    <x v="1"/>
    <x v="238"/>
    <x v="420"/>
    <x v="0"/>
    <n v="944387"/>
    <n v="704472"/>
    <x v="1"/>
    <x v="1"/>
    <x v="1"/>
    <n v="239915"/>
    <n v="34.056002225780439"/>
    <s v="Work in progress"/>
  </r>
  <r>
    <s v="P1964"/>
    <s v="Project-294"/>
    <x v="0"/>
    <x v="6"/>
    <x v="617"/>
    <x v="64"/>
    <x v="0"/>
    <n v="468048"/>
    <n v="605985"/>
    <x v="0"/>
    <x v="2"/>
    <x v="0"/>
    <n v="-137937"/>
    <n v="-22.76244461496572"/>
    <s v="Work in progress"/>
  </r>
  <r>
    <s v="P1965"/>
    <s v="Project-837"/>
    <x v="0"/>
    <x v="5"/>
    <x v="559"/>
    <x v="638"/>
    <x v="0"/>
    <n v="258929"/>
    <n v="1134574"/>
    <x v="2"/>
    <x v="2"/>
    <x v="2"/>
    <n v="-875645"/>
    <n v="-77.178306571453248"/>
    <s v="Work in progress"/>
  </r>
  <r>
    <s v="P1966"/>
    <s v="Project-431"/>
    <x v="2"/>
    <x v="1"/>
    <x v="220"/>
    <x v="286"/>
    <x v="0"/>
    <n v="220002"/>
    <n v="139537"/>
    <x v="4"/>
    <x v="3"/>
    <x v="0"/>
    <n v="80465"/>
    <n v="57.66570873675083"/>
    <s v="Work in progress"/>
  </r>
  <r>
    <s v="P1967"/>
    <s v="Project-269"/>
    <x v="5"/>
    <x v="0"/>
    <x v="476"/>
    <x v="452"/>
    <x v="1"/>
    <n v="213479"/>
    <n v="914248"/>
    <x v="4"/>
    <x v="1"/>
    <x v="2"/>
    <n v="-700769"/>
    <n v="-76.649771178061101"/>
    <s v="Timeline extended"/>
  </r>
  <r>
    <s v="P1968"/>
    <s v="Project-620"/>
    <x v="2"/>
    <x v="5"/>
    <x v="663"/>
    <x v="566"/>
    <x v="0"/>
    <n v="840505"/>
    <n v="1105152"/>
    <x v="2"/>
    <x v="2"/>
    <x v="0"/>
    <n v="-264647"/>
    <n v="-23.946660730831596"/>
    <s v="Work in progress"/>
  </r>
  <r>
    <s v="P1969"/>
    <s v="Project-562"/>
    <x v="3"/>
    <x v="5"/>
    <x v="396"/>
    <x v="518"/>
    <x v="0"/>
    <n v="854099"/>
    <n v="1159814"/>
    <x v="1"/>
    <x v="3"/>
    <x v="1"/>
    <n v="-305715"/>
    <n v="-26.358967903474177"/>
    <s v="Work in progress"/>
  </r>
  <r>
    <s v="P1970"/>
    <s v="Project-139"/>
    <x v="0"/>
    <x v="5"/>
    <x v="178"/>
    <x v="666"/>
    <x v="0"/>
    <n v="459251"/>
    <n v="1169429"/>
    <x v="4"/>
    <x v="1"/>
    <x v="1"/>
    <n v="-710178"/>
    <n v="-60.728611997821162"/>
    <s v="Work in progress"/>
  </r>
  <r>
    <s v="P1971"/>
    <s v="Project-636"/>
    <x v="4"/>
    <x v="4"/>
    <x v="151"/>
    <x v="416"/>
    <x v="2"/>
    <n v="56732"/>
    <n v="1032383"/>
    <x v="0"/>
    <x v="3"/>
    <x v="0"/>
    <n v="-975651"/>
    <n v="-94.504752596662286"/>
    <s v="Project delivered successfully"/>
  </r>
  <r>
    <s v="P1972"/>
    <s v="Project-360"/>
    <x v="3"/>
    <x v="1"/>
    <x v="206"/>
    <x v="672"/>
    <x v="0"/>
    <n v="367241"/>
    <n v="941575"/>
    <x v="1"/>
    <x v="3"/>
    <x v="0"/>
    <n v="-574334"/>
    <n v="-60.997159015479383"/>
    <s v="Work in progress"/>
  </r>
  <r>
    <s v="P1973"/>
    <s v="Project-494"/>
    <x v="6"/>
    <x v="2"/>
    <x v="67"/>
    <x v="334"/>
    <x v="2"/>
    <n v="53487"/>
    <n v="705609"/>
    <x v="3"/>
    <x v="1"/>
    <x v="0"/>
    <n v="-652122"/>
    <n v="-92.419739544138466"/>
    <s v="Project delivered successfully"/>
  </r>
  <r>
    <s v="P1974"/>
    <s v="Project-325"/>
    <x v="6"/>
    <x v="2"/>
    <x v="180"/>
    <x v="259"/>
    <x v="0"/>
    <n v="281560"/>
    <n v="496981"/>
    <x v="2"/>
    <x v="3"/>
    <x v="1"/>
    <n v="-215421"/>
    <n v="-43.345922681148771"/>
    <s v="Work in progress"/>
  </r>
  <r>
    <s v="P1975"/>
    <s v="Project-223"/>
    <x v="7"/>
    <x v="1"/>
    <x v="539"/>
    <x v="676"/>
    <x v="0"/>
    <n v="894134"/>
    <n v="121810"/>
    <x v="1"/>
    <x v="2"/>
    <x v="0"/>
    <n v="772324"/>
    <n v="634.03989820211802"/>
    <s v="Work in progress"/>
  </r>
  <r>
    <s v="P1976"/>
    <s v="Project-137"/>
    <x v="1"/>
    <x v="1"/>
    <x v="418"/>
    <x v="460"/>
    <x v="1"/>
    <n v="832031"/>
    <n v="919302"/>
    <x v="3"/>
    <x v="3"/>
    <x v="0"/>
    <n v="-87271"/>
    <n v="-9.4931806957887606"/>
    <s v="Timeline extended"/>
  </r>
  <r>
    <s v="P1977"/>
    <s v="Project-427"/>
    <x v="3"/>
    <x v="4"/>
    <x v="415"/>
    <x v="122"/>
    <x v="0"/>
    <n v="407105"/>
    <n v="1150707"/>
    <x v="0"/>
    <x v="2"/>
    <x v="2"/>
    <n v="-743602"/>
    <n v="-64.62131541739123"/>
    <s v="Work in progress"/>
  </r>
  <r>
    <s v="P1978"/>
    <s v="Project-350"/>
    <x v="1"/>
    <x v="2"/>
    <x v="276"/>
    <x v="451"/>
    <x v="1"/>
    <n v="555410"/>
    <n v="475581"/>
    <x v="2"/>
    <x v="0"/>
    <x v="1"/>
    <n v="79829"/>
    <n v="16.785573855978267"/>
    <s v="Timeline extended"/>
  </r>
  <r>
    <s v="P1979"/>
    <s v="Project-275"/>
    <x v="2"/>
    <x v="1"/>
    <x v="54"/>
    <x v="677"/>
    <x v="0"/>
    <n v="659395"/>
    <n v="859358"/>
    <x v="4"/>
    <x v="0"/>
    <x v="1"/>
    <n v="-199963"/>
    <n v="-23.268882118977192"/>
    <s v="Work in progress"/>
  </r>
  <r>
    <s v="P1980"/>
    <s v="Project-701"/>
    <x v="3"/>
    <x v="1"/>
    <x v="45"/>
    <x v="463"/>
    <x v="1"/>
    <n v="996579"/>
    <n v="120214"/>
    <x v="4"/>
    <x v="0"/>
    <x v="0"/>
    <n v="876365"/>
    <n v="729.00410933834655"/>
    <s v="Timeline extended"/>
  </r>
  <r>
    <s v="P1981"/>
    <s v="Project-553"/>
    <x v="2"/>
    <x v="6"/>
    <x v="566"/>
    <x v="629"/>
    <x v="0"/>
    <n v="157721"/>
    <n v="379894"/>
    <x v="3"/>
    <x v="3"/>
    <x v="0"/>
    <n v="-222173"/>
    <n v="-58.482892596355832"/>
    <s v="Work in progress"/>
  </r>
  <r>
    <s v="P1982"/>
    <s v="Project-136"/>
    <x v="7"/>
    <x v="4"/>
    <x v="332"/>
    <x v="676"/>
    <x v="2"/>
    <n v="383175"/>
    <n v="1117175"/>
    <x v="1"/>
    <x v="0"/>
    <x v="2"/>
    <n v="-734000"/>
    <n v="-65.701434421643881"/>
    <s v="Project delivered successfully"/>
  </r>
  <r>
    <s v="P1983"/>
    <s v="Project-415"/>
    <x v="0"/>
    <x v="4"/>
    <x v="89"/>
    <x v="422"/>
    <x v="0"/>
    <n v="396361"/>
    <n v="259417"/>
    <x v="0"/>
    <x v="0"/>
    <x v="0"/>
    <n v="136944"/>
    <n v="52.789138722597208"/>
    <s v="Work in progress"/>
  </r>
  <r>
    <s v="P1984"/>
    <s v="Project-787"/>
    <x v="6"/>
    <x v="0"/>
    <x v="507"/>
    <x v="77"/>
    <x v="0"/>
    <n v="326925"/>
    <n v="663778"/>
    <x v="3"/>
    <x v="3"/>
    <x v="1"/>
    <n v="-336853"/>
    <n v="-50.747840392420365"/>
    <s v="Work in progress"/>
  </r>
  <r>
    <s v="P1985"/>
    <s v="Project-895"/>
    <x v="7"/>
    <x v="4"/>
    <x v="51"/>
    <x v="148"/>
    <x v="0"/>
    <n v="876297"/>
    <n v="576881"/>
    <x v="0"/>
    <x v="1"/>
    <x v="2"/>
    <n v="299416"/>
    <n v="51.902558759952221"/>
    <s v="Work in progress"/>
  </r>
  <r>
    <s v="P1986"/>
    <s v="Project-692"/>
    <x v="6"/>
    <x v="3"/>
    <x v="94"/>
    <x v="81"/>
    <x v="0"/>
    <n v="582757"/>
    <n v="664153"/>
    <x v="0"/>
    <x v="3"/>
    <x v="1"/>
    <n v="-81396"/>
    <n v="-12.255609776662906"/>
    <s v="Work in progress"/>
  </r>
  <r>
    <s v="P1987"/>
    <s v="Project-213"/>
    <x v="0"/>
    <x v="2"/>
    <x v="371"/>
    <x v="173"/>
    <x v="0"/>
    <n v="357311"/>
    <n v="1007397"/>
    <x v="0"/>
    <x v="2"/>
    <x v="0"/>
    <n v="-650086"/>
    <n v="-64.531262253113724"/>
    <s v="Work in progress"/>
  </r>
  <r>
    <s v="P1988"/>
    <s v="Project-139"/>
    <x v="2"/>
    <x v="0"/>
    <x v="441"/>
    <x v="634"/>
    <x v="0"/>
    <n v="830226"/>
    <n v="727996"/>
    <x v="2"/>
    <x v="3"/>
    <x v="2"/>
    <n v="102230"/>
    <n v="14.04265957505261"/>
    <s v="Work in progress"/>
  </r>
  <r>
    <s v="P1989"/>
    <s v="Project-400"/>
    <x v="0"/>
    <x v="3"/>
    <x v="194"/>
    <x v="209"/>
    <x v="2"/>
    <n v="262810"/>
    <n v="492441"/>
    <x v="3"/>
    <x v="1"/>
    <x v="1"/>
    <n v="-229631"/>
    <n v="-46.631170028490722"/>
    <s v="Project delivered successfully"/>
  </r>
  <r>
    <s v="P1990"/>
    <s v="Project-323"/>
    <x v="6"/>
    <x v="1"/>
    <x v="230"/>
    <x v="154"/>
    <x v="2"/>
    <n v="856360"/>
    <n v="987867"/>
    <x v="2"/>
    <x v="0"/>
    <x v="1"/>
    <n v="-131507"/>
    <n v="-13.312217130443674"/>
    <s v="Project delivered successfully"/>
  </r>
  <r>
    <s v="P1991"/>
    <s v="Project-417"/>
    <x v="6"/>
    <x v="6"/>
    <x v="659"/>
    <x v="45"/>
    <x v="2"/>
    <n v="257593"/>
    <n v="771277"/>
    <x v="1"/>
    <x v="3"/>
    <x v="1"/>
    <n v="-513684"/>
    <n v="-66.601752677702038"/>
    <s v="Project delivered successfully"/>
  </r>
  <r>
    <s v="P1992"/>
    <s v="Project-448"/>
    <x v="1"/>
    <x v="6"/>
    <x v="500"/>
    <x v="678"/>
    <x v="2"/>
    <n v="351743"/>
    <n v="259701"/>
    <x v="1"/>
    <x v="0"/>
    <x v="0"/>
    <n v="92042"/>
    <n v="35.441526986804057"/>
    <s v="Project delivered successfully"/>
  </r>
  <r>
    <s v="P1993"/>
    <s v="Project-214"/>
    <x v="4"/>
    <x v="1"/>
    <x v="506"/>
    <x v="264"/>
    <x v="0"/>
    <n v="459991"/>
    <n v="1036629"/>
    <x v="4"/>
    <x v="2"/>
    <x v="0"/>
    <n v="-576638"/>
    <n v="-55.626265520258457"/>
    <s v="Work in progress"/>
  </r>
  <r>
    <s v="P1994"/>
    <s v="Project-797"/>
    <x v="7"/>
    <x v="0"/>
    <x v="592"/>
    <x v="476"/>
    <x v="0"/>
    <n v="378648"/>
    <n v="162192"/>
    <x v="4"/>
    <x v="1"/>
    <x v="0"/>
    <n v="216456"/>
    <n v="133.45664397750815"/>
    <s v="Work in progress"/>
  </r>
  <r>
    <s v="P1995"/>
    <s v="Project-422"/>
    <x v="3"/>
    <x v="4"/>
    <x v="370"/>
    <x v="192"/>
    <x v="0"/>
    <n v="519134"/>
    <n v="963995"/>
    <x v="4"/>
    <x v="0"/>
    <x v="0"/>
    <n v="-444861"/>
    <n v="-46.147645994014489"/>
    <s v="Work in progress"/>
  </r>
  <r>
    <s v="P1996"/>
    <s v="Project-667"/>
    <x v="6"/>
    <x v="5"/>
    <x v="192"/>
    <x v="499"/>
    <x v="1"/>
    <n v="120687"/>
    <n v="1122214"/>
    <x v="1"/>
    <x v="0"/>
    <x v="1"/>
    <n v="-1001527"/>
    <n v="-89.24563407692294"/>
    <s v="Timeline extended"/>
  </r>
  <r>
    <s v="P1997"/>
    <s v="Project-139"/>
    <x v="7"/>
    <x v="6"/>
    <x v="520"/>
    <x v="270"/>
    <x v="0"/>
    <n v="470020"/>
    <n v="1036648"/>
    <x v="0"/>
    <x v="0"/>
    <x v="2"/>
    <n v="-566628"/>
    <n v="-54.659633742601152"/>
    <s v="Work in progress"/>
  </r>
  <r>
    <s v="P1998"/>
    <s v="Project-965"/>
    <x v="1"/>
    <x v="5"/>
    <x v="446"/>
    <x v="356"/>
    <x v="0"/>
    <n v="945554"/>
    <n v="1093789"/>
    <x v="0"/>
    <x v="0"/>
    <x v="0"/>
    <n v="-148235"/>
    <n v="-13.552431044744463"/>
    <s v="Work in progress"/>
  </r>
  <r>
    <s v="P1999"/>
    <s v="Project-139"/>
    <x v="0"/>
    <x v="1"/>
    <x v="237"/>
    <x v="177"/>
    <x v="2"/>
    <n v="737619"/>
    <n v="371910"/>
    <x v="3"/>
    <x v="3"/>
    <x v="2"/>
    <n v="365709"/>
    <n v="98.332661127692191"/>
    <s v="Project delivered successfully"/>
  </r>
  <r>
    <s v="P2000"/>
    <s v="Project-958"/>
    <x v="1"/>
    <x v="5"/>
    <x v="459"/>
    <x v="679"/>
    <x v="0"/>
    <n v="831085"/>
    <n v="695400"/>
    <x v="1"/>
    <x v="1"/>
    <x v="1"/>
    <n v="135685"/>
    <n v="19.511791774518265"/>
    <s v="Work in progress"/>
  </r>
  <r>
    <s v="P2001"/>
    <s v="Project-848"/>
    <x v="5"/>
    <x v="7"/>
    <x v="676"/>
    <x v="355"/>
    <x v="1"/>
    <n v="660572"/>
    <n v="751662"/>
    <x v="4"/>
    <x v="1"/>
    <x v="0"/>
    <n v="-91090"/>
    <n v="-12.11847878434722"/>
    <s v="Timeline extended"/>
  </r>
  <r>
    <s v="P2002"/>
    <s v="Project-388"/>
    <x v="5"/>
    <x v="0"/>
    <x v="529"/>
    <x v="369"/>
    <x v="1"/>
    <n v="135227"/>
    <n v="797360"/>
    <x v="1"/>
    <x v="0"/>
    <x v="1"/>
    <n v="-662133"/>
    <n v="-83.040659175278421"/>
    <s v="Timeline extended"/>
  </r>
  <r>
    <s v="P2003"/>
    <s v="Project-361"/>
    <x v="3"/>
    <x v="3"/>
    <x v="496"/>
    <x v="358"/>
    <x v="0"/>
    <n v="147556"/>
    <n v="802354"/>
    <x v="0"/>
    <x v="1"/>
    <x v="0"/>
    <n v="-654798"/>
    <n v="-81.609613711653466"/>
    <s v="Work in progress"/>
  </r>
  <r>
    <s v="P2004"/>
    <s v="Project-315"/>
    <x v="1"/>
    <x v="0"/>
    <x v="636"/>
    <x v="252"/>
    <x v="0"/>
    <n v="617848"/>
    <n v="244480"/>
    <x v="0"/>
    <x v="0"/>
    <x v="0"/>
    <n v="373368"/>
    <n v="152.71924083769633"/>
    <s v="Work in progress"/>
  </r>
  <r>
    <s v="P2005"/>
    <s v="Project-246"/>
    <x v="2"/>
    <x v="2"/>
    <x v="45"/>
    <x v="377"/>
    <x v="0"/>
    <n v="339400"/>
    <n v="762654"/>
    <x v="2"/>
    <x v="2"/>
    <x v="2"/>
    <n v="-423254"/>
    <n v="-55.49751263351402"/>
    <s v="Work in progress"/>
  </r>
  <r>
    <s v="P2006"/>
    <s v="Project-435"/>
    <x v="3"/>
    <x v="4"/>
    <x v="360"/>
    <x v="225"/>
    <x v="2"/>
    <n v="580413"/>
    <n v="441973"/>
    <x v="2"/>
    <x v="2"/>
    <x v="1"/>
    <n v="138440"/>
    <n v="31.323180375271793"/>
    <s v="Project delivered successfully"/>
  </r>
  <r>
    <s v="P2007"/>
    <s v="Project-267"/>
    <x v="2"/>
    <x v="4"/>
    <x v="677"/>
    <x v="549"/>
    <x v="0"/>
    <n v="578658"/>
    <n v="541213"/>
    <x v="3"/>
    <x v="2"/>
    <x v="1"/>
    <n v="37445"/>
    <n v="6.9187177691592776"/>
    <s v="Work in progress"/>
  </r>
  <r>
    <s v="P2008"/>
    <s v="Project-191"/>
    <x v="3"/>
    <x v="0"/>
    <x v="678"/>
    <x v="655"/>
    <x v="2"/>
    <n v="54838"/>
    <n v="544738"/>
    <x v="1"/>
    <x v="1"/>
    <x v="1"/>
    <n v="-489900"/>
    <n v="-89.933142171098766"/>
    <s v="Project delivered successfully"/>
  </r>
  <r>
    <s v="P2009"/>
    <s v="Project-452"/>
    <x v="5"/>
    <x v="1"/>
    <x v="536"/>
    <x v="632"/>
    <x v="2"/>
    <n v="164479"/>
    <n v="445335"/>
    <x v="2"/>
    <x v="0"/>
    <x v="2"/>
    <n v="-280856"/>
    <n v="-63.066231039554488"/>
    <s v="Project delivered successfully"/>
  </r>
  <r>
    <s v="P2010"/>
    <s v="Project-670"/>
    <x v="3"/>
    <x v="1"/>
    <x v="236"/>
    <x v="373"/>
    <x v="0"/>
    <n v="107429"/>
    <n v="368663"/>
    <x v="2"/>
    <x v="3"/>
    <x v="2"/>
    <n v="-261234"/>
    <n v="-70.85983676148679"/>
    <s v="Work in progress"/>
  </r>
  <r>
    <s v="P2011"/>
    <s v="Project-670"/>
    <x v="5"/>
    <x v="7"/>
    <x v="230"/>
    <x v="177"/>
    <x v="0"/>
    <n v="970638"/>
    <n v="715359"/>
    <x v="1"/>
    <x v="3"/>
    <x v="1"/>
    <n v="255279"/>
    <n v="35.685439059269541"/>
    <s v="Work in progress"/>
  </r>
  <r>
    <s v="P2012"/>
    <s v="Project-915"/>
    <x v="6"/>
    <x v="7"/>
    <x v="633"/>
    <x v="446"/>
    <x v="2"/>
    <n v="816355"/>
    <n v="987262"/>
    <x v="0"/>
    <x v="2"/>
    <x v="1"/>
    <n v="-170907"/>
    <n v="-17.311210195469894"/>
    <s v="Project delivered successfully"/>
  </r>
  <r>
    <s v="P2013"/>
    <s v="Project-780"/>
    <x v="0"/>
    <x v="4"/>
    <x v="29"/>
    <x v="164"/>
    <x v="0"/>
    <n v="617487"/>
    <n v="910756"/>
    <x v="3"/>
    <x v="2"/>
    <x v="0"/>
    <n v="-293269"/>
    <n v="-32.2006113602326"/>
    <s v="Work in progress"/>
  </r>
  <r>
    <s v="P2014"/>
    <s v="Project-880"/>
    <x v="2"/>
    <x v="7"/>
    <x v="461"/>
    <x v="521"/>
    <x v="1"/>
    <n v="651380"/>
    <n v="492735"/>
    <x v="3"/>
    <x v="1"/>
    <x v="0"/>
    <n v="158645"/>
    <n v="32.196819791571535"/>
    <s v="Timeline extended"/>
  </r>
  <r>
    <s v="P2015"/>
    <s v="Project-462"/>
    <x v="1"/>
    <x v="6"/>
    <x v="438"/>
    <x v="355"/>
    <x v="0"/>
    <n v="437069"/>
    <n v="293648"/>
    <x v="3"/>
    <x v="3"/>
    <x v="2"/>
    <n v="143421"/>
    <n v="48.841129515610525"/>
    <s v="Work in progress"/>
  </r>
  <r>
    <s v="P2016"/>
    <s v="Project-656"/>
    <x v="6"/>
    <x v="6"/>
    <x v="189"/>
    <x v="529"/>
    <x v="2"/>
    <n v="739182"/>
    <n v="1068985"/>
    <x v="2"/>
    <x v="1"/>
    <x v="0"/>
    <n v="-329803"/>
    <n v="-30.851976407526767"/>
    <s v="Project delivered successfully"/>
  </r>
  <r>
    <s v="P2017"/>
    <s v="Project-444"/>
    <x v="6"/>
    <x v="3"/>
    <x v="456"/>
    <x v="673"/>
    <x v="1"/>
    <n v="798873"/>
    <n v="360130"/>
    <x v="0"/>
    <x v="2"/>
    <x v="1"/>
    <n v="438743"/>
    <n v="121.82906172770944"/>
    <s v="Timeline extended"/>
  </r>
  <r>
    <s v="P2018"/>
    <s v="Project-792"/>
    <x v="3"/>
    <x v="7"/>
    <x v="671"/>
    <x v="419"/>
    <x v="1"/>
    <n v="856545"/>
    <n v="499988"/>
    <x v="3"/>
    <x v="0"/>
    <x v="1"/>
    <n v="356557"/>
    <n v="71.313111514676351"/>
    <s v="Timeline extended"/>
  </r>
  <r>
    <s v="P2019"/>
    <s v="Project-269"/>
    <x v="5"/>
    <x v="3"/>
    <x v="569"/>
    <x v="514"/>
    <x v="0"/>
    <n v="768954"/>
    <n v="933153"/>
    <x v="1"/>
    <x v="0"/>
    <x v="0"/>
    <n v="-164199"/>
    <n v="-17.596149827520247"/>
    <s v="Work in progress"/>
  </r>
  <r>
    <s v="P2020"/>
    <s v="Project-455"/>
    <x v="7"/>
    <x v="7"/>
    <x v="539"/>
    <x v="481"/>
    <x v="0"/>
    <n v="670390"/>
    <n v="105427"/>
    <x v="3"/>
    <x v="0"/>
    <x v="0"/>
    <n v="564963"/>
    <n v="535.88075161011886"/>
    <s v="Work in progress"/>
  </r>
  <r>
    <s v="P2021"/>
    <s v="Project-290"/>
    <x v="2"/>
    <x v="4"/>
    <x v="614"/>
    <x v="630"/>
    <x v="2"/>
    <n v="314813"/>
    <n v="43898"/>
    <x v="4"/>
    <x v="2"/>
    <x v="2"/>
    <n v="270915"/>
    <n v="617.14656704177867"/>
    <s v="Project delivered successfully"/>
  </r>
  <r>
    <s v="P2022"/>
    <s v="Project-766"/>
    <x v="6"/>
    <x v="4"/>
    <x v="570"/>
    <x v="489"/>
    <x v="0"/>
    <n v="230499"/>
    <n v="957976"/>
    <x v="0"/>
    <x v="1"/>
    <x v="0"/>
    <n v="-727477"/>
    <n v="-75.938958804813481"/>
    <s v="Work in progress"/>
  </r>
  <r>
    <s v="P2023"/>
    <s v="Project-521"/>
    <x v="3"/>
    <x v="3"/>
    <x v="312"/>
    <x v="292"/>
    <x v="0"/>
    <n v="524833"/>
    <n v="1159376"/>
    <x v="4"/>
    <x v="0"/>
    <x v="2"/>
    <n v="-634543"/>
    <n v="-54.731424490415534"/>
    <s v="Work in progress"/>
  </r>
  <r>
    <s v="P2024"/>
    <s v="Project-799"/>
    <x v="4"/>
    <x v="0"/>
    <x v="329"/>
    <x v="648"/>
    <x v="1"/>
    <n v="718298"/>
    <n v="401167"/>
    <x v="0"/>
    <x v="3"/>
    <x v="0"/>
    <n v="317131"/>
    <n v="79.052115453165399"/>
    <s v="Timeline extended"/>
  </r>
  <r>
    <s v="P2025"/>
    <s v="Project-106"/>
    <x v="0"/>
    <x v="4"/>
    <x v="154"/>
    <x v="455"/>
    <x v="0"/>
    <n v="448933"/>
    <n v="980136"/>
    <x v="1"/>
    <x v="3"/>
    <x v="0"/>
    <n v="-531203"/>
    <n v="-54.196866557294086"/>
    <s v="Work in progress"/>
  </r>
  <r>
    <s v="P2026"/>
    <s v="Project-232"/>
    <x v="0"/>
    <x v="0"/>
    <x v="310"/>
    <x v="455"/>
    <x v="0"/>
    <n v="914250"/>
    <n v="588031"/>
    <x v="2"/>
    <x v="2"/>
    <x v="0"/>
    <n v="326219"/>
    <n v="55.476496987403721"/>
    <s v="Work in progress"/>
  </r>
  <r>
    <s v="P2027"/>
    <s v="Project-846"/>
    <x v="7"/>
    <x v="1"/>
    <x v="198"/>
    <x v="604"/>
    <x v="0"/>
    <n v="769935"/>
    <n v="797877"/>
    <x v="2"/>
    <x v="3"/>
    <x v="0"/>
    <n v="-27942"/>
    <n v="-3.5020435480656795"/>
    <s v="Work in progress"/>
  </r>
  <r>
    <s v="P2028"/>
    <s v="Project-656"/>
    <x v="5"/>
    <x v="6"/>
    <x v="679"/>
    <x v="301"/>
    <x v="2"/>
    <n v="654025"/>
    <n v="160864"/>
    <x v="0"/>
    <x v="3"/>
    <x v="1"/>
    <n v="493161"/>
    <n v="306.57014621046346"/>
    <s v="Project delivered successfully"/>
  </r>
  <r>
    <s v="P2029"/>
    <s v="Project-925"/>
    <x v="3"/>
    <x v="3"/>
    <x v="512"/>
    <x v="401"/>
    <x v="2"/>
    <n v="983793"/>
    <n v="260804"/>
    <x v="3"/>
    <x v="2"/>
    <x v="1"/>
    <n v="722989"/>
    <n v="277.21545681814695"/>
    <s v="Project delivered successfully"/>
  </r>
  <r>
    <s v="P2030"/>
    <s v="Project-860"/>
    <x v="2"/>
    <x v="5"/>
    <x v="336"/>
    <x v="363"/>
    <x v="0"/>
    <n v="74406"/>
    <n v="818512"/>
    <x v="4"/>
    <x v="1"/>
    <x v="1"/>
    <n v="-744106"/>
    <n v="-90.909601814023503"/>
    <s v="Work in progress"/>
  </r>
  <r>
    <s v="P2031"/>
    <s v="Project-130"/>
    <x v="5"/>
    <x v="4"/>
    <x v="210"/>
    <x v="135"/>
    <x v="0"/>
    <n v="565904"/>
    <n v="1156161"/>
    <x v="1"/>
    <x v="0"/>
    <x v="0"/>
    <n v="-590257"/>
    <n v="-51.053183769388525"/>
    <s v="Work in progress"/>
  </r>
  <r>
    <s v="P2032"/>
    <s v="Project-634"/>
    <x v="0"/>
    <x v="2"/>
    <x v="18"/>
    <x v="370"/>
    <x v="0"/>
    <n v="277894"/>
    <n v="1094204"/>
    <x v="3"/>
    <x v="2"/>
    <x v="2"/>
    <n v="-816310"/>
    <n v="-74.603090465763245"/>
    <s v="Work in progress"/>
  </r>
  <r>
    <s v="P2033"/>
    <s v="Project-525"/>
    <x v="5"/>
    <x v="1"/>
    <x v="423"/>
    <x v="258"/>
    <x v="2"/>
    <n v="62873"/>
    <n v="417994"/>
    <x v="2"/>
    <x v="3"/>
    <x v="0"/>
    <n v="-355121"/>
    <n v="-84.95839653200764"/>
    <s v="Project delivered successfully"/>
  </r>
  <r>
    <s v="P2034"/>
    <s v="Project-493"/>
    <x v="0"/>
    <x v="0"/>
    <x v="505"/>
    <x v="31"/>
    <x v="0"/>
    <n v="175812"/>
    <n v="169337"/>
    <x v="3"/>
    <x v="0"/>
    <x v="1"/>
    <n v="6475"/>
    <n v="3.8237361002025545"/>
    <s v="Work in progress"/>
  </r>
  <r>
    <s v="P2035"/>
    <s v="Project-771"/>
    <x v="5"/>
    <x v="4"/>
    <x v="468"/>
    <x v="680"/>
    <x v="1"/>
    <n v="918480"/>
    <n v="828892"/>
    <x v="4"/>
    <x v="0"/>
    <x v="2"/>
    <n v="89588"/>
    <n v="10.808163186518872"/>
    <s v="Timeline extended"/>
  </r>
  <r>
    <s v="P2036"/>
    <s v="Project-462"/>
    <x v="7"/>
    <x v="3"/>
    <x v="304"/>
    <x v="383"/>
    <x v="0"/>
    <n v="597749"/>
    <n v="289970"/>
    <x v="2"/>
    <x v="0"/>
    <x v="2"/>
    <n v="307779"/>
    <n v="106.14166982791325"/>
    <s v="Work in progress"/>
  </r>
  <r>
    <s v="P2037"/>
    <s v="Project-536"/>
    <x v="1"/>
    <x v="5"/>
    <x v="680"/>
    <x v="470"/>
    <x v="3"/>
    <n v="463926"/>
    <n v="818634"/>
    <x v="0"/>
    <x v="2"/>
    <x v="1"/>
    <n v="-354708"/>
    <n v="-43.329253365973074"/>
    <s v="Project cancelled"/>
  </r>
  <r>
    <s v="P2038"/>
    <s v="Project-769"/>
    <x v="7"/>
    <x v="7"/>
    <x v="85"/>
    <x v="17"/>
    <x v="0"/>
    <n v="63448"/>
    <n v="1192422"/>
    <x v="1"/>
    <x v="0"/>
    <x v="0"/>
    <n v="-1128974"/>
    <n v="-94.679064961901076"/>
    <s v="Work in progress"/>
  </r>
  <r>
    <s v="P2039"/>
    <s v="Project-650"/>
    <x v="7"/>
    <x v="5"/>
    <x v="384"/>
    <x v="52"/>
    <x v="2"/>
    <n v="589486"/>
    <n v="905842"/>
    <x v="1"/>
    <x v="1"/>
    <x v="2"/>
    <n v="-316356"/>
    <n v="-34.923971288591169"/>
    <s v="Project delivered successfully"/>
  </r>
  <r>
    <s v="P2040"/>
    <s v="Project-181"/>
    <x v="1"/>
    <x v="2"/>
    <x v="38"/>
    <x v="302"/>
    <x v="0"/>
    <n v="647446"/>
    <n v="274000"/>
    <x v="2"/>
    <x v="3"/>
    <x v="2"/>
    <n v="373446"/>
    <n v="136.29416058394162"/>
    <s v="Work in progress"/>
  </r>
  <r>
    <s v="P2041"/>
    <s v="Project-455"/>
    <x v="1"/>
    <x v="0"/>
    <x v="229"/>
    <x v="55"/>
    <x v="0"/>
    <n v="549600"/>
    <n v="303994"/>
    <x v="0"/>
    <x v="2"/>
    <x v="1"/>
    <n v="245606"/>
    <n v="80.793041967933576"/>
    <s v="Work in progress"/>
  </r>
  <r>
    <s v="P2042"/>
    <s v="Project-357"/>
    <x v="6"/>
    <x v="1"/>
    <x v="2"/>
    <x v="485"/>
    <x v="1"/>
    <n v="511154"/>
    <n v="688166"/>
    <x v="4"/>
    <x v="2"/>
    <x v="2"/>
    <n v="-177012"/>
    <n v="-25.722282123789896"/>
    <s v="Timeline extended"/>
  </r>
  <r>
    <s v="P2043"/>
    <s v="Project-817"/>
    <x v="6"/>
    <x v="5"/>
    <x v="681"/>
    <x v="58"/>
    <x v="1"/>
    <n v="275075"/>
    <n v="954667"/>
    <x v="1"/>
    <x v="0"/>
    <x v="2"/>
    <n v="-679592"/>
    <n v="-71.186287993614528"/>
    <s v="Timeline extended"/>
  </r>
  <r>
    <s v="P2044"/>
    <s v="Project-688"/>
    <x v="3"/>
    <x v="3"/>
    <x v="268"/>
    <x v="442"/>
    <x v="0"/>
    <n v="216033"/>
    <n v="386512"/>
    <x v="2"/>
    <x v="3"/>
    <x v="2"/>
    <n v="-170479"/>
    <n v="-44.107039367471124"/>
    <s v="Work in progress"/>
  </r>
  <r>
    <s v="P2045"/>
    <s v="Project-623"/>
    <x v="2"/>
    <x v="2"/>
    <x v="682"/>
    <x v="154"/>
    <x v="2"/>
    <n v="748367"/>
    <n v="816617"/>
    <x v="1"/>
    <x v="0"/>
    <x v="0"/>
    <n v="-68250"/>
    <n v="-8.3576511387835417"/>
    <s v="Project delivered successfully"/>
  </r>
  <r>
    <s v="P2046"/>
    <s v="Project-394"/>
    <x v="2"/>
    <x v="3"/>
    <x v="555"/>
    <x v="266"/>
    <x v="2"/>
    <n v="115470"/>
    <n v="1103294"/>
    <x v="0"/>
    <x v="0"/>
    <x v="0"/>
    <n v="-987824"/>
    <n v="-89.534067981879716"/>
    <s v="Project delivered successfully"/>
  </r>
  <r>
    <s v="P2047"/>
    <s v="Project-323"/>
    <x v="3"/>
    <x v="4"/>
    <x v="567"/>
    <x v="207"/>
    <x v="1"/>
    <n v="233328"/>
    <n v="701366"/>
    <x v="4"/>
    <x v="2"/>
    <x v="1"/>
    <n v="-468038"/>
    <n v="-66.732348018010569"/>
    <s v="Timeline extended"/>
  </r>
  <r>
    <s v="P2048"/>
    <s v="Project-624"/>
    <x v="7"/>
    <x v="7"/>
    <x v="506"/>
    <x v="513"/>
    <x v="0"/>
    <n v="595027"/>
    <n v="779440"/>
    <x v="0"/>
    <x v="1"/>
    <x v="0"/>
    <n v="-184413"/>
    <n v="-23.659678743713435"/>
    <s v="Work in progress"/>
  </r>
  <r>
    <s v="P2049"/>
    <s v="Project-145"/>
    <x v="7"/>
    <x v="1"/>
    <x v="351"/>
    <x v="378"/>
    <x v="0"/>
    <n v="920486"/>
    <n v="456185"/>
    <x v="3"/>
    <x v="3"/>
    <x v="2"/>
    <n v="464301"/>
    <n v="101.77910277628595"/>
    <s v="Work in progress"/>
  </r>
  <r>
    <s v="P2050"/>
    <s v="Project-766"/>
    <x v="0"/>
    <x v="3"/>
    <x v="121"/>
    <x v="301"/>
    <x v="0"/>
    <n v="370330"/>
    <n v="631108"/>
    <x v="0"/>
    <x v="3"/>
    <x v="0"/>
    <n v="-260778"/>
    <n v="-41.320661439880332"/>
    <s v="Work in progress"/>
  </r>
  <r>
    <s v="P2051"/>
    <s v="Project-212"/>
    <x v="0"/>
    <x v="0"/>
    <x v="297"/>
    <x v="3"/>
    <x v="0"/>
    <n v="76547"/>
    <n v="920446"/>
    <x v="0"/>
    <x v="3"/>
    <x v="2"/>
    <n v="-843899"/>
    <n v="-91.683705507982012"/>
    <s v="Work in progress"/>
  </r>
  <r>
    <s v="P2052"/>
    <s v="Project-332"/>
    <x v="2"/>
    <x v="4"/>
    <x v="535"/>
    <x v="237"/>
    <x v="1"/>
    <n v="144472"/>
    <n v="1077197"/>
    <x v="1"/>
    <x v="3"/>
    <x v="2"/>
    <n v="-932725"/>
    <n v="-86.588154255906773"/>
    <s v="Timeline extended"/>
  </r>
  <r>
    <s v="P2053"/>
    <s v="Project-116"/>
    <x v="3"/>
    <x v="4"/>
    <x v="431"/>
    <x v="0"/>
    <x v="0"/>
    <n v="922255"/>
    <n v="1065357"/>
    <x v="0"/>
    <x v="1"/>
    <x v="0"/>
    <n v="-143102"/>
    <n v="-13.432304851800852"/>
    <s v="Work in progress"/>
  </r>
  <r>
    <s v="P2054"/>
    <s v="Project-459"/>
    <x v="4"/>
    <x v="1"/>
    <x v="40"/>
    <x v="443"/>
    <x v="0"/>
    <n v="561517"/>
    <n v="450871"/>
    <x v="2"/>
    <x v="2"/>
    <x v="0"/>
    <n v="110646"/>
    <n v="24.540500497925127"/>
    <s v="Work in progress"/>
  </r>
  <r>
    <s v="P2055"/>
    <s v="Project-322"/>
    <x v="6"/>
    <x v="4"/>
    <x v="584"/>
    <x v="681"/>
    <x v="2"/>
    <n v="156887"/>
    <n v="111234"/>
    <x v="1"/>
    <x v="1"/>
    <x v="0"/>
    <n v="45653"/>
    <n v="41.042307208227705"/>
    <s v="Project delivered successfully"/>
  </r>
  <r>
    <s v="P2056"/>
    <s v="Project-965"/>
    <x v="4"/>
    <x v="0"/>
    <x v="39"/>
    <x v="525"/>
    <x v="2"/>
    <n v="756791"/>
    <n v="523622"/>
    <x v="1"/>
    <x v="0"/>
    <x v="0"/>
    <n v="233169"/>
    <n v="44.530023566618667"/>
    <s v="Project delivered successfully"/>
  </r>
  <r>
    <s v="P2057"/>
    <s v="Project-799"/>
    <x v="3"/>
    <x v="3"/>
    <x v="683"/>
    <x v="406"/>
    <x v="0"/>
    <n v="992980"/>
    <n v="301246"/>
    <x v="3"/>
    <x v="2"/>
    <x v="1"/>
    <n v="691734"/>
    <n v="229.62429376655624"/>
    <s v="Work in progress"/>
  </r>
  <r>
    <s v="P2058"/>
    <s v="Project-547"/>
    <x v="0"/>
    <x v="1"/>
    <x v="142"/>
    <x v="682"/>
    <x v="0"/>
    <n v="783771"/>
    <n v="883539"/>
    <x v="2"/>
    <x v="1"/>
    <x v="0"/>
    <n v="-99768"/>
    <n v="-11.291861479798856"/>
    <s v="Work in progress"/>
  </r>
  <r>
    <s v="P2059"/>
    <s v="Project-955"/>
    <x v="2"/>
    <x v="6"/>
    <x v="308"/>
    <x v="551"/>
    <x v="1"/>
    <n v="847118"/>
    <n v="264501"/>
    <x v="0"/>
    <x v="3"/>
    <x v="1"/>
    <n v="582617"/>
    <n v="220.27024472497268"/>
    <s v="Timeline extended"/>
  </r>
  <r>
    <s v="P2060"/>
    <s v="Project-464"/>
    <x v="2"/>
    <x v="4"/>
    <x v="360"/>
    <x v="176"/>
    <x v="0"/>
    <n v="198608"/>
    <n v="969057"/>
    <x v="3"/>
    <x v="3"/>
    <x v="2"/>
    <n v="-770449"/>
    <n v="-79.505023956279146"/>
    <s v="Work in progress"/>
  </r>
  <r>
    <s v="P2061"/>
    <s v="Project-774"/>
    <x v="0"/>
    <x v="4"/>
    <x v="325"/>
    <x v="126"/>
    <x v="2"/>
    <n v="346206"/>
    <n v="1162655"/>
    <x v="2"/>
    <x v="2"/>
    <x v="1"/>
    <n v="-816449"/>
    <n v="-70.222809001810518"/>
    <s v="Project delivered successfully"/>
  </r>
  <r>
    <s v="P2062"/>
    <s v="Project-425"/>
    <x v="4"/>
    <x v="0"/>
    <x v="25"/>
    <x v="592"/>
    <x v="2"/>
    <n v="884648"/>
    <n v="648725"/>
    <x v="3"/>
    <x v="1"/>
    <x v="2"/>
    <n v="235923"/>
    <n v="36.367181779644689"/>
    <s v="Project delivered successfully"/>
  </r>
  <r>
    <s v="P2063"/>
    <s v="Project-566"/>
    <x v="5"/>
    <x v="7"/>
    <x v="490"/>
    <x v="436"/>
    <x v="0"/>
    <n v="992545"/>
    <n v="227937"/>
    <x v="4"/>
    <x v="2"/>
    <x v="1"/>
    <n v="764608"/>
    <n v="335.44707528834721"/>
    <s v="Work in progress"/>
  </r>
  <r>
    <s v="P2064"/>
    <s v="Project-513"/>
    <x v="5"/>
    <x v="7"/>
    <x v="251"/>
    <x v="304"/>
    <x v="1"/>
    <n v="343797"/>
    <n v="410445"/>
    <x v="0"/>
    <x v="3"/>
    <x v="1"/>
    <n v="-66648"/>
    <n v="-16.237985600994044"/>
    <s v="Timeline extended"/>
  </r>
  <r>
    <s v="P2065"/>
    <s v="Project-554"/>
    <x v="0"/>
    <x v="5"/>
    <x v="404"/>
    <x v="496"/>
    <x v="2"/>
    <n v="595961"/>
    <n v="186454"/>
    <x v="3"/>
    <x v="1"/>
    <x v="2"/>
    <n v="409507"/>
    <n v="219.62897014813305"/>
    <s v="Project delivered successfully"/>
  </r>
  <r>
    <s v="P2066"/>
    <s v="Project-685"/>
    <x v="5"/>
    <x v="4"/>
    <x v="558"/>
    <x v="18"/>
    <x v="0"/>
    <n v="191439"/>
    <n v="68795"/>
    <x v="4"/>
    <x v="3"/>
    <x v="1"/>
    <n v="122644"/>
    <n v="178.27458390871428"/>
    <s v="Work in progress"/>
  </r>
  <r>
    <s v="P2067"/>
    <s v="Project-332"/>
    <x v="1"/>
    <x v="6"/>
    <x v="153"/>
    <x v="148"/>
    <x v="2"/>
    <n v="69629"/>
    <n v="1130001"/>
    <x v="0"/>
    <x v="2"/>
    <x v="2"/>
    <n v="-1060372"/>
    <n v="-93.838147045887567"/>
    <s v="Project delivered successfully"/>
  </r>
  <r>
    <s v="P2068"/>
    <s v="Project-323"/>
    <x v="3"/>
    <x v="3"/>
    <x v="13"/>
    <x v="514"/>
    <x v="2"/>
    <n v="695044"/>
    <n v="611690"/>
    <x v="3"/>
    <x v="2"/>
    <x v="0"/>
    <n v="83354"/>
    <n v="13.62683712337949"/>
    <s v="Project delivered successfully"/>
  </r>
  <r>
    <s v="P2069"/>
    <s v="Project-930"/>
    <x v="3"/>
    <x v="1"/>
    <x v="61"/>
    <x v="584"/>
    <x v="2"/>
    <n v="685929"/>
    <n v="485755"/>
    <x v="3"/>
    <x v="2"/>
    <x v="2"/>
    <n v="200174"/>
    <n v="41.208839847248093"/>
    <s v="Project delivered successfully"/>
  </r>
  <r>
    <s v="P2070"/>
    <s v="Project-511"/>
    <x v="0"/>
    <x v="4"/>
    <x v="444"/>
    <x v="483"/>
    <x v="1"/>
    <n v="515406"/>
    <n v="395271"/>
    <x v="3"/>
    <x v="2"/>
    <x v="1"/>
    <n v="120135"/>
    <n v="30.393072094841262"/>
    <s v="Timeline extended"/>
  </r>
  <r>
    <s v="P2071"/>
    <s v="Project-671"/>
    <x v="7"/>
    <x v="2"/>
    <x v="502"/>
    <x v="361"/>
    <x v="0"/>
    <n v="337207"/>
    <n v="970963"/>
    <x v="3"/>
    <x v="2"/>
    <x v="0"/>
    <n v="-633756"/>
    <n v="-65.270870259731822"/>
    <s v="Work in progress"/>
  </r>
  <r>
    <s v="P2072"/>
    <s v="Project-434"/>
    <x v="6"/>
    <x v="1"/>
    <x v="522"/>
    <x v="430"/>
    <x v="0"/>
    <n v="331466"/>
    <n v="649405"/>
    <x v="1"/>
    <x v="0"/>
    <x v="1"/>
    <n v="-317939"/>
    <n v="-48.958508172865933"/>
    <s v="Work in progress"/>
  </r>
  <r>
    <s v="P2073"/>
    <s v="Project-321"/>
    <x v="4"/>
    <x v="5"/>
    <x v="206"/>
    <x v="470"/>
    <x v="0"/>
    <n v="789906"/>
    <n v="494962"/>
    <x v="3"/>
    <x v="2"/>
    <x v="0"/>
    <n v="294944"/>
    <n v="59.589220990702316"/>
    <s v="Work in progress"/>
  </r>
  <r>
    <s v="P2074"/>
    <s v="Project-136"/>
    <x v="0"/>
    <x v="7"/>
    <x v="226"/>
    <x v="168"/>
    <x v="0"/>
    <n v="558853"/>
    <n v="370300"/>
    <x v="1"/>
    <x v="2"/>
    <x v="2"/>
    <n v="188553"/>
    <n v="50.918984607075345"/>
    <s v="Work in progress"/>
  </r>
  <r>
    <s v="P2075"/>
    <s v="Project-377"/>
    <x v="5"/>
    <x v="6"/>
    <x v="44"/>
    <x v="110"/>
    <x v="0"/>
    <n v="849125"/>
    <n v="459960"/>
    <x v="1"/>
    <x v="3"/>
    <x v="0"/>
    <n v="389165"/>
    <n v="84.608444212540221"/>
    <s v="Work in progress"/>
  </r>
  <r>
    <s v="P2076"/>
    <s v="Project-295"/>
    <x v="4"/>
    <x v="4"/>
    <x v="626"/>
    <x v="637"/>
    <x v="1"/>
    <n v="190313"/>
    <n v="60568"/>
    <x v="4"/>
    <x v="2"/>
    <x v="0"/>
    <n v="129745"/>
    <n v="214.21377625148591"/>
    <s v="Timeline extended"/>
  </r>
  <r>
    <s v="P2077"/>
    <s v="Project-963"/>
    <x v="7"/>
    <x v="0"/>
    <x v="202"/>
    <x v="419"/>
    <x v="2"/>
    <n v="472994"/>
    <n v="965495"/>
    <x v="0"/>
    <x v="1"/>
    <x v="0"/>
    <n v="-492501"/>
    <n v="-51.010207199415845"/>
    <s v="Project delivered successfully"/>
  </r>
  <r>
    <s v="P2078"/>
    <s v="Project-583"/>
    <x v="5"/>
    <x v="2"/>
    <x v="485"/>
    <x v="119"/>
    <x v="2"/>
    <n v="414523"/>
    <n v="717887"/>
    <x v="1"/>
    <x v="2"/>
    <x v="1"/>
    <n v="-303364"/>
    <n v="-42.257904099113091"/>
    <s v="Project delivered successfully"/>
  </r>
  <r>
    <s v="P2079"/>
    <s v="Project-341"/>
    <x v="2"/>
    <x v="4"/>
    <x v="486"/>
    <x v="25"/>
    <x v="2"/>
    <n v="849083"/>
    <n v="1043903"/>
    <x v="2"/>
    <x v="0"/>
    <x v="0"/>
    <n v="-194820"/>
    <n v="-18.662653522405819"/>
    <s v="Project delivered successfully"/>
  </r>
  <r>
    <s v="P2080"/>
    <s v="Project-423"/>
    <x v="6"/>
    <x v="6"/>
    <x v="180"/>
    <x v="172"/>
    <x v="1"/>
    <n v="731326"/>
    <n v="260066"/>
    <x v="1"/>
    <x v="2"/>
    <x v="2"/>
    <n v="471260"/>
    <n v="181.20784723877784"/>
    <s v="Timeline extended"/>
  </r>
  <r>
    <s v="P2081"/>
    <s v="Project-830"/>
    <x v="1"/>
    <x v="5"/>
    <x v="177"/>
    <x v="10"/>
    <x v="0"/>
    <n v="845707"/>
    <n v="524957"/>
    <x v="2"/>
    <x v="3"/>
    <x v="2"/>
    <n v="320750"/>
    <n v="61.100242496052061"/>
    <s v="Work in progress"/>
  </r>
  <r>
    <s v="P2082"/>
    <s v="Project-291"/>
    <x v="5"/>
    <x v="3"/>
    <x v="336"/>
    <x v="385"/>
    <x v="1"/>
    <n v="95606"/>
    <n v="32355"/>
    <x v="4"/>
    <x v="1"/>
    <x v="2"/>
    <n v="63251"/>
    <n v="195.49065059496215"/>
    <s v="Timeline extended"/>
  </r>
  <r>
    <s v="P2083"/>
    <s v="Project-116"/>
    <x v="1"/>
    <x v="2"/>
    <x v="537"/>
    <x v="64"/>
    <x v="0"/>
    <n v="51658"/>
    <n v="126429"/>
    <x v="2"/>
    <x v="1"/>
    <x v="0"/>
    <n v="-74771"/>
    <n v="-59.140703477841313"/>
    <s v="Work in progress"/>
  </r>
  <r>
    <s v="P2084"/>
    <s v="Project-623"/>
    <x v="4"/>
    <x v="5"/>
    <x v="618"/>
    <x v="185"/>
    <x v="1"/>
    <n v="275571"/>
    <n v="508187"/>
    <x v="4"/>
    <x v="2"/>
    <x v="2"/>
    <n v="-232616"/>
    <n v="-45.773701413062511"/>
    <s v="Timeline extended"/>
  </r>
  <r>
    <s v="P2085"/>
    <s v="Project-500"/>
    <x v="1"/>
    <x v="4"/>
    <x v="438"/>
    <x v="71"/>
    <x v="2"/>
    <n v="122468"/>
    <n v="468949"/>
    <x v="4"/>
    <x v="2"/>
    <x v="1"/>
    <n v="-346481"/>
    <n v="-73.884580199552616"/>
    <s v="Project delivered successfully"/>
  </r>
  <r>
    <s v="P2086"/>
    <s v="Project-985"/>
    <x v="4"/>
    <x v="3"/>
    <x v="115"/>
    <x v="1"/>
    <x v="0"/>
    <n v="457464"/>
    <n v="1000220"/>
    <x v="4"/>
    <x v="2"/>
    <x v="2"/>
    <n v="-542756"/>
    <n v="-54.263661994361243"/>
    <s v="Work in progress"/>
  </r>
  <r>
    <s v="P2087"/>
    <s v="Project-804"/>
    <x v="4"/>
    <x v="2"/>
    <x v="339"/>
    <x v="232"/>
    <x v="2"/>
    <n v="467653"/>
    <n v="141151"/>
    <x v="2"/>
    <x v="2"/>
    <x v="0"/>
    <n v="326502"/>
    <n v="231.31398289774779"/>
    <s v="Project delivered successfully"/>
  </r>
  <r>
    <s v="P2088"/>
    <s v="Project-121"/>
    <x v="4"/>
    <x v="3"/>
    <x v="418"/>
    <x v="454"/>
    <x v="0"/>
    <n v="745087"/>
    <n v="357521"/>
    <x v="2"/>
    <x v="3"/>
    <x v="2"/>
    <n v="387566"/>
    <n v="108.40370216015283"/>
    <s v="Work in progress"/>
  </r>
  <r>
    <s v="P2089"/>
    <s v="Project-573"/>
    <x v="4"/>
    <x v="3"/>
    <x v="436"/>
    <x v="426"/>
    <x v="0"/>
    <n v="199273"/>
    <n v="205477"/>
    <x v="4"/>
    <x v="3"/>
    <x v="0"/>
    <n v="-6204"/>
    <n v="-3.0193160305046307"/>
    <s v="Work in progress"/>
  </r>
  <r>
    <s v="P2090"/>
    <s v="Project-219"/>
    <x v="4"/>
    <x v="2"/>
    <x v="610"/>
    <x v="343"/>
    <x v="2"/>
    <n v="615438"/>
    <n v="534898"/>
    <x v="4"/>
    <x v="1"/>
    <x v="0"/>
    <n v="80540"/>
    <n v="15.05707630239784"/>
    <s v="Project delivered successfully"/>
  </r>
  <r>
    <s v="P2091"/>
    <s v="Project-309"/>
    <x v="5"/>
    <x v="2"/>
    <x v="251"/>
    <x v="314"/>
    <x v="0"/>
    <n v="820508"/>
    <n v="605817"/>
    <x v="0"/>
    <x v="2"/>
    <x v="2"/>
    <n v="214691"/>
    <n v="35.438259408369191"/>
    <s v="Work in progress"/>
  </r>
  <r>
    <s v="P2092"/>
    <s v="Project-405"/>
    <x v="4"/>
    <x v="3"/>
    <x v="314"/>
    <x v="446"/>
    <x v="0"/>
    <n v="851431"/>
    <n v="142833"/>
    <x v="4"/>
    <x v="3"/>
    <x v="1"/>
    <n v="708598"/>
    <n v="496.10244131258179"/>
    <s v="Work in progress"/>
  </r>
  <r>
    <s v="P2093"/>
    <s v="Project-369"/>
    <x v="5"/>
    <x v="5"/>
    <x v="674"/>
    <x v="572"/>
    <x v="1"/>
    <n v="301775"/>
    <n v="1182154"/>
    <x v="3"/>
    <x v="3"/>
    <x v="1"/>
    <n v="-880379"/>
    <n v="-74.472446060327172"/>
    <s v="Timeline extended"/>
  </r>
  <r>
    <s v="P2094"/>
    <s v="Project-803"/>
    <x v="4"/>
    <x v="6"/>
    <x v="492"/>
    <x v="683"/>
    <x v="2"/>
    <n v="318520"/>
    <n v="535527"/>
    <x v="0"/>
    <x v="1"/>
    <x v="2"/>
    <n v="-217007"/>
    <n v="-40.522139873433083"/>
    <s v="Project delivered successfully"/>
  </r>
  <r>
    <s v="P2095"/>
    <s v="Project-786"/>
    <x v="1"/>
    <x v="7"/>
    <x v="684"/>
    <x v="80"/>
    <x v="1"/>
    <n v="363817"/>
    <n v="593465"/>
    <x v="0"/>
    <x v="1"/>
    <x v="0"/>
    <n v="-229648"/>
    <n v="-38.696132038115138"/>
    <s v="Timeline extended"/>
  </r>
  <r>
    <s v="P2096"/>
    <s v="Project-384"/>
    <x v="2"/>
    <x v="2"/>
    <x v="465"/>
    <x v="489"/>
    <x v="2"/>
    <n v="839908"/>
    <n v="671191"/>
    <x v="0"/>
    <x v="0"/>
    <x v="2"/>
    <n v="168717"/>
    <n v="25.136958034300221"/>
    <s v="Project delivered successfully"/>
  </r>
  <r>
    <s v="P2097"/>
    <s v="Project-815"/>
    <x v="4"/>
    <x v="4"/>
    <x v="90"/>
    <x v="29"/>
    <x v="0"/>
    <n v="298465"/>
    <n v="511465"/>
    <x v="3"/>
    <x v="3"/>
    <x v="0"/>
    <n v="-213000"/>
    <n v="-41.645078353357512"/>
    <s v="Work in progress"/>
  </r>
  <r>
    <s v="P2098"/>
    <s v="Project-775"/>
    <x v="7"/>
    <x v="1"/>
    <x v="412"/>
    <x v="484"/>
    <x v="0"/>
    <n v="906334"/>
    <n v="98590"/>
    <x v="0"/>
    <x v="1"/>
    <x v="0"/>
    <n v="807744"/>
    <n v="819.29607465260176"/>
    <s v="Work in progress"/>
  </r>
  <r>
    <s v="P2099"/>
    <s v="Project-862"/>
    <x v="4"/>
    <x v="0"/>
    <x v="544"/>
    <x v="611"/>
    <x v="2"/>
    <n v="557726"/>
    <n v="907000"/>
    <x v="0"/>
    <x v="3"/>
    <x v="0"/>
    <n v="-349274"/>
    <n v="-38.508710033076078"/>
    <s v="Project delivered successfully"/>
  </r>
  <r>
    <s v="P2100"/>
    <s v="Project-326"/>
    <x v="4"/>
    <x v="3"/>
    <x v="502"/>
    <x v="653"/>
    <x v="3"/>
    <n v="927701"/>
    <n v="865399"/>
    <x v="2"/>
    <x v="3"/>
    <x v="1"/>
    <n v="62302"/>
    <n v="7.1992225551450835"/>
    <s v="Project cancelled"/>
  </r>
  <r>
    <s v="P2101"/>
    <s v="Project-480"/>
    <x v="1"/>
    <x v="3"/>
    <x v="213"/>
    <x v="259"/>
    <x v="0"/>
    <n v="783354"/>
    <n v="438286"/>
    <x v="2"/>
    <x v="2"/>
    <x v="1"/>
    <n v="345068"/>
    <n v="78.731239419009498"/>
    <s v="Work in progress"/>
  </r>
  <r>
    <s v="P2102"/>
    <s v="Project-559"/>
    <x v="6"/>
    <x v="0"/>
    <x v="487"/>
    <x v="407"/>
    <x v="1"/>
    <n v="672619"/>
    <n v="837932"/>
    <x v="4"/>
    <x v="2"/>
    <x v="2"/>
    <n v="-165313"/>
    <n v="-19.728689201510385"/>
    <s v="Timeline extended"/>
  </r>
  <r>
    <s v="P2103"/>
    <s v="Project-106"/>
    <x v="3"/>
    <x v="7"/>
    <x v="16"/>
    <x v="684"/>
    <x v="1"/>
    <n v="463831"/>
    <n v="529203"/>
    <x v="4"/>
    <x v="2"/>
    <x v="1"/>
    <n v="-65372"/>
    <n v="-12.35291561083365"/>
    <s v="Timeline extended"/>
  </r>
  <r>
    <s v="P2104"/>
    <s v="Project-128"/>
    <x v="1"/>
    <x v="0"/>
    <x v="38"/>
    <x v="685"/>
    <x v="2"/>
    <n v="585452"/>
    <n v="931907"/>
    <x v="1"/>
    <x v="2"/>
    <x v="0"/>
    <n v="-346455"/>
    <n v="-37.176992983205402"/>
    <s v="Project delivered successfully"/>
  </r>
  <r>
    <s v="P2105"/>
    <s v="Project-132"/>
    <x v="7"/>
    <x v="2"/>
    <x v="666"/>
    <x v="280"/>
    <x v="1"/>
    <n v="875748"/>
    <n v="564299"/>
    <x v="3"/>
    <x v="3"/>
    <x v="0"/>
    <n v="311449"/>
    <n v="55.192194209098368"/>
    <s v="Timeline extended"/>
  </r>
  <r>
    <s v="P2106"/>
    <s v="Project-745"/>
    <x v="3"/>
    <x v="0"/>
    <x v="685"/>
    <x v="200"/>
    <x v="0"/>
    <n v="773920"/>
    <n v="209111"/>
    <x v="2"/>
    <x v="0"/>
    <x v="2"/>
    <n v="564809"/>
    <n v="270.10009038261973"/>
    <s v="Work in progress"/>
  </r>
  <r>
    <s v="P2107"/>
    <s v="Project-978"/>
    <x v="0"/>
    <x v="3"/>
    <x v="113"/>
    <x v="644"/>
    <x v="3"/>
    <n v="210631"/>
    <n v="432112"/>
    <x v="4"/>
    <x v="0"/>
    <x v="0"/>
    <n v="-221481"/>
    <n v="-51.255461547006334"/>
    <s v="Project cancelled"/>
  </r>
  <r>
    <s v="P2108"/>
    <s v="Project-178"/>
    <x v="0"/>
    <x v="0"/>
    <x v="526"/>
    <x v="603"/>
    <x v="2"/>
    <n v="375112"/>
    <n v="387479"/>
    <x v="3"/>
    <x v="0"/>
    <x v="2"/>
    <n v="-12367"/>
    <n v="-3.1916568381770363"/>
    <s v="Project delivered successfully"/>
  </r>
  <r>
    <s v="P2109"/>
    <s v="Project-558"/>
    <x v="6"/>
    <x v="1"/>
    <x v="204"/>
    <x v="464"/>
    <x v="0"/>
    <n v="247872"/>
    <n v="1027622"/>
    <x v="0"/>
    <x v="3"/>
    <x v="2"/>
    <n v="-779750"/>
    <n v="-75.879068373390211"/>
    <s v="Work in progress"/>
  </r>
  <r>
    <s v="P2110"/>
    <s v="Project-669"/>
    <x v="7"/>
    <x v="4"/>
    <x v="336"/>
    <x v="602"/>
    <x v="1"/>
    <n v="714407"/>
    <n v="30814"/>
    <x v="3"/>
    <x v="0"/>
    <x v="0"/>
    <n v="683593"/>
    <n v="2218.449406114104"/>
    <s v="Timeline extended"/>
  </r>
  <r>
    <s v="P2111"/>
    <s v="Project-637"/>
    <x v="1"/>
    <x v="2"/>
    <x v="659"/>
    <x v="686"/>
    <x v="0"/>
    <n v="488201"/>
    <n v="498492"/>
    <x v="2"/>
    <x v="3"/>
    <x v="1"/>
    <n v="-10291"/>
    <n v="-2.0644263097502065"/>
    <s v="Work in progress"/>
  </r>
  <r>
    <s v="P2112"/>
    <s v="Project-581"/>
    <x v="5"/>
    <x v="0"/>
    <x v="106"/>
    <x v="202"/>
    <x v="0"/>
    <n v="253195"/>
    <n v="1048585"/>
    <x v="1"/>
    <x v="1"/>
    <x v="0"/>
    <n v="-795390"/>
    <n v="-75.853650395533023"/>
    <s v="Work in progress"/>
  </r>
  <r>
    <s v="P2113"/>
    <s v="Project-529"/>
    <x v="7"/>
    <x v="3"/>
    <x v="229"/>
    <x v="106"/>
    <x v="2"/>
    <n v="974081"/>
    <n v="33825"/>
    <x v="2"/>
    <x v="0"/>
    <x v="0"/>
    <n v="940256"/>
    <n v="2779.7664449371764"/>
    <s v="Project delivered successfully"/>
  </r>
  <r>
    <s v="P2114"/>
    <s v="Project-837"/>
    <x v="2"/>
    <x v="5"/>
    <x v="283"/>
    <x v="24"/>
    <x v="0"/>
    <n v="526387"/>
    <n v="604656"/>
    <x v="4"/>
    <x v="3"/>
    <x v="2"/>
    <n v="-78269"/>
    <n v="-12.944384906459211"/>
    <s v="Work in progress"/>
  </r>
  <r>
    <s v="P2115"/>
    <s v="Project-384"/>
    <x v="3"/>
    <x v="4"/>
    <x v="638"/>
    <x v="687"/>
    <x v="0"/>
    <n v="554316"/>
    <n v="438016"/>
    <x v="4"/>
    <x v="1"/>
    <x v="1"/>
    <n v="116300"/>
    <n v="26.551541496201054"/>
    <s v="Work in progress"/>
  </r>
  <r>
    <s v="P2116"/>
    <s v="Project-615"/>
    <x v="3"/>
    <x v="2"/>
    <x v="59"/>
    <x v="54"/>
    <x v="1"/>
    <n v="709230"/>
    <n v="1154111"/>
    <x v="3"/>
    <x v="2"/>
    <x v="2"/>
    <n v="-444881"/>
    <n v="-38.54750539592812"/>
    <s v="Timeline extended"/>
  </r>
  <r>
    <s v="P2117"/>
    <s v="Project-198"/>
    <x v="4"/>
    <x v="3"/>
    <x v="401"/>
    <x v="165"/>
    <x v="0"/>
    <n v="608382"/>
    <n v="116390"/>
    <x v="2"/>
    <x v="1"/>
    <x v="0"/>
    <n v="491992"/>
    <n v="422.70985479852226"/>
    <s v="Work in progress"/>
  </r>
  <r>
    <s v="P2118"/>
    <s v="Project-496"/>
    <x v="0"/>
    <x v="7"/>
    <x v="290"/>
    <x v="393"/>
    <x v="0"/>
    <n v="367473"/>
    <n v="253923"/>
    <x v="4"/>
    <x v="1"/>
    <x v="2"/>
    <n v="113550"/>
    <n v="44.718280738649121"/>
    <s v="Work in progress"/>
  </r>
  <r>
    <s v="P2119"/>
    <s v="Project-588"/>
    <x v="6"/>
    <x v="1"/>
    <x v="566"/>
    <x v="388"/>
    <x v="0"/>
    <n v="714577"/>
    <n v="760377"/>
    <x v="0"/>
    <x v="0"/>
    <x v="2"/>
    <n v="-45800"/>
    <n v="-6.0233279018171251"/>
    <s v="Work in progress"/>
  </r>
  <r>
    <s v="P2120"/>
    <s v="Project-138"/>
    <x v="3"/>
    <x v="6"/>
    <x v="1"/>
    <x v="235"/>
    <x v="0"/>
    <n v="395282"/>
    <n v="209577"/>
    <x v="0"/>
    <x v="2"/>
    <x v="0"/>
    <n v="185705"/>
    <n v="88.609437104262398"/>
    <s v="Work in progress"/>
  </r>
  <r>
    <s v="P2121"/>
    <s v="Project-370"/>
    <x v="7"/>
    <x v="7"/>
    <x v="53"/>
    <x v="677"/>
    <x v="2"/>
    <n v="116141"/>
    <n v="768142"/>
    <x v="1"/>
    <x v="2"/>
    <x v="2"/>
    <n v="-652001"/>
    <n v="-84.88026953349771"/>
    <s v="Project delivered successfully"/>
  </r>
  <r>
    <s v="P2122"/>
    <s v="Project-986"/>
    <x v="3"/>
    <x v="6"/>
    <x v="644"/>
    <x v="507"/>
    <x v="2"/>
    <n v="203415"/>
    <n v="839033"/>
    <x v="3"/>
    <x v="0"/>
    <x v="0"/>
    <n v="-635618"/>
    <n v="-75.756019131547873"/>
    <s v="Project delivered successfully"/>
  </r>
  <r>
    <s v="P2123"/>
    <s v="Project-896"/>
    <x v="6"/>
    <x v="1"/>
    <x v="564"/>
    <x v="392"/>
    <x v="1"/>
    <n v="702595"/>
    <n v="452768"/>
    <x v="4"/>
    <x v="1"/>
    <x v="2"/>
    <n v="249827"/>
    <n v="55.177706905081635"/>
    <s v="Timeline extended"/>
  </r>
  <r>
    <s v="P2124"/>
    <s v="Project-256"/>
    <x v="6"/>
    <x v="0"/>
    <x v="494"/>
    <x v="576"/>
    <x v="2"/>
    <n v="756182"/>
    <n v="491107"/>
    <x v="1"/>
    <x v="3"/>
    <x v="1"/>
    <n v="265075"/>
    <n v="53.974999338229757"/>
    <s v="Project delivered successfully"/>
  </r>
  <r>
    <s v="P2125"/>
    <s v="Project-174"/>
    <x v="6"/>
    <x v="2"/>
    <x v="390"/>
    <x v="154"/>
    <x v="0"/>
    <n v="980507"/>
    <n v="523915"/>
    <x v="0"/>
    <x v="0"/>
    <x v="0"/>
    <n v="456592"/>
    <n v="87.150014792475886"/>
    <s v="Work in progress"/>
  </r>
  <r>
    <s v="P2126"/>
    <s v="Project-983"/>
    <x v="7"/>
    <x v="0"/>
    <x v="527"/>
    <x v="267"/>
    <x v="1"/>
    <n v="552009"/>
    <n v="194364"/>
    <x v="1"/>
    <x v="1"/>
    <x v="1"/>
    <n v="357645"/>
    <n v="184.00784095820214"/>
    <s v="Timeline extended"/>
  </r>
  <r>
    <s v="P2127"/>
    <s v="Project-899"/>
    <x v="5"/>
    <x v="1"/>
    <x v="637"/>
    <x v="269"/>
    <x v="2"/>
    <n v="475305"/>
    <n v="158424"/>
    <x v="1"/>
    <x v="3"/>
    <x v="2"/>
    <n v="316881"/>
    <n v="200.02083017724587"/>
    <s v="Project delivered successfully"/>
  </r>
  <r>
    <s v="P2128"/>
    <s v="Project-229"/>
    <x v="4"/>
    <x v="1"/>
    <x v="125"/>
    <x v="688"/>
    <x v="2"/>
    <n v="496811"/>
    <n v="155451"/>
    <x v="4"/>
    <x v="0"/>
    <x v="1"/>
    <n v="341360"/>
    <n v="219.59331236209482"/>
    <s v="Project delivered successfully"/>
  </r>
  <r>
    <s v="P2129"/>
    <s v="Project-786"/>
    <x v="0"/>
    <x v="1"/>
    <x v="510"/>
    <x v="220"/>
    <x v="2"/>
    <n v="395341"/>
    <n v="358241"/>
    <x v="4"/>
    <x v="0"/>
    <x v="1"/>
    <n v="37100"/>
    <n v="10.356156888798324"/>
    <s v="Project delivered successfully"/>
  </r>
  <r>
    <s v="P2130"/>
    <s v="Project-183"/>
    <x v="3"/>
    <x v="6"/>
    <x v="666"/>
    <x v="471"/>
    <x v="1"/>
    <n v="918750"/>
    <n v="701544"/>
    <x v="4"/>
    <x v="2"/>
    <x v="1"/>
    <n v="217206"/>
    <n v="30.961137148917246"/>
    <s v="Timeline extended"/>
  </r>
  <r>
    <s v="P2131"/>
    <s v="Project-121"/>
    <x v="7"/>
    <x v="4"/>
    <x v="680"/>
    <x v="88"/>
    <x v="2"/>
    <n v="211101"/>
    <n v="1037537"/>
    <x v="3"/>
    <x v="2"/>
    <x v="2"/>
    <n v="-826436"/>
    <n v="-79.653641267733093"/>
    <s v="Project delivered successfully"/>
  </r>
  <r>
    <s v="P2132"/>
    <s v="Project-558"/>
    <x v="1"/>
    <x v="3"/>
    <x v="51"/>
    <x v="379"/>
    <x v="0"/>
    <n v="653311"/>
    <n v="1008550"/>
    <x v="1"/>
    <x v="2"/>
    <x v="0"/>
    <n v="-355239"/>
    <n v="-35.222745525754796"/>
    <s v="Work in progress"/>
  </r>
  <r>
    <s v="P2133"/>
    <s v="Project-638"/>
    <x v="0"/>
    <x v="2"/>
    <x v="268"/>
    <x v="293"/>
    <x v="2"/>
    <n v="494540"/>
    <n v="615665"/>
    <x v="1"/>
    <x v="3"/>
    <x v="2"/>
    <n v="-121125"/>
    <n v="-19.673848602730381"/>
    <s v="Project delivered successfully"/>
  </r>
  <r>
    <s v="P2134"/>
    <s v="Project-806"/>
    <x v="5"/>
    <x v="0"/>
    <x v="418"/>
    <x v="120"/>
    <x v="0"/>
    <n v="888394"/>
    <n v="599449"/>
    <x v="3"/>
    <x v="0"/>
    <x v="2"/>
    <n v="288945"/>
    <n v="48.201765287789286"/>
    <s v="Work in progress"/>
  </r>
  <r>
    <s v="P2135"/>
    <s v="Project-948"/>
    <x v="7"/>
    <x v="0"/>
    <x v="348"/>
    <x v="452"/>
    <x v="0"/>
    <n v="425181"/>
    <n v="720366"/>
    <x v="0"/>
    <x v="2"/>
    <x v="2"/>
    <n v="-295185"/>
    <n v="-40.977086647620794"/>
    <s v="Work in progress"/>
  </r>
  <r>
    <s v="P2136"/>
    <s v="Project-481"/>
    <x v="2"/>
    <x v="7"/>
    <x v="600"/>
    <x v="131"/>
    <x v="0"/>
    <n v="744402"/>
    <n v="178616"/>
    <x v="2"/>
    <x v="2"/>
    <x v="0"/>
    <n v="565786"/>
    <n v="316.76109643033101"/>
    <s v="Work in progress"/>
  </r>
  <r>
    <s v="P2137"/>
    <s v="Project-847"/>
    <x v="2"/>
    <x v="6"/>
    <x v="686"/>
    <x v="302"/>
    <x v="0"/>
    <n v="661889"/>
    <n v="559527"/>
    <x v="0"/>
    <x v="0"/>
    <x v="2"/>
    <n v="102362"/>
    <n v="18.294380789488265"/>
    <s v="Work in progress"/>
  </r>
  <r>
    <s v="P2138"/>
    <s v="Project-539"/>
    <x v="4"/>
    <x v="1"/>
    <x v="633"/>
    <x v="397"/>
    <x v="0"/>
    <n v="519596"/>
    <n v="599073"/>
    <x v="3"/>
    <x v="3"/>
    <x v="2"/>
    <n v="-79477"/>
    <n v="-13.266663662024495"/>
    <s v="Work in progress"/>
  </r>
  <r>
    <s v="P2139"/>
    <s v="Project-703"/>
    <x v="4"/>
    <x v="5"/>
    <x v="595"/>
    <x v="587"/>
    <x v="0"/>
    <n v="134859"/>
    <n v="53358"/>
    <x v="1"/>
    <x v="2"/>
    <x v="0"/>
    <n v="81501"/>
    <n v="152.74373102440123"/>
    <s v="Work in progress"/>
  </r>
  <r>
    <s v="P2140"/>
    <s v="Project-120"/>
    <x v="5"/>
    <x v="1"/>
    <x v="667"/>
    <x v="478"/>
    <x v="2"/>
    <n v="665221"/>
    <n v="505890"/>
    <x v="1"/>
    <x v="1"/>
    <x v="0"/>
    <n v="159331"/>
    <n v="31.495186700666149"/>
    <s v="Project delivered successfully"/>
  </r>
  <r>
    <s v="P2141"/>
    <s v="Project-402"/>
    <x v="5"/>
    <x v="1"/>
    <x v="647"/>
    <x v="257"/>
    <x v="1"/>
    <n v="95957"/>
    <n v="249592"/>
    <x v="4"/>
    <x v="3"/>
    <x v="0"/>
    <n v="-153635"/>
    <n v="-61.554456873617745"/>
    <s v="Timeline extended"/>
  </r>
  <r>
    <s v="P2142"/>
    <s v="Project-968"/>
    <x v="4"/>
    <x v="5"/>
    <x v="80"/>
    <x v="267"/>
    <x v="3"/>
    <n v="919296"/>
    <n v="189500"/>
    <x v="4"/>
    <x v="2"/>
    <x v="1"/>
    <n v="729796"/>
    <n v="385.11662269129289"/>
    <s v="Project cancelled"/>
  </r>
  <r>
    <s v="P2143"/>
    <s v="Project-183"/>
    <x v="3"/>
    <x v="0"/>
    <x v="652"/>
    <x v="618"/>
    <x v="0"/>
    <n v="962790"/>
    <n v="1087672"/>
    <x v="1"/>
    <x v="1"/>
    <x v="0"/>
    <n v="-124882"/>
    <n v="-11.481586360594003"/>
    <s v="Work in progress"/>
  </r>
  <r>
    <s v="P2144"/>
    <s v="Project-873"/>
    <x v="3"/>
    <x v="7"/>
    <x v="178"/>
    <x v="42"/>
    <x v="2"/>
    <n v="880171"/>
    <n v="1126158"/>
    <x v="1"/>
    <x v="2"/>
    <x v="1"/>
    <n v="-245987"/>
    <n v="-21.843027354953744"/>
    <s v="Project delivered successfully"/>
  </r>
  <r>
    <s v="P2145"/>
    <s v="Project-758"/>
    <x v="7"/>
    <x v="3"/>
    <x v="443"/>
    <x v="351"/>
    <x v="1"/>
    <n v="350877"/>
    <n v="742755"/>
    <x v="4"/>
    <x v="3"/>
    <x v="1"/>
    <n v="-391878"/>
    <n v="-52.760062200860311"/>
    <s v="Timeline extended"/>
  </r>
  <r>
    <s v="P2146"/>
    <s v="Project-552"/>
    <x v="1"/>
    <x v="5"/>
    <x v="378"/>
    <x v="596"/>
    <x v="0"/>
    <n v="619677"/>
    <n v="928027"/>
    <x v="4"/>
    <x v="0"/>
    <x v="2"/>
    <n v="-308350"/>
    <n v="-33.226403973160259"/>
    <s v="Work in progress"/>
  </r>
  <r>
    <s v="P2147"/>
    <s v="Project-486"/>
    <x v="7"/>
    <x v="6"/>
    <x v="284"/>
    <x v="539"/>
    <x v="2"/>
    <n v="210787"/>
    <n v="817719"/>
    <x v="0"/>
    <x v="0"/>
    <x v="1"/>
    <n v="-606932"/>
    <n v="-74.222563007585734"/>
    <s v="Project delivered successfully"/>
  </r>
  <r>
    <s v="P2148"/>
    <s v="Project-606"/>
    <x v="1"/>
    <x v="4"/>
    <x v="344"/>
    <x v="669"/>
    <x v="2"/>
    <n v="744476"/>
    <n v="405038"/>
    <x v="1"/>
    <x v="3"/>
    <x v="2"/>
    <n v="339438"/>
    <n v="83.803988761548297"/>
    <s v="Project delivered successfully"/>
  </r>
  <r>
    <s v="P2149"/>
    <s v="Project-356"/>
    <x v="5"/>
    <x v="2"/>
    <x v="321"/>
    <x v="456"/>
    <x v="0"/>
    <n v="893354"/>
    <n v="1002382"/>
    <x v="1"/>
    <x v="2"/>
    <x v="1"/>
    <n v="-109028"/>
    <n v="-10.876891245054281"/>
    <s v="Work in progress"/>
  </r>
  <r>
    <s v="P2150"/>
    <s v="Project-669"/>
    <x v="0"/>
    <x v="6"/>
    <x v="464"/>
    <x v="583"/>
    <x v="1"/>
    <n v="499467"/>
    <n v="681088"/>
    <x v="3"/>
    <x v="3"/>
    <x v="0"/>
    <n v="-181621"/>
    <n v="-26.66630450103364"/>
    <s v="Timeline extended"/>
  </r>
  <r>
    <s v="P2151"/>
    <s v="Project-991"/>
    <x v="7"/>
    <x v="5"/>
    <x v="195"/>
    <x v="543"/>
    <x v="1"/>
    <n v="67580"/>
    <n v="504514"/>
    <x v="0"/>
    <x v="1"/>
    <x v="2"/>
    <n v="-436934"/>
    <n v="-86.604930685768878"/>
    <s v="Timeline extended"/>
  </r>
  <r>
    <s v="P2152"/>
    <s v="Project-626"/>
    <x v="7"/>
    <x v="3"/>
    <x v="250"/>
    <x v="275"/>
    <x v="0"/>
    <n v="428044"/>
    <n v="561501"/>
    <x v="2"/>
    <x v="2"/>
    <x v="1"/>
    <n v="-133457"/>
    <n v="-23.767900680497451"/>
    <s v="Work in progress"/>
  </r>
  <r>
    <s v="P2153"/>
    <s v="Project-261"/>
    <x v="1"/>
    <x v="0"/>
    <x v="687"/>
    <x v="512"/>
    <x v="0"/>
    <n v="444039"/>
    <n v="912313"/>
    <x v="2"/>
    <x v="3"/>
    <x v="2"/>
    <n v="-468274"/>
    <n v="-51.328217399072464"/>
    <s v="Work in progress"/>
  </r>
  <r>
    <s v="P2154"/>
    <s v="Project-262"/>
    <x v="6"/>
    <x v="4"/>
    <x v="688"/>
    <x v="12"/>
    <x v="0"/>
    <n v="309073"/>
    <n v="439180"/>
    <x v="2"/>
    <x v="0"/>
    <x v="0"/>
    <n v="-130107"/>
    <n v="-29.62498292271961"/>
    <s v="Work in progress"/>
  </r>
  <r>
    <s v="P2155"/>
    <s v="Project-931"/>
    <x v="5"/>
    <x v="4"/>
    <x v="531"/>
    <x v="431"/>
    <x v="0"/>
    <n v="273080"/>
    <n v="1105431"/>
    <x v="4"/>
    <x v="3"/>
    <x v="1"/>
    <n v="-832351"/>
    <n v="-75.296513305669905"/>
    <s v="Work in progress"/>
  </r>
  <r>
    <s v="P2156"/>
    <s v="Project-892"/>
    <x v="5"/>
    <x v="4"/>
    <x v="634"/>
    <x v="568"/>
    <x v="0"/>
    <n v="843516"/>
    <n v="1006273"/>
    <x v="2"/>
    <x v="2"/>
    <x v="1"/>
    <n v="-162757"/>
    <n v="-16.174238998760774"/>
    <s v="Work in progress"/>
  </r>
  <r>
    <s v="P2157"/>
    <s v="Project-891"/>
    <x v="2"/>
    <x v="1"/>
    <x v="678"/>
    <x v="469"/>
    <x v="0"/>
    <n v="390135"/>
    <n v="1031008"/>
    <x v="3"/>
    <x v="3"/>
    <x v="0"/>
    <n v="-640873"/>
    <n v="-62.159847450262262"/>
    <s v="Work in progress"/>
  </r>
  <r>
    <s v="P2158"/>
    <s v="Project-623"/>
    <x v="6"/>
    <x v="2"/>
    <x v="491"/>
    <x v="227"/>
    <x v="0"/>
    <n v="453823"/>
    <n v="831341"/>
    <x v="4"/>
    <x v="0"/>
    <x v="1"/>
    <n v="-377518"/>
    <n v="-45.410727968426919"/>
    <s v="Work in progress"/>
  </r>
  <r>
    <s v="P2159"/>
    <s v="Project-885"/>
    <x v="1"/>
    <x v="0"/>
    <x v="629"/>
    <x v="347"/>
    <x v="1"/>
    <n v="656743"/>
    <n v="764474"/>
    <x v="4"/>
    <x v="1"/>
    <x v="1"/>
    <n v="-107731"/>
    <n v="-14.09217318051366"/>
    <s v="Timeline extended"/>
  </r>
  <r>
    <s v="P2160"/>
    <s v="Project-370"/>
    <x v="5"/>
    <x v="0"/>
    <x v="689"/>
    <x v="498"/>
    <x v="0"/>
    <n v="424684"/>
    <n v="446584"/>
    <x v="2"/>
    <x v="3"/>
    <x v="2"/>
    <n v="-21900"/>
    <n v="-4.9038926607312394"/>
    <s v="Work in progress"/>
  </r>
  <r>
    <s v="P2161"/>
    <s v="Project-591"/>
    <x v="6"/>
    <x v="4"/>
    <x v="329"/>
    <x v="380"/>
    <x v="0"/>
    <n v="426684"/>
    <n v="124135"/>
    <x v="4"/>
    <x v="3"/>
    <x v="1"/>
    <n v="302549"/>
    <n v="243.72578241430699"/>
    <s v="Work in progress"/>
  </r>
  <r>
    <s v="P2162"/>
    <s v="Project-307"/>
    <x v="4"/>
    <x v="0"/>
    <x v="91"/>
    <x v="222"/>
    <x v="0"/>
    <n v="827585"/>
    <n v="625543"/>
    <x v="0"/>
    <x v="1"/>
    <x v="0"/>
    <n v="202042"/>
    <n v="32.298658925125849"/>
    <s v="Work in progress"/>
  </r>
  <r>
    <s v="P2163"/>
    <s v="Project-638"/>
    <x v="6"/>
    <x v="2"/>
    <x v="421"/>
    <x v="94"/>
    <x v="0"/>
    <n v="717329"/>
    <n v="265787"/>
    <x v="0"/>
    <x v="3"/>
    <x v="1"/>
    <n v="451542"/>
    <n v="169.88867025099046"/>
    <s v="Work in progress"/>
  </r>
  <r>
    <s v="P2164"/>
    <s v="Project-683"/>
    <x v="3"/>
    <x v="2"/>
    <x v="464"/>
    <x v="457"/>
    <x v="0"/>
    <n v="853765"/>
    <n v="826784"/>
    <x v="2"/>
    <x v="0"/>
    <x v="2"/>
    <n v="26981"/>
    <n v="3.2633674575221581"/>
    <s v="Work in progress"/>
  </r>
  <r>
    <s v="P2165"/>
    <s v="Project-159"/>
    <x v="2"/>
    <x v="7"/>
    <x v="401"/>
    <x v="427"/>
    <x v="0"/>
    <n v="520452"/>
    <n v="388565"/>
    <x v="3"/>
    <x v="1"/>
    <x v="1"/>
    <n v="131887"/>
    <n v="33.942068894522151"/>
    <s v="Work in progress"/>
  </r>
  <r>
    <s v="P2166"/>
    <s v="Project-529"/>
    <x v="4"/>
    <x v="5"/>
    <x v="337"/>
    <x v="302"/>
    <x v="0"/>
    <n v="439326"/>
    <n v="896971"/>
    <x v="4"/>
    <x v="0"/>
    <x v="2"/>
    <n v="-457645"/>
    <n v="-51.021158989532545"/>
    <s v="Work in progress"/>
  </r>
  <r>
    <s v="P2167"/>
    <s v="Project-756"/>
    <x v="0"/>
    <x v="5"/>
    <x v="450"/>
    <x v="256"/>
    <x v="1"/>
    <n v="804207"/>
    <n v="894686"/>
    <x v="1"/>
    <x v="0"/>
    <x v="1"/>
    <n v="-90479"/>
    <n v="-10.11293347610223"/>
    <s v="Timeline extended"/>
  </r>
  <r>
    <s v="P2168"/>
    <s v="Project-704"/>
    <x v="7"/>
    <x v="7"/>
    <x v="399"/>
    <x v="105"/>
    <x v="3"/>
    <n v="610956"/>
    <n v="80044"/>
    <x v="2"/>
    <x v="0"/>
    <x v="2"/>
    <n v="530912"/>
    <n v="663.27519864074759"/>
    <s v="Project cancelled"/>
  </r>
  <r>
    <s v="P2169"/>
    <s v="Project-408"/>
    <x v="2"/>
    <x v="3"/>
    <x v="437"/>
    <x v="157"/>
    <x v="0"/>
    <n v="848377"/>
    <n v="1034593"/>
    <x v="4"/>
    <x v="2"/>
    <x v="2"/>
    <n v="-186216"/>
    <n v="-17.998961910625724"/>
    <s v="Work in progress"/>
  </r>
  <r>
    <s v="P2170"/>
    <s v="Project-619"/>
    <x v="0"/>
    <x v="5"/>
    <x v="690"/>
    <x v="684"/>
    <x v="0"/>
    <n v="676816"/>
    <n v="906650"/>
    <x v="2"/>
    <x v="1"/>
    <x v="1"/>
    <n v="-229834"/>
    <n v="-25.34980422434236"/>
    <s v="Work in progress"/>
  </r>
  <r>
    <s v="P2171"/>
    <s v="Project-690"/>
    <x v="7"/>
    <x v="2"/>
    <x v="290"/>
    <x v="637"/>
    <x v="2"/>
    <n v="96526"/>
    <n v="639288"/>
    <x v="2"/>
    <x v="2"/>
    <x v="0"/>
    <n v="-542762"/>
    <n v="-84.901014879052951"/>
    <s v="Project delivered successfully"/>
  </r>
  <r>
    <s v="P2172"/>
    <s v="Project-126"/>
    <x v="3"/>
    <x v="2"/>
    <x v="97"/>
    <x v="689"/>
    <x v="2"/>
    <n v="622005"/>
    <n v="757362"/>
    <x v="3"/>
    <x v="2"/>
    <x v="0"/>
    <n v="-135357"/>
    <n v="-17.872166810587274"/>
    <s v="Project delivered successfully"/>
  </r>
  <r>
    <s v="P2173"/>
    <s v="Project-785"/>
    <x v="6"/>
    <x v="5"/>
    <x v="359"/>
    <x v="12"/>
    <x v="0"/>
    <n v="502642"/>
    <n v="87965"/>
    <x v="1"/>
    <x v="3"/>
    <x v="1"/>
    <n v="414677"/>
    <n v="471.41135678963224"/>
    <s v="Work in progress"/>
  </r>
  <r>
    <s v="P2174"/>
    <s v="Project-661"/>
    <x v="5"/>
    <x v="2"/>
    <x v="374"/>
    <x v="103"/>
    <x v="1"/>
    <n v="806530"/>
    <n v="99776"/>
    <x v="4"/>
    <x v="1"/>
    <x v="1"/>
    <n v="706754"/>
    <n v="708.34068313021169"/>
    <s v="Timeline extended"/>
  </r>
  <r>
    <s v="P2175"/>
    <s v="Project-298"/>
    <x v="4"/>
    <x v="7"/>
    <x v="215"/>
    <x v="513"/>
    <x v="2"/>
    <n v="265238"/>
    <n v="323603"/>
    <x v="2"/>
    <x v="3"/>
    <x v="1"/>
    <n v="-58365"/>
    <n v="-18.035988541515373"/>
    <s v="Project delivered successfully"/>
  </r>
  <r>
    <s v="P2176"/>
    <s v="Project-486"/>
    <x v="1"/>
    <x v="4"/>
    <x v="685"/>
    <x v="669"/>
    <x v="0"/>
    <n v="559740"/>
    <n v="120932"/>
    <x v="2"/>
    <x v="2"/>
    <x v="1"/>
    <n v="438808"/>
    <n v="362.85515827076375"/>
    <s v="Work in progress"/>
  </r>
  <r>
    <s v="P2177"/>
    <s v="Project-448"/>
    <x v="4"/>
    <x v="4"/>
    <x v="461"/>
    <x v="206"/>
    <x v="2"/>
    <n v="287644"/>
    <n v="898763"/>
    <x v="4"/>
    <x v="3"/>
    <x v="1"/>
    <n v="-611119"/>
    <n v="-67.99556724075201"/>
    <s v="Project delivered successfully"/>
  </r>
  <r>
    <s v="P2178"/>
    <s v="Project-792"/>
    <x v="3"/>
    <x v="0"/>
    <x v="141"/>
    <x v="652"/>
    <x v="3"/>
    <n v="402624"/>
    <n v="710049"/>
    <x v="2"/>
    <x v="0"/>
    <x v="0"/>
    <n v="-307425"/>
    <n v="-43.296307719608087"/>
    <s v="Project cancelled"/>
  </r>
  <r>
    <s v="P2179"/>
    <s v="Project-635"/>
    <x v="0"/>
    <x v="6"/>
    <x v="61"/>
    <x v="690"/>
    <x v="2"/>
    <n v="532112"/>
    <n v="360126"/>
    <x v="2"/>
    <x v="2"/>
    <x v="2"/>
    <n v="171986"/>
    <n v="47.75717387803158"/>
    <s v="Project delivered successfully"/>
  </r>
  <r>
    <s v="P2180"/>
    <s v="Project-927"/>
    <x v="1"/>
    <x v="6"/>
    <x v="289"/>
    <x v="3"/>
    <x v="0"/>
    <n v="783709"/>
    <n v="426562"/>
    <x v="2"/>
    <x v="0"/>
    <x v="2"/>
    <n v="357147"/>
    <n v="83.726867372152242"/>
    <s v="Work in progress"/>
  </r>
  <r>
    <s v="P2181"/>
    <s v="Project-477"/>
    <x v="5"/>
    <x v="4"/>
    <x v="627"/>
    <x v="632"/>
    <x v="0"/>
    <n v="185673"/>
    <n v="206251"/>
    <x v="0"/>
    <x v="1"/>
    <x v="0"/>
    <n v="-20578"/>
    <n v="-9.9771637470848624"/>
    <s v="Work in progress"/>
  </r>
  <r>
    <s v="P2182"/>
    <s v="Project-998"/>
    <x v="3"/>
    <x v="1"/>
    <x v="391"/>
    <x v="479"/>
    <x v="0"/>
    <n v="849362"/>
    <n v="856949"/>
    <x v="0"/>
    <x v="3"/>
    <x v="0"/>
    <n v="-7587"/>
    <n v="-0.88535023671186974"/>
    <s v="Work in progress"/>
  </r>
  <r>
    <s v="P2183"/>
    <s v="Project-657"/>
    <x v="1"/>
    <x v="7"/>
    <x v="211"/>
    <x v="52"/>
    <x v="0"/>
    <n v="578621"/>
    <n v="361822"/>
    <x v="1"/>
    <x v="2"/>
    <x v="2"/>
    <n v="216799"/>
    <n v="59.918689300263658"/>
    <s v="Work in progress"/>
  </r>
  <r>
    <s v="P2184"/>
    <s v="Project-626"/>
    <x v="3"/>
    <x v="2"/>
    <x v="563"/>
    <x v="502"/>
    <x v="2"/>
    <n v="776295"/>
    <n v="242678"/>
    <x v="3"/>
    <x v="1"/>
    <x v="0"/>
    <n v="533617"/>
    <n v="219.88684594400812"/>
    <s v="Project delivered successfully"/>
  </r>
  <r>
    <s v="P2185"/>
    <s v="Project-252"/>
    <x v="6"/>
    <x v="5"/>
    <x v="640"/>
    <x v="537"/>
    <x v="1"/>
    <n v="170384"/>
    <n v="404635"/>
    <x v="4"/>
    <x v="0"/>
    <x v="1"/>
    <n v="-234251"/>
    <n v="-57.891927292498181"/>
    <s v="Timeline extended"/>
  </r>
  <r>
    <s v="P2186"/>
    <s v="Project-833"/>
    <x v="3"/>
    <x v="4"/>
    <x v="126"/>
    <x v="468"/>
    <x v="2"/>
    <n v="67839"/>
    <n v="889055"/>
    <x v="3"/>
    <x v="3"/>
    <x v="0"/>
    <n v="-821216"/>
    <n v="-92.369538442503568"/>
    <s v="Project delivered successfully"/>
  </r>
  <r>
    <s v="P2187"/>
    <s v="Project-305"/>
    <x v="5"/>
    <x v="7"/>
    <x v="242"/>
    <x v="196"/>
    <x v="3"/>
    <n v="887769"/>
    <n v="512504"/>
    <x v="3"/>
    <x v="3"/>
    <x v="0"/>
    <n v="375265"/>
    <n v="73.221867536643614"/>
    <s v="Project cancelled"/>
  </r>
  <r>
    <s v="P2188"/>
    <s v="Project-554"/>
    <x v="2"/>
    <x v="4"/>
    <x v="461"/>
    <x v="623"/>
    <x v="0"/>
    <n v="483420"/>
    <n v="340719"/>
    <x v="0"/>
    <x v="2"/>
    <x v="0"/>
    <n v="142701"/>
    <n v="41.882313578051125"/>
    <s v="Work in progress"/>
  </r>
  <r>
    <s v="P2189"/>
    <s v="Project-372"/>
    <x v="7"/>
    <x v="3"/>
    <x v="369"/>
    <x v="442"/>
    <x v="1"/>
    <n v="70195"/>
    <n v="735315"/>
    <x v="1"/>
    <x v="3"/>
    <x v="0"/>
    <n v="-665120"/>
    <n v="-90.453751113468371"/>
    <s v="Timeline extended"/>
  </r>
  <r>
    <s v="P2190"/>
    <s v="Project-993"/>
    <x v="1"/>
    <x v="2"/>
    <x v="330"/>
    <x v="458"/>
    <x v="2"/>
    <n v="471064"/>
    <n v="1158836"/>
    <x v="3"/>
    <x v="3"/>
    <x v="2"/>
    <n v="-687772"/>
    <n v="-59.35024455574387"/>
    <s v="Project delivered successfully"/>
  </r>
  <r>
    <s v="P2191"/>
    <s v="Project-335"/>
    <x v="6"/>
    <x v="3"/>
    <x v="519"/>
    <x v="612"/>
    <x v="0"/>
    <n v="663517"/>
    <n v="610159"/>
    <x v="3"/>
    <x v="0"/>
    <x v="2"/>
    <n v="53358"/>
    <n v="8.7449336976099676"/>
    <s v="Work in progress"/>
  </r>
  <r>
    <s v="P2192"/>
    <s v="Project-951"/>
    <x v="5"/>
    <x v="2"/>
    <x v="274"/>
    <x v="471"/>
    <x v="2"/>
    <n v="949683"/>
    <n v="221750"/>
    <x v="2"/>
    <x v="0"/>
    <x v="2"/>
    <n v="727933"/>
    <n v="328.26741826381061"/>
    <s v="Project delivered successfully"/>
  </r>
  <r>
    <s v="P2193"/>
    <s v="Project-839"/>
    <x v="3"/>
    <x v="7"/>
    <x v="453"/>
    <x v="241"/>
    <x v="0"/>
    <n v="162265"/>
    <n v="675061"/>
    <x v="4"/>
    <x v="0"/>
    <x v="2"/>
    <n v="-512796"/>
    <n v="-75.962912981197249"/>
    <s v="Work in progress"/>
  </r>
  <r>
    <s v="P2194"/>
    <s v="Project-620"/>
    <x v="6"/>
    <x v="0"/>
    <x v="397"/>
    <x v="575"/>
    <x v="2"/>
    <n v="310775"/>
    <n v="454567"/>
    <x v="1"/>
    <x v="1"/>
    <x v="1"/>
    <n v="-143792"/>
    <n v="-31.632740608095176"/>
    <s v="Project delivered successfully"/>
  </r>
  <r>
    <s v="P2195"/>
    <s v="Project-777"/>
    <x v="5"/>
    <x v="4"/>
    <x v="183"/>
    <x v="500"/>
    <x v="0"/>
    <n v="221926"/>
    <n v="614981"/>
    <x v="4"/>
    <x v="1"/>
    <x v="1"/>
    <n v="-393055"/>
    <n v="-63.913356672807772"/>
    <s v="Work in progress"/>
  </r>
  <r>
    <s v="P2196"/>
    <s v="Project-930"/>
    <x v="2"/>
    <x v="4"/>
    <x v="185"/>
    <x v="83"/>
    <x v="0"/>
    <n v="938418"/>
    <n v="847865"/>
    <x v="0"/>
    <x v="3"/>
    <x v="2"/>
    <n v="90553"/>
    <n v="10.680120066284138"/>
    <s v="Work in progress"/>
  </r>
  <r>
    <s v="P2197"/>
    <s v="Project-825"/>
    <x v="6"/>
    <x v="1"/>
    <x v="556"/>
    <x v="133"/>
    <x v="2"/>
    <n v="363142"/>
    <n v="1153373"/>
    <x v="3"/>
    <x v="1"/>
    <x v="2"/>
    <n v="-790231"/>
    <n v="-68.514782295059788"/>
    <s v="Project delivered successfully"/>
  </r>
  <r>
    <s v="P2198"/>
    <s v="Project-600"/>
    <x v="6"/>
    <x v="5"/>
    <x v="481"/>
    <x v="74"/>
    <x v="2"/>
    <n v="248462"/>
    <n v="240087"/>
    <x v="3"/>
    <x v="2"/>
    <x v="2"/>
    <n v="8375"/>
    <n v="3.4883188177618951"/>
    <s v="Project delivered successfully"/>
  </r>
  <r>
    <s v="P2199"/>
    <s v="Project-216"/>
    <x v="7"/>
    <x v="3"/>
    <x v="21"/>
    <x v="625"/>
    <x v="0"/>
    <n v="343702"/>
    <n v="832236"/>
    <x v="4"/>
    <x v="0"/>
    <x v="0"/>
    <n v="-488534"/>
    <n v="-58.701377974516845"/>
    <s v="Work in progress"/>
  </r>
  <r>
    <s v="P2200"/>
    <s v="Project-485"/>
    <x v="4"/>
    <x v="4"/>
    <x v="376"/>
    <x v="23"/>
    <x v="0"/>
    <n v="839417"/>
    <n v="861533"/>
    <x v="0"/>
    <x v="1"/>
    <x v="1"/>
    <n v="-22116"/>
    <n v="-2.5670519875617068"/>
    <s v="Work in progress"/>
  </r>
  <r>
    <s v="P2201"/>
    <s v="Project-443"/>
    <x v="1"/>
    <x v="7"/>
    <x v="419"/>
    <x v="625"/>
    <x v="0"/>
    <n v="898226"/>
    <n v="745475"/>
    <x v="2"/>
    <x v="3"/>
    <x v="1"/>
    <n v="152751"/>
    <n v="20.490425567591135"/>
    <s v="Work in progress"/>
  </r>
  <r>
    <s v="P2202"/>
    <s v="Project-683"/>
    <x v="7"/>
    <x v="0"/>
    <x v="537"/>
    <x v="669"/>
    <x v="2"/>
    <n v="93585"/>
    <n v="632651"/>
    <x v="2"/>
    <x v="0"/>
    <x v="0"/>
    <n v="-539066"/>
    <n v="-85.207484063093247"/>
    <s v="Project delivered successfully"/>
  </r>
  <r>
    <s v="P2203"/>
    <s v="Project-494"/>
    <x v="0"/>
    <x v="5"/>
    <x v="474"/>
    <x v="225"/>
    <x v="1"/>
    <n v="265886"/>
    <n v="1066374"/>
    <x v="3"/>
    <x v="1"/>
    <x v="0"/>
    <n v="-800488"/>
    <n v="-75.06634632877396"/>
    <s v="Timeline extended"/>
  </r>
  <r>
    <s v="P2204"/>
    <s v="Project-163"/>
    <x v="1"/>
    <x v="7"/>
    <x v="298"/>
    <x v="316"/>
    <x v="1"/>
    <n v="352408"/>
    <n v="1186480"/>
    <x v="3"/>
    <x v="0"/>
    <x v="0"/>
    <n v="-834072"/>
    <n v="-70.298024408333887"/>
    <s v="Timeline extended"/>
  </r>
  <r>
    <s v="P2205"/>
    <s v="Project-816"/>
    <x v="7"/>
    <x v="3"/>
    <x v="691"/>
    <x v="346"/>
    <x v="0"/>
    <n v="476542"/>
    <n v="669240"/>
    <x v="1"/>
    <x v="1"/>
    <x v="1"/>
    <n v="-192698"/>
    <n v="-28.793556870479946"/>
    <s v="Work in progress"/>
  </r>
  <r>
    <s v="P2206"/>
    <s v="Project-820"/>
    <x v="3"/>
    <x v="1"/>
    <x v="23"/>
    <x v="320"/>
    <x v="2"/>
    <n v="921248"/>
    <n v="369720"/>
    <x v="4"/>
    <x v="3"/>
    <x v="0"/>
    <n v="551528"/>
    <n v="149.17451044033322"/>
    <s v="Project delivered successfully"/>
  </r>
  <r>
    <s v="P2207"/>
    <s v="Project-171"/>
    <x v="1"/>
    <x v="4"/>
    <x v="510"/>
    <x v="290"/>
    <x v="0"/>
    <n v="608310"/>
    <n v="308271"/>
    <x v="3"/>
    <x v="1"/>
    <x v="0"/>
    <n v="300039"/>
    <n v="97.329622312835141"/>
    <s v="Work in progress"/>
  </r>
  <r>
    <s v="P2208"/>
    <s v="Project-888"/>
    <x v="1"/>
    <x v="7"/>
    <x v="82"/>
    <x v="622"/>
    <x v="2"/>
    <n v="458883"/>
    <n v="1037567"/>
    <x v="0"/>
    <x v="1"/>
    <x v="0"/>
    <n v="-578684"/>
    <n v="-55.77316934713614"/>
    <s v="Project delivered successfully"/>
  </r>
  <r>
    <s v="P2209"/>
    <s v="Project-373"/>
    <x v="5"/>
    <x v="5"/>
    <x v="612"/>
    <x v="636"/>
    <x v="0"/>
    <n v="592353"/>
    <n v="552471"/>
    <x v="4"/>
    <x v="1"/>
    <x v="2"/>
    <n v="39882"/>
    <n v="7.2188404459238589"/>
    <s v="Work in progress"/>
  </r>
  <r>
    <s v="P2210"/>
    <s v="Project-419"/>
    <x v="3"/>
    <x v="2"/>
    <x v="187"/>
    <x v="252"/>
    <x v="0"/>
    <n v="426526"/>
    <n v="566761"/>
    <x v="1"/>
    <x v="0"/>
    <x v="0"/>
    <n v="-140235"/>
    <n v="-24.743233920470885"/>
    <s v="Work in progress"/>
  </r>
  <r>
    <s v="P2211"/>
    <s v="Project-437"/>
    <x v="0"/>
    <x v="0"/>
    <x v="312"/>
    <x v="352"/>
    <x v="2"/>
    <n v="702433"/>
    <n v="878268"/>
    <x v="2"/>
    <x v="1"/>
    <x v="2"/>
    <n v="-175835"/>
    <n v="-20.020654287757267"/>
    <s v="Project delivered successfully"/>
  </r>
  <r>
    <s v="P2212"/>
    <s v="Project-465"/>
    <x v="4"/>
    <x v="5"/>
    <x v="417"/>
    <x v="390"/>
    <x v="0"/>
    <n v="923623"/>
    <n v="334608"/>
    <x v="1"/>
    <x v="1"/>
    <x v="1"/>
    <n v="589015"/>
    <n v="176.0313560942954"/>
    <s v="Work in progress"/>
  </r>
  <r>
    <s v="P2213"/>
    <s v="Project-594"/>
    <x v="6"/>
    <x v="7"/>
    <x v="527"/>
    <x v="492"/>
    <x v="2"/>
    <n v="977510"/>
    <n v="981712"/>
    <x v="4"/>
    <x v="1"/>
    <x v="1"/>
    <n v="-4202"/>
    <n v="-0.42802777189236763"/>
    <s v="Project delivered successfully"/>
  </r>
  <r>
    <s v="P2214"/>
    <s v="Project-706"/>
    <x v="2"/>
    <x v="0"/>
    <x v="674"/>
    <x v="163"/>
    <x v="1"/>
    <n v="383963"/>
    <n v="389625"/>
    <x v="2"/>
    <x v="0"/>
    <x v="1"/>
    <n v="-5662"/>
    <n v="-1.4531921719602181"/>
    <s v="Timeline extended"/>
  </r>
  <r>
    <s v="P2215"/>
    <s v="Project-265"/>
    <x v="7"/>
    <x v="4"/>
    <x v="377"/>
    <x v="593"/>
    <x v="0"/>
    <n v="419302"/>
    <n v="1034608"/>
    <x v="0"/>
    <x v="3"/>
    <x v="2"/>
    <n v="-615306"/>
    <n v="-59.472379877209534"/>
    <s v="Work in progress"/>
  </r>
  <r>
    <s v="P2216"/>
    <s v="Project-643"/>
    <x v="5"/>
    <x v="2"/>
    <x v="533"/>
    <x v="35"/>
    <x v="0"/>
    <n v="488292"/>
    <n v="1022187"/>
    <x v="2"/>
    <x v="3"/>
    <x v="0"/>
    <n v="-533895"/>
    <n v="-52.230658382468178"/>
    <s v="Work in progress"/>
  </r>
  <r>
    <s v="P2217"/>
    <s v="Project-110"/>
    <x v="7"/>
    <x v="1"/>
    <x v="450"/>
    <x v="136"/>
    <x v="1"/>
    <n v="249933"/>
    <n v="242875"/>
    <x v="2"/>
    <x v="3"/>
    <x v="1"/>
    <n v="7058"/>
    <n v="2.9060216160576426"/>
    <s v="Timeline extended"/>
  </r>
  <r>
    <s v="P2218"/>
    <s v="Project-400"/>
    <x v="0"/>
    <x v="5"/>
    <x v="579"/>
    <x v="529"/>
    <x v="2"/>
    <n v="801679"/>
    <n v="857946"/>
    <x v="0"/>
    <x v="1"/>
    <x v="0"/>
    <n v="-56267"/>
    <n v="-6.5583381704676054"/>
    <s v="Project delivered successfully"/>
  </r>
  <r>
    <s v="P2219"/>
    <s v="Project-828"/>
    <x v="6"/>
    <x v="1"/>
    <x v="574"/>
    <x v="536"/>
    <x v="0"/>
    <n v="493609"/>
    <n v="1175564"/>
    <x v="3"/>
    <x v="0"/>
    <x v="2"/>
    <n v="-681955"/>
    <n v="-58.010878182727609"/>
    <s v="Work in progress"/>
  </r>
  <r>
    <s v="P2220"/>
    <s v="Project-900"/>
    <x v="0"/>
    <x v="2"/>
    <x v="682"/>
    <x v="293"/>
    <x v="0"/>
    <n v="839575"/>
    <n v="1176691"/>
    <x v="3"/>
    <x v="3"/>
    <x v="1"/>
    <n v="-337116"/>
    <n v="-28.649492517576832"/>
    <s v="Work in progress"/>
  </r>
  <r>
    <s v="P2221"/>
    <s v="Project-201"/>
    <x v="1"/>
    <x v="0"/>
    <x v="353"/>
    <x v="644"/>
    <x v="2"/>
    <n v="806701"/>
    <n v="61516"/>
    <x v="2"/>
    <x v="3"/>
    <x v="0"/>
    <n v="745185"/>
    <n v="1211.3677742375967"/>
    <s v="Project delivered successfully"/>
  </r>
  <r>
    <s v="P2222"/>
    <s v="Project-524"/>
    <x v="2"/>
    <x v="4"/>
    <x v="294"/>
    <x v="627"/>
    <x v="2"/>
    <n v="369649"/>
    <n v="369126"/>
    <x v="2"/>
    <x v="3"/>
    <x v="0"/>
    <n v="523"/>
    <n v="0.14168603674626007"/>
    <s v="Project delivered successfully"/>
  </r>
  <r>
    <s v="P2223"/>
    <s v="Project-491"/>
    <x v="0"/>
    <x v="7"/>
    <x v="260"/>
    <x v="69"/>
    <x v="0"/>
    <n v="455633"/>
    <n v="75099"/>
    <x v="1"/>
    <x v="2"/>
    <x v="1"/>
    <n v="380534"/>
    <n v="506.70980971783911"/>
    <s v="Work in progress"/>
  </r>
  <r>
    <s v="P2224"/>
    <s v="Project-878"/>
    <x v="7"/>
    <x v="2"/>
    <x v="201"/>
    <x v="691"/>
    <x v="0"/>
    <n v="212372"/>
    <n v="906492"/>
    <x v="3"/>
    <x v="0"/>
    <x v="0"/>
    <n v="-694120"/>
    <n v="-76.572104331863926"/>
    <s v="Work in progress"/>
  </r>
  <r>
    <s v="P2225"/>
    <s v="Project-313"/>
    <x v="3"/>
    <x v="3"/>
    <x v="692"/>
    <x v="402"/>
    <x v="1"/>
    <n v="341040"/>
    <n v="791733"/>
    <x v="0"/>
    <x v="2"/>
    <x v="2"/>
    <n v="-450693"/>
    <n v="-56.924872400165206"/>
    <s v="Timeline extended"/>
  </r>
  <r>
    <s v="P2226"/>
    <s v="Project-790"/>
    <x v="3"/>
    <x v="0"/>
    <x v="619"/>
    <x v="692"/>
    <x v="2"/>
    <n v="821829"/>
    <n v="665361"/>
    <x v="2"/>
    <x v="1"/>
    <x v="1"/>
    <n v="156468"/>
    <n v="23.516256588528634"/>
    <s v="Project delivered successfully"/>
  </r>
  <r>
    <s v="P2227"/>
    <s v="Project-187"/>
    <x v="1"/>
    <x v="1"/>
    <x v="353"/>
    <x v="266"/>
    <x v="3"/>
    <n v="808339"/>
    <n v="867620"/>
    <x v="2"/>
    <x v="3"/>
    <x v="1"/>
    <n v="-59281"/>
    <n v="-6.8325995251377334"/>
    <s v="Project cancelled"/>
  </r>
  <r>
    <s v="P2228"/>
    <s v="Project-652"/>
    <x v="4"/>
    <x v="5"/>
    <x v="489"/>
    <x v="278"/>
    <x v="2"/>
    <n v="362773"/>
    <n v="559848"/>
    <x v="1"/>
    <x v="1"/>
    <x v="1"/>
    <n v="-197075"/>
    <n v="-35.201518983724156"/>
    <s v="Project delivered successfully"/>
  </r>
  <r>
    <s v="P2229"/>
    <s v="Project-500"/>
    <x v="7"/>
    <x v="2"/>
    <x v="657"/>
    <x v="343"/>
    <x v="1"/>
    <n v="470822"/>
    <n v="534373"/>
    <x v="1"/>
    <x v="0"/>
    <x v="1"/>
    <n v="-63551"/>
    <n v="-11.892629305747109"/>
    <s v="Timeline extended"/>
  </r>
  <r>
    <s v="P2230"/>
    <s v="Project-687"/>
    <x v="7"/>
    <x v="1"/>
    <x v="251"/>
    <x v="608"/>
    <x v="0"/>
    <n v="614204"/>
    <n v="138763"/>
    <x v="1"/>
    <x v="1"/>
    <x v="2"/>
    <n v="475441"/>
    <n v="342.62807808998076"/>
    <s v="Work in progress"/>
  </r>
  <r>
    <s v="P2231"/>
    <s v="Project-988"/>
    <x v="0"/>
    <x v="0"/>
    <x v="245"/>
    <x v="289"/>
    <x v="2"/>
    <n v="111330"/>
    <n v="500409"/>
    <x v="4"/>
    <x v="1"/>
    <x v="2"/>
    <n v="-389079"/>
    <n v="-77.752198701462206"/>
    <s v="Project delivered successfully"/>
  </r>
  <r>
    <s v="P2232"/>
    <s v="Project-145"/>
    <x v="2"/>
    <x v="1"/>
    <x v="597"/>
    <x v="186"/>
    <x v="0"/>
    <n v="843983"/>
    <n v="245448"/>
    <x v="0"/>
    <x v="3"/>
    <x v="0"/>
    <n v="598535"/>
    <n v="243.8540953684691"/>
    <s v="Work in progress"/>
  </r>
  <r>
    <s v="P2233"/>
    <s v="Project-771"/>
    <x v="7"/>
    <x v="2"/>
    <x v="536"/>
    <x v="309"/>
    <x v="2"/>
    <n v="413116"/>
    <n v="1120006"/>
    <x v="4"/>
    <x v="0"/>
    <x v="2"/>
    <n v="-706890"/>
    <n v="-63.114840456211837"/>
    <s v="Project delivered successfully"/>
  </r>
  <r>
    <s v="P2234"/>
    <s v="Project-562"/>
    <x v="5"/>
    <x v="0"/>
    <x v="693"/>
    <x v="142"/>
    <x v="0"/>
    <n v="431767"/>
    <n v="237932"/>
    <x v="2"/>
    <x v="1"/>
    <x v="0"/>
    <n v="193835"/>
    <n v="81.466553469058383"/>
    <s v="Work in progress"/>
  </r>
  <r>
    <s v="P2235"/>
    <s v="Project-691"/>
    <x v="4"/>
    <x v="3"/>
    <x v="375"/>
    <x v="109"/>
    <x v="0"/>
    <n v="761782"/>
    <n v="159189"/>
    <x v="1"/>
    <x v="2"/>
    <x v="0"/>
    <n v="602593"/>
    <n v="378.53934631161701"/>
    <s v="Work in progress"/>
  </r>
  <r>
    <s v="P2236"/>
    <s v="Project-409"/>
    <x v="0"/>
    <x v="2"/>
    <x v="442"/>
    <x v="265"/>
    <x v="1"/>
    <n v="559068"/>
    <n v="1030598"/>
    <x v="1"/>
    <x v="3"/>
    <x v="1"/>
    <n v="-471530"/>
    <n v="-45.753048230250783"/>
    <s v="Timeline extended"/>
  </r>
  <r>
    <s v="P2237"/>
    <s v="Project-185"/>
    <x v="5"/>
    <x v="7"/>
    <x v="497"/>
    <x v="46"/>
    <x v="1"/>
    <n v="425360"/>
    <n v="1062302"/>
    <x v="1"/>
    <x v="2"/>
    <x v="0"/>
    <n v="-636942"/>
    <n v="-59.958655824803117"/>
    <s v="Timeline extended"/>
  </r>
  <r>
    <s v="P2238"/>
    <s v="Project-191"/>
    <x v="1"/>
    <x v="6"/>
    <x v="513"/>
    <x v="381"/>
    <x v="0"/>
    <n v="904214"/>
    <n v="336658"/>
    <x v="3"/>
    <x v="3"/>
    <x v="1"/>
    <n v="567556"/>
    <n v="168.58532991938407"/>
    <s v="Work in progress"/>
  </r>
  <r>
    <s v="P2239"/>
    <s v="Project-759"/>
    <x v="3"/>
    <x v="4"/>
    <x v="101"/>
    <x v="332"/>
    <x v="2"/>
    <n v="377535"/>
    <n v="241980"/>
    <x v="0"/>
    <x v="1"/>
    <x v="0"/>
    <n v="135555"/>
    <n v="56.019092486982395"/>
    <s v="Project delivered successfully"/>
  </r>
  <r>
    <s v="P2240"/>
    <s v="Project-772"/>
    <x v="1"/>
    <x v="2"/>
    <x v="63"/>
    <x v="379"/>
    <x v="0"/>
    <n v="417101"/>
    <n v="960135"/>
    <x v="4"/>
    <x v="3"/>
    <x v="2"/>
    <n v="-543034"/>
    <n v="-56.558088185515572"/>
    <s v="Work in progress"/>
  </r>
  <r>
    <s v="P2241"/>
    <s v="Project-813"/>
    <x v="3"/>
    <x v="0"/>
    <x v="88"/>
    <x v="110"/>
    <x v="0"/>
    <n v="697834"/>
    <n v="100408"/>
    <x v="0"/>
    <x v="1"/>
    <x v="1"/>
    <n v="597426"/>
    <n v="594.99840650147405"/>
    <s v="Work in progress"/>
  </r>
  <r>
    <s v="P2242"/>
    <s v="Project-341"/>
    <x v="1"/>
    <x v="5"/>
    <x v="676"/>
    <x v="665"/>
    <x v="1"/>
    <n v="961438"/>
    <n v="859773"/>
    <x v="1"/>
    <x v="2"/>
    <x v="0"/>
    <n v="101665"/>
    <n v="11.824632780978234"/>
    <s v="Timeline extended"/>
  </r>
  <r>
    <s v="P2243"/>
    <s v="Project-964"/>
    <x v="7"/>
    <x v="4"/>
    <x v="239"/>
    <x v="692"/>
    <x v="0"/>
    <n v="637699"/>
    <n v="174763"/>
    <x v="2"/>
    <x v="1"/>
    <x v="2"/>
    <n v="462936"/>
    <n v="264.8935987594628"/>
    <s v="Work in progress"/>
  </r>
  <r>
    <s v="P2244"/>
    <s v="Project-101"/>
    <x v="5"/>
    <x v="2"/>
    <x v="287"/>
    <x v="77"/>
    <x v="1"/>
    <n v="814797"/>
    <n v="266192"/>
    <x v="3"/>
    <x v="3"/>
    <x v="2"/>
    <n v="548605"/>
    <n v="206.09372182484825"/>
    <s v="Timeline extended"/>
  </r>
  <r>
    <s v="P2245"/>
    <s v="Project-324"/>
    <x v="3"/>
    <x v="3"/>
    <x v="522"/>
    <x v="426"/>
    <x v="0"/>
    <n v="123185"/>
    <n v="388121"/>
    <x v="0"/>
    <x v="3"/>
    <x v="1"/>
    <n v="-264936"/>
    <n v="-68.261186588718473"/>
    <s v="Work in progress"/>
  </r>
  <r>
    <s v="P2246"/>
    <s v="Project-900"/>
    <x v="0"/>
    <x v="5"/>
    <x v="197"/>
    <x v="80"/>
    <x v="2"/>
    <n v="549961"/>
    <n v="594312"/>
    <x v="2"/>
    <x v="3"/>
    <x v="1"/>
    <n v="-44351"/>
    <n v="-7.4625785782551928"/>
    <s v="Project delivered successfully"/>
  </r>
  <r>
    <s v="P2247"/>
    <s v="Project-844"/>
    <x v="5"/>
    <x v="3"/>
    <x v="539"/>
    <x v="290"/>
    <x v="2"/>
    <n v="706248"/>
    <n v="851601"/>
    <x v="1"/>
    <x v="2"/>
    <x v="1"/>
    <n v="-145353"/>
    <n v="-17.068204476039835"/>
    <s v="Project delivered successfully"/>
  </r>
  <r>
    <s v="P2248"/>
    <s v="Project-688"/>
    <x v="0"/>
    <x v="7"/>
    <x v="663"/>
    <x v="681"/>
    <x v="0"/>
    <n v="550735"/>
    <n v="370791"/>
    <x v="1"/>
    <x v="0"/>
    <x v="0"/>
    <n v="179944"/>
    <n v="48.529764746177769"/>
    <s v="Work in progress"/>
  </r>
  <r>
    <s v="P2249"/>
    <s v="Project-215"/>
    <x v="5"/>
    <x v="5"/>
    <x v="393"/>
    <x v="541"/>
    <x v="0"/>
    <n v="177574"/>
    <n v="270739"/>
    <x v="1"/>
    <x v="2"/>
    <x v="1"/>
    <n v="-93165"/>
    <n v="-34.411370360383984"/>
    <s v="Work in progress"/>
  </r>
  <r>
    <s v="P2250"/>
    <s v="Project-765"/>
    <x v="5"/>
    <x v="1"/>
    <x v="291"/>
    <x v="20"/>
    <x v="1"/>
    <n v="762495"/>
    <n v="217401"/>
    <x v="1"/>
    <x v="1"/>
    <x v="2"/>
    <n v="545094"/>
    <n v="250.7320573502422"/>
    <s v="Timeline extended"/>
  </r>
  <r>
    <s v="P2251"/>
    <s v="Project-202"/>
    <x v="1"/>
    <x v="6"/>
    <x v="440"/>
    <x v="587"/>
    <x v="2"/>
    <n v="79424"/>
    <n v="474374"/>
    <x v="3"/>
    <x v="1"/>
    <x v="2"/>
    <n v="-394950"/>
    <n v="-83.257092505069835"/>
    <s v="Project delivered successfully"/>
  </r>
  <r>
    <s v="P2252"/>
    <s v="Project-293"/>
    <x v="3"/>
    <x v="5"/>
    <x v="498"/>
    <x v="581"/>
    <x v="0"/>
    <n v="91559"/>
    <n v="269354"/>
    <x v="3"/>
    <x v="2"/>
    <x v="1"/>
    <n v="-177795"/>
    <n v="-66.00793008457272"/>
    <s v="Work in progress"/>
  </r>
  <r>
    <s v="P2253"/>
    <s v="Project-265"/>
    <x v="3"/>
    <x v="4"/>
    <x v="653"/>
    <x v="456"/>
    <x v="0"/>
    <n v="560926"/>
    <n v="178865"/>
    <x v="0"/>
    <x v="2"/>
    <x v="1"/>
    <n v="382061"/>
    <n v="213.60299667346879"/>
    <s v="Work in progress"/>
  </r>
  <r>
    <s v="P2254"/>
    <s v="Project-970"/>
    <x v="2"/>
    <x v="5"/>
    <x v="228"/>
    <x v="329"/>
    <x v="0"/>
    <n v="298290"/>
    <n v="63677"/>
    <x v="1"/>
    <x v="1"/>
    <x v="2"/>
    <n v="234613"/>
    <n v="368.44229470609486"/>
    <s v="Work in progress"/>
  </r>
  <r>
    <s v="P2255"/>
    <s v="Project-189"/>
    <x v="5"/>
    <x v="0"/>
    <x v="264"/>
    <x v="93"/>
    <x v="0"/>
    <n v="323219"/>
    <n v="839454"/>
    <x v="3"/>
    <x v="1"/>
    <x v="0"/>
    <n v="-516235"/>
    <n v="-61.496520357279849"/>
    <s v="Work in progress"/>
  </r>
  <r>
    <s v="P2256"/>
    <s v="Project-785"/>
    <x v="7"/>
    <x v="6"/>
    <x v="0"/>
    <x v="138"/>
    <x v="0"/>
    <n v="465915"/>
    <n v="1018652"/>
    <x v="2"/>
    <x v="1"/>
    <x v="2"/>
    <n v="-552737"/>
    <n v="-54.261612405414219"/>
    <s v="Work in progress"/>
  </r>
  <r>
    <s v="P2257"/>
    <s v="Project-221"/>
    <x v="7"/>
    <x v="0"/>
    <x v="346"/>
    <x v="279"/>
    <x v="0"/>
    <n v="753332"/>
    <n v="188337"/>
    <x v="3"/>
    <x v="0"/>
    <x v="2"/>
    <n v="564995"/>
    <n v="299.99150459017613"/>
    <s v="Work in progress"/>
  </r>
  <r>
    <s v="P2258"/>
    <s v="Project-242"/>
    <x v="0"/>
    <x v="1"/>
    <x v="547"/>
    <x v="650"/>
    <x v="1"/>
    <n v="559968"/>
    <n v="554818"/>
    <x v="3"/>
    <x v="0"/>
    <x v="2"/>
    <n v="5150"/>
    <n v="0.92823232122966459"/>
    <s v="Timeline extended"/>
  </r>
  <r>
    <s v="P2259"/>
    <s v="Project-205"/>
    <x v="0"/>
    <x v="5"/>
    <x v="350"/>
    <x v="558"/>
    <x v="2"/>
    <n v="322094"/>
    <n v="301695"/>
    <x v="0"/>
    <x v="2"/>
    <x v="1"/>
    <n v="20399"/>
    <n v="6.7614643928470803"/>
    <s v="Project delivered successfully"/>
  </r>
  <r>
    <s v="P2260"/>
    <s v="Project-986"/>
    <x v="1"/>
    <x v="3"/>
    <x v="536"/>
    <x v="637"/>
    <x v="1"/>
    <n v="710773"/>
    <n v="320538"/>
    <x v="3"/>
    <x v="2"/>
    <x v="0"/>
    <n v="390235"/>
    <n v="121.74375581054353"/>
    <s v="Timeline extended"/>
  </r>
  <r>
    <s v="P2261"/>
    <s v="Project-527"/>
    <x v="5"/>
    <x v="3"/>
    <x v="644"/>
    <x v="495"/>
    <x v="2"/>
    <n v="89305"/>
    <n v="597275"/>
    <x v="2"/>
    <x v="0"/>
    <x v="0"/>
    <n v="-507970"/>
    <n v="-85.047925997237456"/>
    <s v="Project delivered successfully"/>
  </r>
  <r>
    <s v="P2262"/>
    <s v="Project-404"/>
    <x v="0"/>
    <x v="2"/>
    <x v="266"/>
    <x v="337"/>
    <x v="1"/>
    <n v="572037"/>
    <n v="884528"/>
    <x v="1"/>
    <x v="3"/>
    <x v="1"/>
    <n v="-312491"/>
    <n v="-35.328559412477617"/>
    <s v="Timeline extended"/>
  </r>
  <r>
    <s v="P2263"/>
    <s v="Project-971"/>
    <x v="0"/>
    <x v="7"/>
    <x v="264"/>
    <x v="693"/>
    <x v="2"/>
    <n v="315713"/>
    <n v="32781"/>
    <x v="4"/>
    <x v="0"/>
    <x v="2"/>
    <n v="282932"/>
    <n v="863.0975260059181"/>
    <s v="Project delivered successfully"/>
  </r>
  <r>
    <s v="P2264"/>
    <s v="Project-416"/>
    <x v="4"/>
    <x v="4"/>
    <x v="530"/>
    <x v="627"/>
    <x v="2"/>
    <n v="116778"/>
    <n v="1095906"/>
    <x v="0"/>
    <x v="2"/>
    <x v="1"/>
    <n v="-979128"/>
    <n v="-89.344159079337089"/>
    <s v="Project delivered successfully"/>
  </r>
  <r>
    <s v="P2265"/>
    <s v="Project-734"/>
    <x v="5"/>
    <x v="6"/>
    <x v="694"/>
    <x v="267"/>
    <x v="3"/>
    <n v="414777"/>
    <n v="612930"/>
    <x v="2"/>
    <x v="0"/>
    <x v="1"/>
    <n v="-198153"/>
    <n v="-32.32881405707014"/>
    <s v="Project cancelled"/>
  </r>
  <r>
    <s v="P2266"/>
    <s v="Project-108"/>
    <x v="6"/>
    <x v="7"/>
    <x v="416"/>
    <x v="91"/>
    <x v="2"/>
    <n v="866517"/>
    <n v="343807"/>
    <x v="0"/>
    <x v="3"/>
    <x v="0"/>
    <n v="522710"/>
    <n v="152.03588059579937"/>
    <s v="Project delivered successfully"/>
  </r>
  <r>
    <s v="P2267"/>
    <s v="Project-873"/>
    <x v="1"/>
    <x v="5"/>
    <x v="108"/>
    <x v="375"/>
    <x v="0"/>
    <n v="527061"/>
    <n v="817313"/>
    <x v="1"/>
    <x v="2"/>
    <x v="0"/>
    <n v="-290252"/>
    <n v="-35.512955257043508"/>
    <s v="Work in progress"/>
  </r>
  <r>
    <s v="P2268"/>
    <s v="Project-172"/>
    <x v="0"/>
    <x v="7"/>
    <x v="560"/>
    <x v="433"/>
    <x v="2"/>
    <n v="408451"/>
    <n v="425063"/>
    <x v="3"/>
    <x v="1"/>
    <x v="1"/>
    <n v="-16612"/>
    <n v="-3.9081265600628612"/>
    <s v="Project delivered successfully"/>
  </r>
  <r>
    <s v="P2269"/>
    <s v="Project-458"/>
    <x v="1"/>
    <x v="2"/>
    <x v="161"/>
    <x v="255"/>
    <x v="1"/>
    <n v="928606"/>
    <n v="790263"/>
    <x v="3"/>
    <x v="2"/>
    <x v="1"/>
    <n v="138343"/>
    <n v="17.505944223631882"/>
    <s v="Timeline extended"/>
  </r>
  <r>
    <s v="P2270"/>
    <s v="Project-322"/>
    <x v="3"/>
    <x v="7"/>
    <x v="43"/>
    <x v="253"/>
    <x v="2"/>
    <n v="610451"/>
    <n v="998631"/>
    <x v="2"/>
    <x v="0"/>
    <x v="0"/>
    <n v="-388180"/>
    <n v="-38.871214692914599"/>
    <s v="Project delivered successfully"/>
  </r>
  <r>
    <s v="P2271"/>
    <s v="Project-515"/>
    <x v="1"/>
    <x v="6"/>
    <x v="94"/>
    <x v="476"/>
    <x v="2"/>
    <n v="99592"/>
    <n v="675553"/>
    <x v="1"/>
    <x v="0"/>
    <x v="0"/>
    <n v="-575961"/>
    <n v="-85.257707389353612"/>
    <s v="Project delivered successfully"/>
  </r>
  <r>
    <s v="P2272"/>
    <s v="Project-652"/>
    <x v="6"/>
    <x v="1"/>
    <x v="20"/>
    <x v="296"/>
    <x v="2"/>
    <n v="268223"/>
    <n v="201003"/>
    <x v="4"/>
    <x v="3"/>
    <x v="2"/>
    <n v="67220"/>
    <n v="33.442286931040833"/>
    <s v="Project delivered successfully"/>
  </r>
  <r>
    <s v="P2273"/>
    <s v="Project-469"/>
    <x v="7"/>
    <x v="2"/>
    <x v="378"/>
    <x v="222"/>
    <x v="3"/>
    <n v="238405"/>
    <n v="467140"/>
    <x v="4"/>
    <x v="0"/>
    <x v="1"/>
    <n v="-228735"/>
    <n v="-48.964978379072654"/>
    <s v="Project cancelled"/>
  </r>
  <r>
    <s v="P2274"/>
    <s v="Project-815"/>
    <x v="6"/>
    <x v="1"/>
    <x v="261"/>
    <x v="40"/>
    <x v="0"/>
    <n v="429575"/>
    <n v="839398"/>
    <x v="3"/>
    <x v="3"/>
    <x v="2"/>
    <n v="-409823"/>
    <n v="-48.823442514754625"/>
    <s v="Work in progress"/>
  </r>
  <r>
    <s v="P2275"/>
    <s v="Project-363"/>
    <x v="7"/>
    <x v="5"/>
    <x v="571"/>
    <x v="622"/>
    <x v="2"/>
    <n v="582327"/>
    <n v="1089896"/>
    <x v="1"/>
    <x v="2"/>
    <x v="2"/>
    <n v="-507569"/>
    <n v="-46.570406717705175"/>
    <s v="Project delivered successfully"/>
  </r>
  <r>
    <s v="P2276"/>
    <s v="Project-939"/>
    <x v="1"/>
    <x v="2"/>
    <x v="322"/>
    <x v="677"/>
    <x v="0"/>
    <n v="189270"/>
    <n v="619413"/>
    <x v="1"/>
    <x v="0"/>
    <x v="2"/>
    <n v="-430143"/>
    <n v="-69.443650682178131"/>
    <s v="Work in progress"/>
  </r>
  <r>
    <s v="P2277"/>
    <s v="Project-789"/>
    <x v="7"/>
    <x v="5"/>
    <x v="201"/>
    <x v="578"/>
    <x v="2"/>
    <n v="215426"/>
    <n v="1015256"/>
    <x v="2"/>
    <x v="2"/>
    <x v="0"/>
    <n v="-799830"/>
    <n v="-78.781115304908326"/>
    <s v="Project delivered successfully"/>
  </r>
  <r>
    <s v="P2278"/>
    <s v="Project-959"/>
    <x v="3"/>
    <x v="5"/>
    <x v="37"/>
    <x v="411"/>
    <x v="2"/>
    <n v="820873"/>
    <n v="265077"/>
    <x v="4"/>
    <x v="1"/>
    <x v="2"/>
    <n v="555796"/>
    <n v="209.67341564903782"/>
    <s v="Project delivered successfully"/>
  </r>
  <r>
    <s v="P2279"/>
    <s v="Project-417"/>
    <x v="5"/>
    <x v="7"/>
    <x v="244"/>
    <x v="210"/>
    <x v="0"/>
    <n v="315968"/>
    <n v="1195872"/>
    <x v="2"/>
    <x v="1"/>
    <x v="0"/>
    <n v="-879904"/>
    <n v="-73.578443177865196"/>
    <s v="Work in progress"/>
  </r>
  <r>
    <s v="P2280"/>
    <s v="Project-183"/>
    <x v="7"/>
    <x v="1"/>
    <x v="324"/>
    <x v="648"/>
    <x v="0"/>
    <n v="886852"/>
    <n v="155355"/>
    <x v="0"/>
    <x v="3"/>
    <x v="0"/>
    <n v="731497"/>
    <n v="470.85513823179167"/>
    <s v="Work in progress"/>
  </r>
  <r>
    <s v="P2281"/>
    <s v="Project-417"/>
    <x v="7"/>
    <x v="5"/>
    <x v="398"/>
    <x v="118"/>
    <x v="2"/>
    <n v="401679"/>
    <n v="481930"/>
    <x v="1"/>
    <x v="0"/>
    <x v="0"/>
    <n v="-80251"/>
    <n v="-16.652003402983837"/>
    <s v="Project delivered successfully"/>
  </r>
  <r>
    <s v="P2282"/>
    <s v="Project-210"/>
    <x v="1"/>
    <x v="1"/>
    <x v="337"/>
    <x v="545"/>
    <x v="0"/>
    <n v="53436"/>
    <n v="41780"/>
    <x v="4"/>
    <x v="2"/>
    <x v="1"/>
    <n v="11656"/>
    <n v="27.898516036381043"/>
    <s v="Work in progress"/>
  </r>
  <r>
    <s v="P2283"/>
    <s v="Project-350"/>
    <x v="3"/>
    <x v="1"/>
    <x v="627"/>
    <x v="640"/>
    <x v="0"/>
    <n v="667838"/>
    <n v="892662"/>
    <x v="2"/>
    <x v="2"/>
    <x v="2"/>
    <n v="-224824"/>
    <n v="-25.185792606832148"/>
    <s v="Work in progress"/>
  </r>
  <r>
    <s v="P2284"/>
    <s v="Project-482"/>
    <x v="2"/>
    <x v="2"/>
    <x v="276"/>
    <x v="41"/>
    <x v="1"/>
    <n v="746217"/>
    <n v="544249"/>
    <x v="3"/>
    <x v="0"/>
    <x v="0"/>
    <n v="201968"/>
    <n v="37.109484813017573"/>
    <s v="Timeline extended"/>
  </r>
  <r>
    <s v="P2285"/>
    <s v="Project-106"/>
    <x v="2"/>
    <x v="0"/>
    <x v="484"/>
    <x v="623"/>
    <x v="0"/>
    <n v="66057"/>
    <n v="1029602"/>
    <x v="0"/>
    <x v="2"/>
    <x v="1"/>
    <n v="-963545"/>
    <n v="-93.58421992187273"/>
    <s v="Work in progress"/>
  </r>
  <r>
    <s v="P2286"/>
    <s v="Project-558"/>
    <x v="2"/>
    <x v="7"/>
    <x v="71"/>
    <x v="372"/>
    <x v="0"/>
    <n v="575598"/>
    <n v="666984"/>
    <x v="2"/>
    <x v="0"/>
    <x v="1"/>
    <n v="-91386"/>
    <n v="-13.701378144003455"/>
    <s v="Work in progress"/>
  </r>
  <r>
    <s v="P2287"/>
    <s v="Project-183"/>
    <x v="2"/>
    <x v="5"/>
    <x v="292"/>
    <x v="107"/>
    <x v="1"/>
    <n v="701201"/>
    <n v="660363"/>
    <x v="3"/>
    <x v="0"/>
    <x v="1"/>
    <n v="40838"/>
    <n v="6.1841744616218657"/>
    <s v="Timeline extended"/>
  </r>
  <r>
    <s v="P2288"/>
    <s v="Project-307"/>
    <x v="5"/>
    <x v="1"/>
    <x v="449"/>
    <x v="654"/>
    <x v="0"/>
    <n v="518571"/>
    <n v="163001"/>
    <x v="4"/>
    <x v="1"/>
    <x v="0"/>
    <n v="355570"/>
    <n v="218.13976601370544"/>
    <s v="Work in progress"/>
  </r>
  <r>
    <s v="P2289"/>
    <s v="Project-489"/>
    <x v="6"/>
    <x v="4"/>
    <x v="264"/>
    <x v="80"/>
    <x v="0"/>
    <n v="819129"/>
    <n v="540452"/>
    <x v="4"/>
    <x v="0"/>
    <x v="0"/>
    <n v="278677"/>
    <n v="51.563691132607524"/>
    <s v="Work in progress"/>
  </r>
  <r>
    <s v="P2290"/>
    <s v="Project-413"/>
    <x v="1"/>
    <x v="0"/>
    <x v="341"/>
    <x v="249"/>
    <x v="2"/>
    <n v="829276"/>
    <n v="935954"/>
    <x v="0"/>
    <x v="2"/>
    <x v="0"/>
    <n v="-106678"/>
    <n v="-11.397782369646372"/>
    <s v="Project delivered successfully"/>
  </r>
  <r>
    <s v="P2291"/>
    <s v="Project-121"/>
    <x v="1"/>
    <x v="5"/>
    <x v="331"/>
    <x v="685"/>
    <x v="2"/>
    <n v="640301"/>
    <n v="914847"/>
    <x v="3"/>
    <x v="0"/>
    <x v="1"/>
    <n v="-274546"/>
    <n v="-30.010045395568874"/>
    <s v="Project delivered successfully"/>
  </r>
  <r>
    <s v="P2292"/>
    <s v="Project-509"/>
    <x v="4"/>
    <x v="4"/>
    <x v="73"/>
    <x v="69"/>
    <x v="1"/>
    <n v="896454"/>
    <n v="926147"/>
    <x v="1"/>
    <x v="1"/>
    <x v="0"/>
    <n v="-29693"/>
    <n v="-3.2060785166933545"/>
    <s v="Timeline extended"/>
  </r>
  <r>
    <s v="P2293"/>
    <s v="Project-994"/>
    <x v="3"/>
    <x v="7"/>
    <x v="275"/>
    <x v="466"/>
    <x v="1"/>
    <n v="714266"/>
    <n v="152636"/>
    <x v="4"/>
    <x v="1"/>
    <x v="2"/>
    <n v="561630"/>
    <n v="367.95382478576482"/>
    <s v="Timeline extended"/>
  </r>
  <r>
    <s v="P2294"/>
    <s v="Project-614"/>
    <x v="2"/>
    <x v="7"/>
    <x v="662"/>
    <x v="411"/>
    <x v="2"/>
    <n v="715228"/>
    <n v="1089692"/>
    <x v="1"/>
    <x v="3"/>
    <x v="0"/>
    <n v="-374464"/>
    <n v="-34.364205665454087"/>
    <s v="Project delivered successfully"/>
  </r>
  <r>
    <s v="P2295"/>
    <s v="Project-226"/>
    <x v="5"/>
    <x v="1"/>
    <x v="339"/>
    <x v="280"/>
    <x v="0"/>
    <n v="592834"/>
    <n v="459111"/>
    <x v="1"/>
    <x v="2"/>
    <x v="0"/>
    <n v="133723"/>
    <n v="29.126507533036673"/>
    <s v="Work in progress"/>
  </r>
  <r>
    <s v="P2296"/>
    <s v="Project-908"/>
    <x v="3"/>
    <x v="1"/>
    <x v="451"/>
    <x v="137"/>
    <x v="0"/>
    <n v="148812"/>
    <n v="578155"/>
    <x v="2"/>
    <x v="0"/>
    <x v="2"/>
    <n v="-429343"/>
    <n v="-74.260881597495469"/>
    <s v="Work in progress"/>
  </r>
  <r>
    <s v="P2297"/>
    <s v="Project-799"/>
    <x v="2"/>
    <x v="6"/>
    <x v="255"/>
    <x v="272"/>
    <x v="0"/>
    <n v="647143"/>
    <n v="925939"/>
    <x v="2"/>
    <x v="2"/>
    <x v="0"/>
    <n v="-278796"/>
    <n v="-30.109542853254911"/>
    <s v="Work in progress"/>
  </r>
  <r>
    <s v="P2298"/>
    <s v="Project-973"/>
    <x v="5"/>
    <x v="6"/>
    <x v="540"/>
    <x v="578"/>
    <x v="0"/>
    <n v="607437"/>
    <n v="357716"/>
    <x v="4"/>
    <x v="2"/>
    <x v="0"/>
    <n v="249721"/>
    <n v="69.80984915407754"/>
    <s v="Work in progress"/>
  </r>
  <r>
    <s v="P2299"/>
    <s v="Project-113"/>
    <x v="3"/>
    <x v="5"/>
    <x v="414"/>
    <x v="387"/>
    <x v="2"/>
    <n v="425735"/>
    <n v="488450"/>
    <x v="1"/>
    <x v="0"/>
    <x v="0"/>
    <n v="-62715"/>
    <n v="-12.839594636093764"/>
    <s v="Project delivered successfully"/>
  </r>
  <r>
    <s v="P2300"/>
    <s v="Project-111"/>
    <x v="1"/>
    <x v="2"/>
    <x v="362"/>
    <x v="465"/>
    <x v="2"/>
    <n v="248453"/>
    <n v="1162324"/>
    <x v="2"/>
    <x v="1"/>
    <x v="0"/>
    <n v="-913871"/>
    <n v="-78.624462714355033"/>
    <s v="Project delivered successfully"/>
  </r>
  <r>
    <s v="P2301"/>
    <s v="Project-186"/>
    <x v="1"/>
    <x v="0"/>
    <x v="262"/>
    <x v="150"/>
    <x v="0"/>
    <n v="729044"/>
    <n v="172324"/>
    <x v="3"/>
    <x v="2"/>
    <x v="1"/>
    <n v="556720"/>
    <n v="323.06585269608411"/>
    <s v="Work in progress"/>
  </r>
  <r>
    <s v="P2302"/>
    <s v="Project-623"/>
    <x v="6"/>
    <x v="5"/>
    <x v="388"/>
    <x v="188"/>
    <x v="1"/>
    <n v="342002"/>
    <n v="115261"/>
    <x v="3"/>
    <x v="3"/>
    <x v="0"/>
    <n v="226741"/>
    <n v="196.71961895177031"/>
    <s v="Timeline extended"/>
  </r>
  <r>
    <s v="P2303"/>
    <s v="Project-636"/>
    <x v="0"/>
    <x v="0"/>
    <x v="511"/>
    <x v="523"/>
    <x v="0"/>
    <n v="95330"/>
    <n v="954510"/>
    <x v="3"/>
    <x v="2"/>
    <x v="2"/>
    <n v="-859180"/>
    <n v="-90.01267666132361"/>
    <s v="Work in progress"/>
  </r>
  <r>
    <s v="P2304"/>
    <s v="Project-400"/>
    <x v="6"/>
    <x v="1"/>
    <x v="678"/>
    <x v="117"/>
    <x v="0"/>
    <n v="829340"/>
    <n v="798731"/>
    <x v="3"/>
    <x v="1"/>
    <x v="2"/>
    <n v="30609"/>
    <n v="3.8322038333306203"/>
    <s v="Work in progress"/>
  </r>
  <r>
    <s v="P2305"/>
    <s v="Project-342"/>
    <x v="7"/>
    <x v="7"/>
    <x v="387"/>
    <x v="259"/>
    <x v="2"/>
    <n v="764564"/>
    <n v="250667"/>
    <x v="1"/>
    <x v="3"/>
    <x v="1"/>
    <n v="513897"/>
    <n v="205.01182844171751"/>
    <s v="Project delivered successfully"/>
  </r>
  <r>
    <s v="P2306"/>
    <s v="Project-221"/>
    <x v="6"/>
    <x v="1"/>
    <x v="537"/>
    <x v="576"/>
    <x v="0"/>
    <n v="404347"/>
    <n v="586459"/>
    <x v="3"/>
    <x v="3"/>
    <x v="0"/>
    <n v="-182112"/>
    <n v="-31.052810170872984"/>
    <s v="Work in progress"/>
  </r>
  <r>
    <s v="P2307"/>
    <s v="Project-246"/>
    <x v="2"/>
    <x v="7"/>
    <x v="695"/>
    <x v="676"/>
    <x v="0"/>
    <n v="337437"/>
    <n v="185346"/>
    <x v="1"/>
    <x v="3"/>
    <x v="2"/>
    <n v="152091"/>
    <n v="82.057880936195005"/>
    <s v="Work in progress"/>
  </r>
  <r>
    <s v="P2308"/>
    <s v="Project-666"/>
    <x v="4"/>
    <x v="6"/>
    <x v="696"/>
    <x v="288"/>
    <x v="0"/>
    <n v="893301"/>
    <n v="581936"/>
    <x v="4"/>
    <x v="3"/>
    <x v="1"/>
    <n v="311365"/>
    <n v="53.50502460751698"/>
    <s v="Work in progress"/>
  </r>
  <r>
    <s v="P2309"/>
    <s v="Project-849"/>
    <x v="3"/>
    <x v="5"/>
    <x v="31"/>
    <x v="630"/>
    <x v="0"/>
    <n v="926861"/>
    <n v="361798"/>
    <x v="4"/>
    <x v="0"/>
    <x v="0"/>
    <n v="565063"/>
    <n v="156.18190260863798"/>
    <s v="Work in progress"/>
  </r>
  <r>
    <s v="P2310"/>
    <s v="Project-455"/>
    <x v="4"/>
    <x v="6"/>
    <x v="268"/>
    <x v="93"/>
    <x v="2"/>
    <n v="185701"/>
    <n v="287471"/>
    <x v="3"/>
    <x v="0"/>
    <x v="1"/>
    <n v="-101770"/>
    <n v="-35.401831836950507"/>
    <s v="Project delivered successfully"/>
  </r>
  <r>
    <s v="P2311"/>
    <s v="Project-784"/>
    <x v="0"/>
    <x v="7"/>
    <x v="352"/>
    <x v="260"/>
    <x v="1"/>
    <n v="55704"/>
    <n v="239691"/>
    <x v="3"/>
    <x v="0"/>
    <x v="0"/>
    <n v="-183987"/>
    <n v="-76.760078601199041"/>
    <s v="Timeline extended"/>
  </r>
  <r>
    <s v="P2312"/>
    <s v="Project-832"/>
    <x v="7"/>
    <x v="1"/>
    <x v="176"/>
    <x v="625"/>
    <x v="0"/>
    <n v="182848"/>
    <n v="79647"/>
    <x v="3"/>
    <x v="3"/>
    <x v="1"/>
    <n v="103201"/>
    <n v="129.57299082200208"/>
    <s v="Work in progress"/>
  </r>
  <r>
    <s v="P2313"/>
    <s v="Project-730"/>
    <x v="3"/>
    <x v="6"/>
    <x v="456"/>
    <x v="356"/>
    <x v="0"/>
    <n v="238327"/>
    <n v="501939"/>
    <x v="4"/>
    <x v="1"/>
    <x v="1"/>
    <n v="-263612"/>
    <n v="-52.518732355923724"/>
    <s v="Work in progress"/>
  </r>
  <r>
    <s v="P2314"/>
    <s v="Project-408"/>
    <x v="5"/>
    <x v="3"/>
    <x v="536"/>
    <x v="543"/>
    <x v="2"/>
    <n v="622569"/>
    <n v="982254"/>
    <x v="2"/>
    <x v="2"/>
    <x v="2"/>
    <n v="-359685"/>
    <n v="-36.618328864020917"/>
    <s v="Project delivered successfully"/>
  </r>
  <r>
    <s v="P2315"/>
    <s v="Project-794"/>
    <x v="2"/>
    <x v="0"/>
    <x v="47"/>
    <x v="384"/>
    <x v="1"/>
    <n v="691260"/>
    <n v="414560"/>
    <x v="4"/>
    <x v="3"/>
    <x v="2"/>
    <n v="276700"/>
    <n v="66.745465071401"/>
    <s v="Timeline extended"/>
  </r>
  <r>
    <s v="P2316"/>
    <s v="Project-387"/>
    <x v="7"/>
    <x v="4"/>
    <x v="452"/>
    <x v="156"/>
    <x v="0"/>
    <n v="163532"/>
    <n v="1028958"/>
    <x v="3"/>
    <x v="1"/>
    <x v="1"/>
    <n v="-865426"/>
    <n v="-84.10702866394935"/>
    <s v="Work in progress"/>
  </r>
  <r>
    <s v="P2317"/>
    <s v="Project-406"/>
    <x v="1"/>
    <x v="7"/>
    <x v="314"/>
    <x v="127"/>
    <x v="0"/>
    <n v="474452"/>
    <n v="708514"/>
    <x v="2"/>
    <x v="2"/>
    <x v="0"/>
    <n v="-234062"/>
    <n v="-33.035621032188494"/>
    <s v="Work in progress"/>
  </r>
  <r>
    <s v="P2318"/>
    <s v="Project-911"/>
    <x v="0"/>
    <x v="7"/>
    <x v="691"/>
    <x v="207"/>
    <x v="2"/>
    <n v="116780"/>
    <n v="733526"/>
    <x v="2"/>
    <x v="3"/>
    <x v="0"/>
    <n v="-616746"/>
    <n v="-84.079637258938334"/>
    <s v="Project delivered successfully"/>
  </r>
  <r>
    <s v="P2319"/>
    <s v="Project-693"/>
    <x v="7"/>
    <x v="3"/>
    <x v="104"/>
    <x v="118"/>
    <x v="2"/>
    <n v="968837"/>
    <n v="1016059"/>
    <x v="0"/>
    <x v="2"/>
    <x v="0"/>
    <n v="-47222"/>
    <n v="-4.6475647575583698"/>
    <s v="Project delivered successfully"/>
  </r>
  <r>
    <s v="P2320"/>
    <s v="Project-822"/>
    <x v="2"/>
    <x v="5"/>
    <x v="34"/>
    <x v="448"/>
    <x v="0"/>
    <n v="250277"/>
    <n v="31304"/>
    <x v="1"/>
    <x v="0"/>
    <x v="0"/>
    <n v="218973"/>
    <n v="699.50485560950676"/>
    <s v="Work in progress"/>
  </r>
  <r>
    <s v="P2321"/>
    <s v="Project-761"/>
    <x v="6"/>
    <x v="5"/>
    <x v="430"/>
    <x v="575"/>
    <x v="2"/>
    <n v="494162"/>
    <n v="677010"/>
    <x v="3"/>
    <x v="0"/>
    <x v="0"/>
    <n v="-182848"/>
    <n v="-27.008168269301784"/>
    <s v="Project delivered successfully"/>
  </r>
  <r>
    <s v="P2322"/>
    <s v="Project-648"/>
    <x v="7"/>
    <x v="5"/>
    <x v="323"/>
    <x v="382"/>
    <x v="0"/>
    <n v="294955"/>
    <n v="928880"/>
    <x v="1"/>
    <x v="0"/>
    <x v="2"/>
    <n v="-633925"/>
    <n v="-68.246167427439502"/>
    <s v="Work in progress"/>
  </r>
  <r>
    <s v="P2323"/>
    <s v="Project-451"/>
    <x v="6"/>
    <x v="4"/>
    <x v="301"/>
    <x v="332"/>
    <x v="0"/>
    <n v="367477"/>
    <n v="996788"/>
    <x v="0"/>
    <x v="1"/>
    <x v="1"/>
    <n v="-629311"/>
    <n v="-63.133886041966804"/>
    <s v="Work in progress"/>
  </r>
  <r>
    <s v="P2324"/>
    <s v="Project-411"/>
    <x v="2"/>
    <x v="2"/>
    <x v="178"/>
    <x v="252"/>
    <x v="0"/>
    <n v="732637"/>
    <n v="898800"/>
    <x v="1"/>
    <x v="0"/>
    <x v="2"/>
    <n v="-166163"/>
    <n v="-18.487205162438809"/>
    <s v="Work in progress"/>
  </r>
  <r>
    <s v="P2325"/>
    <s v="Project-972"/>
    <x v="1"/>
    <x v="3"/>
    <x v="438"/>
    <x v="178"/>
    <x v="1"/>
    <n v="755966"/>
    <n v="1166903"/>
    <x v="3"/>
    <x v="1"/>
    <x v="0"/>
    <n v="-410937"/>
    <n v="-35.2160376655129"/>
    <s v="Timeline extended"/>
  </r>
  <r>
    <s v="P2326"/>
    <s v="Project-158"/>
    <x v="3"/>
    <x v="4"/>
    <x v="464"/>
    <x v="444"/>
    <x v="0"/>
    <n v="707293"/>
    <n v="826454"/>
    <x v="0"/>
    <x v="0"/>
    <x v="1"/>
    <n v="-119161"/>
    <n v="-14.418346332645255"/>
    <s v="Work in progress"/>
  </r>
  <r>
    <s v="P2327"/>
    <s v="Project-742"/>
    <x v="5"/>
    <x v="6"/>
    <x v="562"/>
    <x v="644"/>
    <x v="0"/>
    <n v="738874"/>
    <n v="107354"/>
    <x v="1"/>
    <x v="0"/>
    <x v="0"/>
    <n v="631520"/>
    <n v="588.25940346889729"/>
    <s v="Work in progress"/>
  </r>
  <r>
    <s v="P2328"/>
    <s v="Project-813"/>
    <x v="1"/>
    <x v="3"/>
    <x v="151"/>
    <x v="616"/>
    <x v="0"/>
    <n v="303130"/>
    <n v="456833"/>
    <x v="4"/>
    <x v="0"/>
    <x v="0"/>
    <n v="-153703"/>
    <n v="-33.645336479632597"/>
    <s v="Work in progress"/>
  </r>
  <r>
    <s v="P2329"/>
    <s v="Project-854"/>
    <x v="6"/>
    <x v="7"/>
    <x v="472"/>
    <x v="429"/>
    <x v="1"/>
    <n v="288408"/>
    <n v="1198621"/>
    <x v="2"/>
    <x v="1"/>
    <x v="1"/>
    <n v="-910213"/>
    <n v="-75.938349152901537"/>
    <s v="Timeline extended"/>
  </r>
  <r>
    <s v="P2330"/>
    <s v="Project-134"/>
    <x v="6"/>
    <x v="0"/>
    <x v="79"/>
    <x v="563"/>
    <x v="0"/>
    <n v="664181"/>
    <n v="219896"/>
    <x v="0"/>
    <x v="2"/>
    <x v="0"/>
    <n v="444285"/>
    <n v="202.04323862189401"/>
    <s v="Work in progress"/>
  </r>
  <r>
    <s v="P2331"/>
    <s v="Project-544"/>
    <x v="5"/>
    <x v="3"/>
    <x v="690"/>
    <x v="569"/>
    <x v="0"/>
    <n v="797967"/>
    <n v="755750"/>
    <x v="4"/>
    <x v="1"/>
    <x v="2"/>
    <n v="42217"/>
    <n v="5.5861065167052599"/>
    <s v="Work in progress"/>
  </r>
  <r>
    <s v="P2332"/>
    <s v="Project-192"/>
    <x v="3"/>
    <x v="2"/>
    <x v="179"/>
    <x v="342"/>
    <x v="0"/>
    <n v="899390"/>
    <n v="1112883"/>
    <x v="3"/>
    <x v="3"/>
    <x v="2"/>
    <n v="-213493"/>
    <n v="-19.183777629813736"/>
    <s v="Work in progress"/>
  </r>
  <r>
    <s v="P2333"/>
    <s v="Project-306"/>
    <x v="7"/>
    <x v="1"/>
    <x v="371"/>
    <x v="15"/>
    <x v="2"/>
    <n v="974331"/>
    <n v="277659"/>
    <x v="2"/>
    <x v="3"/>
    <x v="2"/>
    <n v="696672"/>
    <n v="250.90920877767334"/>
    <s v="Project delivered successfully"/>
  </r>
  <r>
    <s v="P2334"/>
    <s v="Project-452"/>
    <x v="5"/>
    <x v="6"/>
    <x v="286"/>
    <x v="636"/>
    <x v="0"/>
    <n v="80844"/>
    <n v="815244"/>
    <x v="0"/>
    <x v="1"/>
    <x v="0"/>
    <n v="-734400"/>
    <n v="-90.083459675876171"/>
    <s v="Work in progress"/>
  </r>
  <r>
    <s v="P2335"/>
    <s v="Project-431"/>
    <x v="0"/>
    <x v="4"/>
    <x v="275"/>
    <x v="70"/>
    <x v="0"/>
    <n v="426645"/>
    <n v="1103666"/>
    <x v="2"/>
    <x v="1"/>
    <x v="2"/>
    <n v="-677021"/>
    <n v="-61.342924399229481"/>
    <s v="Work in progress"/>
  </r>
  <r>
    <s v="P2336"/>
    <s v="Project-916"/>
    <x v="0"/>
    <x v="6"/>
    <x v="647"/>
    <x v="147"/>
    <x v="0"/>
    <n v="927632"/>
    <n v="356421"/>
    <x v="0"/>
    <x v="2"/>
    <x v="0"/>
    <n v="571211"/>
    <n v="160.26300358284163"/>
    <s v="Work in progress"/>
  </r>
  <r>
    <s v="P2337"/>
    <s v="Project-961"/>
    <x v="2"/>
    <x v="6"/>
    <x v="460"/>
    <x v="642"/>
    <x v="1"/>
    <n v="575080"/>
    <n v="665847"/>
    <x v="0"/>
    <x v="1"/>
    <x v="0"/>
    <n v="-90767"/>
    <n v="-13.631810310777102"/>
    <s v="Timeline extended"/>
  </r>
  <r>
    <s v="P2338"/>
    <s v="Project-824"/>
    <x v="1"/>
    <x v="3"/>
    <x v="2"/>
    <x v="168"/>
    <x v="2"/>
    <n v="482911"/>
    <n v="129895"/>
    <x v="1"/>
    <x v="0"/>
    <x v="2"/>
    <n v="353016"/>
    <n v="271.7702759921475"/>
    <s v="Project delivered successfully"/>
  </r>
  <r>
    <s v="P2339"/>
    <s v="Project-258"/>
    <x v="6"/>
    <x v="3"/>
    <x v="361"/>
    <x v="578"/>
    <x v="2"/>
    <n v="657475"/>
    <n v="471752"/>
    <x v="2"/>
    <x v="2"/>
    <x v="2"/>
    <n v="185723"/>
    <n v="39.368778510742928"/>
    <s v="Project delivered successfully"/>
  </r>
  <r>
    <s v="P2340"/>
    <s v="Project-123"/>
    <x v="3"/>
    <x v="2"/>
    <x v="196"/>
    <x v="47"/>
    <x v="1"/>
    <n v="92510"/>
    <n v="299999"/>
    <x v="2"/>
    <x v="1"/>
    <x v="0"/>
    <n v="-207489"/>
    <n v="-69.163230544101822"/>
    <s v="Timeline extended"/>
  </r>
  <r>
    <s v="P2341"/>
    <s v="Project-503"/>
    <x v="2"/>
    <x v="0"/>
    <x v="697"/>
    <x v="308"/>
    <x v="1"/>
    <n v="482353"/>
    <n v="283555"/>
    <x v="4"/>
    <x v="1"/>
    <x v="0"/>
    <n v="198798"/>
    <n v="70.10914990037206"/>
    <s v="Timeline extended"/>
  </r>
  <r>
    <s v="P2342"/>
    <s v="Project-904"/>
    <x v="1"/>
    <x v="3"/>
    <x v="516"/>
    <x v="380"/>
    <x v="0"/>
    <n v="163104"/>
    <n v="939395"/>
    <x v="3"/>
    <x v="3"/>
    <x v="0"/>
    <n v="-776291"/>
    <n v="-82.637335732040313"/>
    <s v="Work in progress"/>
  </r>
  <r>
    <s v="P2343"/>
    <s v="Project-615"/>
    <x v="1"/>
    <x v="3"/>
    <x v="465"/>
    <x v="609"/>
    <x v="3"/>
    <n v="778770"/>
    <n v="933247"/>
    <x v="4"/>
    <x v="2"/>
    <x v="0"/>
    <n v="-154477"/>
    <n v="-16.552638261896369"/>
    <s v="Project cancelled"/>
  </r>
  <r>
    <s v="P2344"/>
    <s v="Project-831"/>
    <x v="2"/>
    <x v="0"/>
    <x v="217"/>
    <x v="297"/>
    <x v="0"/>
    <n v="525428"/>
    <n v="979456"/>
    <x v="1"/>
    <x v="3"/>
    <x v="2"/>
    <n v="-454028"/>
    <n v="-46.355119576581288"/>
    <s v="Work in progress"/>
  </r>
  <r>
    <s v="P2345"/>
    <s v="Project-463"/>
    <x v="4"/>
    <x v="2"/>
    <x v="154"/>
    <x v="73"/>
    <x v="0"/>
    <n v="876064"/>
    <n v="1189689"/>
    <x v="0"/>
    <x v="1"/>
    <x v="0"/>
    <n v="-313625"/>
    <n v="-26.361931563627135"/>
    <s v="Work in progress"/>
  </r>
  <r>
    <s v="P2346"/>
    <s v="Project-481"/>
    <x v="1"/>
    <x v="4"/>
    <x v="558"/>
    <x v="396"/>
    <x v="1"/>
    <n v="742150"/>
    <n v="953194"/>
    <x v="1"/>
    <x v="2"/>
    <x v="0"/>
    <n v="-211044"/>
    <n v="-22.140718468643321"/>
    <s v="Timeline extended"/>
  </r>
  <r>
    <s v="P2347"/>
    <s v="Project-631"/>
    <x v="4"/>
    <x v="6"/>
    <x v="456"/>
    <x v="375"/>
    <x v="0"/>
    <n v="395712"/>
    <n v="566809"/>
    <x v="1"/>
    <x v="0"/>
    <x v="0"/>
    <n v="-171097"/>
    <n v="-30.186006220790425"/>
    <s v="Work in progress"/>
  </r>
  <r>
    <s v="P2348"/>
    <s v="Project-251"/>
    <x v="0"/>
    <x v="4"/>
    <x v="323"/>
    <x v="151"/>
    <x v="0"/>
    <n v="835139"/>
    <n v="654434"/>
    <x v="4"/>
    <x v="1"/>
    <x v="0"/>
    <n v="180705"/>
    <n v="27.61241011316649"/>
    <s v="Work in progress"/>
  </r>
  <r>
    <s v="P2349"/>
    <s v="Project-661"/>
    <x v="0"/>
    <x v="3"/>
    <x v="570"/>
    <x v="606"/>
    <x v="0"/>
    <n v="474101"/>
    <n v="174776"/>
    <x v="0"/>
    <x v="1"/>
    <x v="0"/>
    <n v="299325"/>
    <n v="171.26207259577976"/>
    <s v="Work in progress"/>
  </r>
  <r>
    <s v="P2350"/>
    <s v="Project-788"/>
    <x v="1"/>
    <x v="0"/>
    <x v="21"/>
    <x v="373"/>
    <x v="2"/>
    <n v="115214"/>
    <n v="88933"/>
    <x v="3"/>
    <x v="3"/>
    <x v="1"/>
    <n v="26281"/>
    <n v="29.551460087931364"/>
    <s v="Project delivered successfully"/>
  </r>
  <r>
    <s v="P2351"/>
    <s v="Project-707"/>
    <x v="0"/>
    <x v="3"/>
    <x v="409"/>
    <x v="585"/>
    <x v="0"/>
    <n v="619158"/>
    <n v="73856"/>
    <x v="1"/>
    <x v="0"/>
    <x v="1"/>
    <n v="545302"/>
    <n v="738.33134748700172"/>
    <s v="Work in progress"/>
  </r>
  <r>
    <s v="P2352"/>
    <s v="Project-716"/>
    <x v="3"/>
    <x v="5"/>
    <x v="698"/>
    <x v="444"/>
    <x v="2"/>
    <n v="833577"/>
    <n v="591544"/>
    <x v="3"/>
    <x v="1"/>
    <x v="1"/>
    <n v="242033"/>
    <n v="40.915468671814779"/>
    <s v="Project delivered successfully"/>
  </r>
  <r>
    <s v="P2353"/>
    <s v="Project-519"/>
    <x v="4"/>
    <x v="1"/>
    <x v="539"/>
    <x v="626"/>
    <x v="1"/>
    <n v="98110"/>
    <n v="453831"/>
    <x v="0"/>
    <x v="3"/>
    <x v="2"/>
    <n v="-355721"/>
    <n v="-78.381820545533458"/>
    <s v="Timeline extended"/>
  </r>
  <r>
    <s v="P2354"/>
    <s v="Project-349"/>
    <x v="4"/>
    <x v="4"/>
    <x v="433"/>
    <x v="624"/>
    <x v="2"/>
    <n v="945846"/>
    <n v="151638"/>
    <x v="0"/>
    <x v="3"/>
    <x v="0"/>
    <n v="794208"/>
    <n v="523.75262137458947"/>
    <s v="Project delivered successfully"/>
  </r>
  <r>
    <s v="P2355"/>
    <s v="Project-216"/>
    <x v="1"/>
    <x v="5"/>
    <x v="292"/>
    <x v="33"/>
    <x v="0"/>
    <n v="573538"/>
    <n v="963016"/>
    <x v="4"/>
    <x v="1"/>
    <x v="2"/>
    <n v="-389478"/>
    <n v="-40.443564800584831"/>
    <s v="Work in progress"/>
  </r>
  <r>
    <s v="P2356"/>
    <s v="Project-965"/>
    <x v="0"/>
    <x v="7"/>
    <x v="186"/>
    <x v="369"/>
    <x v="1"/>
    <n v="710531"/>
    <n v="824733"/>
    <x v="2"/>
    <x v="2"/>
    <x v="0"/>
    <n v="-114202"/>
    <n v="-13.847148107326856"/>
    <s v="Timeline extended"/>
  </r>
  <r>
    <s v="P2357"/>
    <s v="Project-611"/>
    <x v="5"/>
    <x v="1"/>
    <x v="281"/>
    <x v="507"/>
    <x v="0"/>
    <n v="190661"/>
    <n v="1165425"/>
    <x v="4"/>
    <x v="1"/>
    <x v="1"/>
    <n v="-974764"/>
    <n v="-83.640217088186702"/>
    <s v="Work in progress"/>
  </r>
  <r>
    <s v="P2358"/>
    <s v="Project-839"/>
    <x v="6"/>
    <x v="3"/>
    <x v="313"/>
    <x v="253"/>
    <x v="0"/>
    <n v="68077"/>
    <n v="759353"/>
    <x v="3"/>
    <x v="0"/>
    <x v="0"/>
    <n v="-691276"/>
    <n v="-91.034867841438697"/>
    <s v="Work in progress"/>
  </r>
  <r>
    <s v="P2359"/>
    <s v="Project-677"/>
    <x v="2"/>
    <x v="2"/>
    <x v="533"/>
    <x v="615"/>
    <x v="0"/>
    <n v="901306"/>
    <n v="904479"/>
    <x v="4"/>
    <x v="1"/>
    <x v="2"/>
    <n v="-3173"/>
    <n v="-0.35080969265179179"/>
    <s v="Work in progress"/>
  </r>
  <r>
    <s v="P2360"/>
    <s v="Project-434"/>
    <x v="2"/>
    <x v="4"/>
    <x v="699"/>
    <x v="463"/>
    <x v="2"/>
    <n v="515462"/>
    <n v="379135"/>
    <x v="0"/>
    <x v="2"/>
    <x v="2"/>
    <n v="136327"/>
    <n v="35.95737666002875"/>
    <s v="Project delivered successfully"/>
  </r>
  <r>
    <s v="P2361"/>
    <s v="Project-517"/>
    <x v="4"/>
    <x v="7"/>
    <x v="175"/>
    <x v="694"/>
    <x v="0"/>
    <n v="296797"/>
    <n v="879490"/>
    <x v="1"/>
    <x v="3"/>
    <x v="0"/>
    <n v="-582693"/>
    <n v="-66.253510557254771"/>
    <s v="Work in progress"/>
  </r>
  <r>
    <s v="P2362"/>
    <s v="Project-873"/>
    <x v="1"/>
    <x v="1"/>
    <x v="617"/>
    <x v="458"/>
    <x v="0"/>
    <n v="528988"/>
    <n v="522474"/>
    <x v="2"/>
    <x v="0"/>
    <x v="2"/>
    <n v="6514"/>
    <n v="1.246760604355432"/>
    <s v="Work in progress"/>
  </r>
  <r>
    <s v="P2363"/>
    <s v="Project-394"/>
    <x v="1"/>
    <x v="4"/>
    <x v="460"/>
    <x v="509"/>
    <x v="0"/>
    <n v="219299"/>
    <n v="1012430"/>
    <x v="0"/>
    <x v="0"/>
    <x v="1"/>
    <n v="-793131"/>
    <n v="-78.339341979198565"/>
    <s v="Work in progress"/>
  </r>
  <r>
    <s v="P2364"/>
    <s v="Project-854"/>
    <x v="3"/>
    <x v="0"/>
    <x v="335"/>
    <x v="655"/>
    <x v="0"/>
    <n v="458153"/>
    <n v="962511"/>
    <x v="1"/>
    <x v="0"/>
    <x v="0"/>
    <n v="-504358"/>
    <n v="-52.400232309033356"/>
    <s v="Work in progress"/>
  </r>
  <r>
    <s v="P2365"/>
    <s v="Project-470"/>
    <x v="7"/>
    <x v="2"/>
    <x v="150"/>
    <x v="427"/>
    <x v="2"/>
    <n v="321898"/>
    <n v="872252"/>
    <x v="3"/>
    <x v="0"/>
    <x v="1"/>
    <n v="-550354"/>
    <n v="-63.095756730853012"/>
    <s v="Project delivered successfully"/>
  </r>
  <r>
    <s v="P2366"/>
    <s v="Project-285"/>
    <x v="6"/>
    <x v="1"/>
    <x v="604"/>
    <x v="4"/>
    <x v="1"/>
    <n v="337832"/>
    <n v="962930"/>
    <x v="3"/>
    <x v="2"/>
    <x v="1"/>
    <n v="-625098"/>
    <n v="-64.916245209932185"/>
    <s v="Timeline extended"/>
  </r>
  <r>
    <s v="P2367"/>
    <s v="Project-345"/>
    <x v="7"/>
    <x v="0"/>
    <x v="690"/>
    <x v="361"/>
    <x v="2"/>
    <n v="843480"/>
    <n v="1020135"/>
    <x v="3"/>
    <x v="2"/>
    <x v="2"/>
    <n v="-176655"/>
    <n v="-17.316825714243702"/>
    <s v="Project delivered successfully"/>
  </r>
  <r>
    <s v="P2368"/>
    <s v="Project-736"/>
    <x v="4"/>
    <x v="5"/>
    <x v="59"/>
    <x v="166"/>
    <x v="0"/>
    <n v="334712"/>
    <n v="250712"/>
    <x v="4"/>
    <x v="2"/>
    <x v="0"/>
    <n v="84000"/>
    <n v="33.504578959124416"/>
    <s v="Work in progress"/>
  </r>
  <r>
    <s v="P2369"/>
    <s v="Project-367"/>
    <x v="2"/>
    <x v="3"/>
    <x v="534"/>
    <x v="531"/>
    <x v="0"/>
    <n v="934015"/>
    <n v="1047765"/>
    <x v="3"/>
    <x v="2"/>
    <x v="1"/>
    <n v="-113750"/>
    <n v="-10.856442045687725"/>
    <s v="Work in progress"/>
  </r>
  <r>
    <s v="P2370"/>
    <s v="Project-742"/>
    <x v="3"/>
    <x v="0"/>
    <x v="484"/>
    <x v="542"/>
    <x v="3"/>
    <n v="460761"/>
    <n v="821376"/>
    <x v="3"/>
    <x v="3"/>
    <x v="1"/>
    <n v="-360615"/>
    <n v="-43.903766362786349"/>
    <s v="Project cancelled"/>
  </r>
  <r>
    <s v="P2371"/>
    <s v="Project-336"/>
    <x v="3"/>
    <x v="1"/>
    <x v="401"/>
    <x v="142"/>
    <x v="0"/>
    <n v="144449"/>
    <n v="461042"/>
    <x v="4"/>
    <x v="1"/>
    <x v="0"/>
    <n v="-316593"/>
    <n v="-68.669014970436535"/>
    <s v="Work in progress"/>
  </r>
  <r>
    <s v="P2372"/>
    <s v="Project-629"/>
    <x v="3"/>
    <x v="6"/>
    <x v="628"/>
    <x v="120"/>
    <x v="1"/>
    <n v="619505"/>
    <n v="846929"/>
    <x v="1"/>
    <x v="2"/>
    <x v="2"/>
    <n v="-227424"/>
    <n v="-26.852782228498494"/>
    <s v="Timeline extended"/>
  </r>
  <r>
    <s v="P2373"/>
    <s v="Project-651"/>
    <x v="4"/>
    <x v="1"/>
    <x v="502"/>
    <x v="612"/>
    <x v="0"/>
    <n v="229194"/>
    <n v="844155"/>
    <x v="0"/>
    <x v="1"/>
    <x v="1"/>
    <n v="-614961"/>
    <n v="-72.849299003145148"/>
    <s v="Work in progress"/>
  </r>
  <r>
    <s v="P2374"/>
    <s v="Project-120"/>
    <x v="7"/>
    <x v="6"/>
    <x v="427"/>
    <x v="317"/>
    <x v="1"/>
    <n v="573048"/>
    <n v="982791"/>
    <x v="2"/>
    <x v="0"/>
    <x v="0"/>
    <n v="-409743"/>
    <n v="-41.691773734191706"/>
    <s v="Timeline extended"/>
  </r>
  <r>
    <s v="P2375"/>
    <s v="Project-836"/>
    <x v="2"/>
    <x v="5"/>
    <x v="526"/>
    <x v="426"/>
    <x v="0"/>
    <n v="214818"/>
    <n v="828277"/>
    <x v="3"/>
    <x v="3"/>
    <x v="0"/>
    <n v="-613459"/>
    <n v="-74.064473600015461"/>
    <s v="Work in progress"/>
  </r>
  <r>
    <s v="P2376"/>
    <s v="Project-966"/>
    <x v="3"/>
    <x v="3"/>
    <x v="4"/>
    <x v="64"/>
    <x v="0"/>
    <n v="976213"/>
    <n v="491322"/>
    <x v="3"/>
    <x v="3"/>
    <x v="1"/>
    <n v="484891"/>
    <n v="98.691082426595997"/>
    <s v="Work in progress"/>
  </r>
  <r>
    <s v="P2377"/>
    <s v="Project-893"/>
    <x v="2"/>
    <x v="6"/>
    <x v="251"/>
    <x v="688"/>
    <x v="2"/>
    <n v="177873"/>
    <n v="246879"/>
    <x v="3"/>
    <x v="1"/>
    <x v="1"/>
    <n v="-69006"/>
    <n v="-27.951344585809242"/>
    <s v="Project delivered successfully"/>
  </r>
  <r>
    <s v="P2378"/>
    <s v="Project-619"/>
    <x v="0"/>
    <x v="6"/>
    <x v="160"/>
    <x v="289"/>
    <x v="2"/>
    <n v="337502"/>
    <n v="1134145"/>
    <x v="4"/>
    <x v="1"/>
    <x v="1"/>
    <n v="-796643"/>
    <n v="-70.24172394182402"/>
    <s v="Project delivered successfully"/>
  </r>
  <r>
    <s v="P2379"/>
    <s v="Project-199"/>
    <x v="1"/>
    <x v="0"/>
    <x v="462"/>
    <x v="406"/>
    <x v="0"/>
    <n v="164064"/>
    <n v="111434"/>
    <x v="4"/>
    <x v="1"/>
    <x v="2"/>
    <n v="52630"/>
    <n v="47.229750345495994"/>
    <s v="Work in progress"/>
  </r>
  <r>
    <s v="P2380"/>
    <s v="Project-851"/>
    <x v="1"/>
    <x v="0"/>
    <x v="500"/>
    <x v="111"/>
    <x v="2"/>
    <n v="847455"/>
    <n v="972967"/>
    <x v="4"/>
    <x v="3"/>
    <x v="2"/>
    <n v="-125512"/>
    <n v="-12.899923635642319"/>
    <s v="Project delivered successfully"/>
  </r>
  <r>
    <s v="P2381"/>
    <s v="Project-577"/>
    <x v="2"/>
    <x v="3"/>
    <x v="356"/>
    <x v="604"/>
    <x v="2"/>
    <n v="669675"/>
    <n v="1035844"/>
    <x v="2"/>
    <x v="2"/>
    <x v="0"/>
    <n v="-366169"/>
    <n v="-35.349821015519709"/>
    <s v="Project delivered successfully"/>
  </r>
  <r>
    <s v="P2382"/>
    <s v="Project-698"/>
    <x v="5"/>
    <x v="0"/>
    <x v="608"/>
    <x v="591"/>
    <x v="0"/>
    <n v="734116"/>
    <n v="1130658"/>
    <x v="0"/>
    <x v="3"/>
    <x v="0"/>
    <n v="-396542"/>
    <n v="-35.071790054994523"/>
    <s v="Work in progress"/>
  </r>
  <r>
    <s v="P2383"/>
    <s v="Project-397"/>
    <x v="5"/>
    <x v="4"/>
    <x v="330"/>
    <x v="493"/>
    <x v="0"/>
    <n v="759641"/>
    <n v="477905"/>
    <x v="3"/>
    <x v="2"/>
    <x v="1"/>
    <n v="281736"/>
    <n v="58.952302235800005"/>
    <s v="Work in progress"/>
  </r>
  <r>
    <s v="P2384"/>
    <s v="Project-625"/>
    <x v="4"/>
    <x v="3"/>
    <x v="700"/>
    <x v="81"/>
    <x v="0"/>
    <n v="136728"/>
    <n v="368551"/>
    <x v="1"/>
    <x v="0"/>
    <x v="0"/>
    <n v="-231823"/>
    <n v="-62.901199562611424"/>
    <s v="Work in progress"/>
  </r>
  <r>
    <s v="P2385"/>
    <s v="Project-433"/>
    <x v="4"/>
    <x v="2"/>
    <x v="368"/>
    <x v="588"/>
    <x v="0"/>
    <n v="228331"/>
    <n v="1036137"/>
    <x v="3"/>
    <x v="2"/>
    <x v="2"/>
    <n v="-807806"/>
    <n v="-77.96324231255133"/>
    <s v="Work in progress"/>
  </r>
  <r>
    <s v="P2386"/>
    <s v="Project-101"/>
    <x v="1"/>
    <x v="6"/>
    <x v="341"/>
    <x v="503"/>
    <x v="2"/>
    <n v="724199"/>
    <n v="881198"/>
    <x v="3"/>
    <x v="1"/>
    <x v="0"/>
    <n v="-156999"/>
    <n v="-17.816540663959746"/>
    <s v="Project delivered successfully"/>
  </r>
  <r>
    <s v="P2387"/>
    <s v="Project-474"/>
    <x v="0"/>
    <x v="1"/>
    <x v="58"/>
    <x v="695"/>
    <x v="0"/>
    <n v="863842"/>
    <n v="1144287"/>
    <x v="3"/>
    <x v="2"/>
    <x v="0"/>
    <n v="-280445"/>
    <n v="-24.508274584959892"/>
    <s v="Work in progress"/>
  </r>
  <r>
    <s v="P2388"/>
    <s v="Project-392"/>
    <x v="6"/>
    <x v="2"/>
    <x v="586"/>
    <x v="385"/>
    <x v="0"/>
    <n v="155696"/>
    <n v="538469"/>
    <x v="3"/>
    <x v="2"/>
    <x v="1"/>
    <n v="-382773"/>
    <n v="-71.085429244766189"/>
    <s v="Work in progress"/>
  </r>
  <r>
    <s v="P2389"/>
    <s v="Project-936"/>
    <x v="7"/>
    <x v="6"/>
    <x v="375"/>
    <x v="680"/>
    <x v="0"/>
    <n v="323591"/>
    <n v="666288"/>
    <x v="0"/>
    <x v="3"/>
    <x v="1"/>
    <n v="-342697"/>
    <n v="-51.433764378166799"/>
    <s v="Work in progress"/>
  </r>
  <r>
    <s v="P2390"/>
    <s v="Project-652"/>
    <x v="7"/>
    <x v="4"/>
    <x v="221"/>
    <x v="47"/>
    <x v="0"/>
    <n v="167954"/>
    <n v="869941"/>
    <x v="1"/>
    <x v="1"/>
    <x v="2"/>
    <n v="-701987"/>
    <n v="-80.693633246392565"/>
    <s v="Work in progress"/>
  </r>
  <r>
    <s v="P2391"/>
    <s v="Project-417"/>
    <x v="4"/>
    <x v="6"/>
    <x v="403"/>
    <x v="88"/>
    <x v="0"/>
    <n v="136569"/>
    <n v="858786"/>
    <x v="4"/>
    <x v="0"/>
    <x v="0"/>
    <n v="-722217"/>
    <n v="-84.097435216689604"/>
    <s v="Work in progress"/>
  </r>
  <r>
    <s v="P2392"/>
    <s v="Project-601"/>
    <x v="0"/>
    <x v="6"/>
    <x v="300"/>
    <x v="626"/>
    <x v="0"/>
    <n v="287963"/>
    <n v="330714"/>
    <x v="1"/>
    <x v="2"/>
    <x v="0"/>
    <n v="-42751"/>
    <n v="-12.926879418470341"/>
    <s v="Work in progress"/>
  </r>
  <r>
    <s v="P2393"/>
    <s v="Project-927"/>
    <x v="4"/>
    <x v="6"/>
    <x v="368"/>
    <x v="280"/>
    <x v="0"/>
    <n v="781025"/>
    <n v="46263"/>
    <x v="3"/>
    <x v="0"/>
    <x v="0"/>
    <n v="734762"/>
    <n v="1588.2281737025269"/>
    <s v="Work in progress"/>
  </r>
  <r>
    <s v="P2394"/>
    <s v="Project-480"/>
    <x v="6"/>
    <x v="5"/>
    <x v="190"/>
    <x v="696"/>
    <x v="3"/>
    <n v="932326"/>
    <n v="532574"/>
    <x v="1"/>
    <x v="1"/>
    <x v="1"/>
    <n v="399752"/>
    <n v="75.060367197797859"/>
    <s v="Project cancelled"/>
  </r>
  <r>
    <s v="P2395"/>
    <s v="Project-722"/>
    <x v="7"/>
    <x v="4"/>
    <x v="694"/>
    <x v="36"/>
    <x v="0"/>
    <n v="850339"/>
    <n v="1153924"/>
    <x v="3"/>
    <x v="2"/>
    <x v="2"/>
    <n v="-303585"/>
    <n v="-26.30892502452501"/>
    <s v="Work in progress"/>
  </r>
  <r>
    <s v="P2396"/>
    <s v="Project-113"/>
    <x v="2"/>
    <x v="7"/>
    <x v="610"/>
    <x v="573"/>
    <x v="2"/>
    <n v="71637"/>
    <n v="639563"/>
    <x v="1"/>
    <x v="3"/>
    <x v="0"/>
    <n v="-567926"/>
    <n v="-88.799070615404588"/>
    <s v="Project delivered successfully"/>
  </r>
  <r>
    <s v="P2397"/>
    <s v="Project-603"/>
    <x v="4"/>
    <x v="7"/>
    <x v="529"/>
    <x v="528"/>
    <x v="0"/>
    <n v="743556"/>
    <n v="805299"/>
    <x v="2"/>
    <x v="0"/>
    <x v="0"/>
    <n v="-61743"/>
    <n v="-7.6670901118714916"/>
    <s v="Work in progress"/>
  </r>
  <r>
    <s v="P2398"/>
    <s v="Project-330"/>
    <x v="3"/>
    <x v="7"/>
    <x v="410"/>
    <x v="349"/>
    <x v="0"/>
    <n v="989873"/>
    <n v="1100807"/>
    <x v="1"/>
    <x v="3"/>
    <x v="0"/>
    <n v="-110934"/>
    <n v="-10.077515858819938"/>
    <s v="Work in progress"/>
  </r>
  <r>
    <s v="P2399"/>
    <s v="Project-183"/>
    <x v="2"/>
    <x v="3"/>
    <x v="649"/>
    <x v="495"/>
    <x v="0"/>
    <n v="800377"/>
    <n v="733091"/>
    <x v="4"/>
    <x v="0"/>
    <x v="0"/>
    <n v="67286"/>
    <n v="9.1783966792662852"/>
    <s v="Work in progress"/>
  </r>
  <r>
    <s v="P2400"/>
    <s v="Project-229"/>
    <x v="6"/>
    <x v="0"/>
    <x v="373"/>
    <x v="448"/>
    <x v="0"/>
    <n v="278289"/>
    <n v="839532"/>
    <x v="4"/>
    <x v="1"/>
    <x v="2"/>
    <n v="-561243"/>
    <n v="-66.851888909535319"/>
    <s v="Work in progress"/>
  </r>
  <r>
    <s v="P2401"/>
    <s v="Project-842"/>
    <x v="6"/>
    <x v="4"/>
    <x v="419"/>
    <x v="601"/>
    <x v="3"/>
    <n v="707949"/>
    <n v="1046339"/>
    <x v="1"/>
    <x v="2"/>
    <x v="2"/>
    <n v="-338390"/>
    <n v="-32.340379169657254"/>
    <s v="Project cancelled"/>
  </r>
  <r>
    <s v="P2402"/>
    <s v="Project-937"/>
    <x v="4"/>
    <x v="2"/>
    <x v="288"/>
    <x v="181"/>
    <x v="1"/>
    <n v="73560"/>
    <n v="220409"/>
    <x v="1"/>
    <x v="0"/>
    <x v="2"/>
    <n v="-146849"/>
    <n v="-66.625682254354402"/>
    <s v="Timeline extended"/>
  </r>
  <r>
    <s v="P2403"/>
    <s v="Project-244"/>
    <x v="1"/>
    <x v="5"/>
    <x v="104"/>
    <x v="584"/>
    <x v="2"/>
    <n v="839466"/>
    <n v="803418"/>
    <x v="0"/>
    <x v="3"/>
    <x v="1"/>
    <n v="36048"/>
    <n v="4.4868300187449126"/>
    <s v="Project delivered successfully"/>
  </r>
  <r>
    <s v="P2404"/>
    <s v="Project-990"/>
    <x v="4"/>
    <x v="2"/>
    <x v="103"/>
    <x v="94"/>
    <x v="2"/>
    <n v="181241"/>
    <n v="41357"/>
    <x v="1"/>
    <x v="0"/>
    <x v="0"/>
    <n v="139884"/>
    <n v="338.23536523442226"/>
    <s v="Project delivered successfully"/>
  </r>
  <r>
    <s v="P2405"/>
    <s v="Project-956"/>
    <x v="1"/>
    <x v="2"/>
    <x v="357"/>
    <x v="182"/>
    <x v="0"/>
    <n v="666737"/>
    <n v="490189"/>
    <x v="4"/>
    <x v="0"/>
    <x v="0"/>
    <n v="176548"/>
    <n v="36.016312075546367"/>
    <s v="Work in progress"/>
  </r>
  <r>
    <s v="P2406"/>
    <s v="Project-127"/>
    <x v="6"/>
    <x v="2"/>
    <x v="109"/>
    <x v="372"/>
    <x v="0"/>
    <n v="577527"/>
    <n v="710306"/>
    <x v="2"/>
    <x v="0"/>
    <x v="0"/>
    <n v="-132779"/>
    <n v="-18.693211094936547"/>
    <s v="Work in progress"/>
  </r>
  <r>
    <s v="P2407"/>
    <s v="Project-165"/>
    <x v="0"/>
    <x v="5"/>
    <x v="458"/>
    <x v="315"/>
    <x v="1"/>
    <n v="577703"/>
    <n v="609437"/>
    <x v="4"/>
    <x v="0"/>
    <x v="0"/>
    <n v="-31734"/>
    <n v="-5.2071009800848982"/>
    <s v="Timeline extended"/>
  </r>
  <r>
    <s v="P2408"/>
    <s v="Project-262"/>
    <x v="6"/>
    <x v="7"/>
    <x v="598"/>
    <x v="302"/>
    <x v="2"/>
    <n v="528704"/>
    <n v="1084142"/>
    <x v="0"/>
    <x v="0"/>
    <x v="2"/>
    <n v="-555438"/>
    <n v="-51.232956568420008"/>
    <s v="Project delivered successfully"/>
  </r>
  <r>
    <s v="P2409"/>
    <s v="Project-328"/>
    <x v="7"/>
    <x v="2"/>
    <x v="247"/>
    <x v="697"/>
    <x v="2"/>
    <n v="913376"/>
    <n v="676762"/>
    <x v="1"/>
    <x v="0"/>
    <x v="1"/>
    <n v="236614"/>
    <n v="34.96266043306214"/>
    <s v="Project delivered successfully"/>
  </r>
  <r>
    <s v="P2410"/>
    <s v="Project-360"/>
    <x v="2"/>
    <x v="5"/>
    <x v="239"/>
    <x v="474"/>
    <x v="0"/>
    <n v="184556"/>
    <n v="858008"/>
    <x v="2"/>
    <x v="3"/>
    <x v="1"/>
    <n v="-673452"/>
    <n v="-78.490177247764592"/>
    <s v="Work in progress"/>
  </r>
  <r>
    <s v="P2411"/>
    <s v="Project-548"/>
    <x v="2"/>
    <x v="5"/>
    <x v="505"/>
    <x v="562"/>
    <x v="0"/>
    <n v="366131"/>
    <n v="419203"/>
    <x v="4"/>
    <x v="0"/>
    <x v="0"/>
    <n v="-53072"/>
    <n v="-12.660214740829623"/>
    <s v="Work in progress"/>
  </r>
  <r>
    <s v="P2412"/>
    <s v="Project-523"/>
    <x v="5"/>
    <x v="0"/>
    <x v="210"/>
    <x v="595"/>
    <x v="1"/>
    <n v="68225"/>
    <n v="803358"/>
    <x v="2"/>
    <x v="0"/>
    <x v="2"/>
    <n v="-735133"/>
    <n v="-91.507522175667631"/>
    <s v="Timeline extended"/>
  </r>
  <r>
    <s v="P2413"/>
    <s v="Project-559"/>
    <x v="5"/>
    <x v="5"/>
    <x v="577"/>
    <x v="425"/>
    <x v="0"/>
    <n v="130459"/>
    <n v="371293"/>
    <x v="3"/>
    <x v="0"/>
    <x v="1"/>
    <n v="-240834"/>
    <n v="-64.863598290299038"/>
    <s v="Work in progress"/>
  </r>
  <r>
    <s v="P2414"/>
    <s v="Project-775"/>
    <x v="6"/>
    <x v="7"/>
    <x v="432"/>
    <x v="469"/>
    <x v="0"/>
    <n v="564782"/>
    <n v="325843"/>
    <x v="4"/>
    <x v="2"/>
    <x v="1"/>
    <n v="238939"/>
    <n v="73.329486900132892"/>
    <s v="Work in progress"/>
  </r>
  <r>
    <s v="P2415"/>
    <s v="Project-400"/>
    <x v="7"/>
    <x v="2"/>
    <x v="172"/>
    <x v="675"/>
    <x v="0"/>
    <n v="766464"/>
    <n v="523985"/>
    <x v="3"/>
    <x v="1"/>
    <x v="0"/>
    <n v="242479"/>
    <n v="46.275943013635882"/>
    <s v="Work in progress"/>
  </r>
  <r>
    <s v="P2416"/>
    <s v="Project-402"/>
    <x v="5"/>
    <x v="5"/>
    <x v="115"/>
    <x v="29"/>
    <x v="1"/>
    <n v="333080"/>
    <n v="248422"/>
    <x v="2"/>
    <x v="1"/>
    <x v="1"/>
    <n v="84658"/>
    <n v="34.078302243762629"/>
    <s v="Timeline extended"/>
  </r>
  <r>
    <s v="P2417"/>
    <s v="Project-386"/>
    <x v="2"/>
    <x v="3"/>
    <x v="423"/>
    <x v="136"/>
    <x v="0"/>
    <n v="876044"/>
    <n v="839818"/>
    <x v="1"/>
    <x v="1"/>
    <x v="0"/>
    <n v="36226"/>
    <n v="4.3135536509100785"/>
    <s v="Work in progress"/>
  </r>
  <r>
    <s v="P2418"/>
    <s v="Project-494"/>
    <x v="4"/>
    <x v="5"/>
    <x v="201"/>
    <x v="456"/>
    <x v="1"/>
    <n v="931965"/>
    <n v="858017"/>
    <x v="1"/>
    <x v="3"/>
    <x v="2"/>
    <n v="73948"/>
    <n v="8.6184772562781387"/>
    <s v="Timeline extended"/>
  </r>
  <r>
    <s v="P2419"/>
    <s v="Project-109"/>
    <x v="0"/>
    <x v="1"/>
    <x v="546"/>
    <x v="552"/>
    <x v="0"/>
    <n v="433021"/>
    <n v="789652"/>
    <x v="1"/>
    <x v="3"/>
    <x v="0"/>
    <n v="-356631"/>
    <n v="-45.163059170368719"/>
    <s v="Work in progress"/>
  </r>
  <r>
    <s v="P2420"/>
    <s v="Project-806"/>
    <x v="0"/>
    <x v="1"/>
    <x v="328"/>
    <x v="446"/>
    <x v="1"/>
    <n v="414413"/>
    <n v="1086085"/>
    <x v="3"/>
    <x v="3"/>
    <x v="1"/>
    <n v="-671672"/>
    <n v="-61.843410046175016"/>
    <s v="Timeline extended"/>
  </r>
  <r>
    <s v="P2421"/>
    <s v="Project-729"/>
    <x v="7"/>
    <x v="1"/>
    <x v="43"/>
    <x v="115"/>
    <x v="2"/>
    <n v="614240"/>
    <n v="272225"/>
    <x v="1"/>
    <x v="0"/>
    <x v="0"/>
    <n v="342015"/>
    <n v="125.63688125631371"/>
    <s v="Project delivered successfully"/>
  </r>
  <r>
    <s v="P2422"/>
    <s v="Project-369"/>
    <x v="6"/>
    <x v="5"/>
    <x v="701"/>
    <x v="132"/>
    <x v="0"/>
    <n v="895377"/>
    <n v="893039"/>
    <x v="0"/>
    <x v="1"/>
    <x v="0"/>
    <n v="2338"/>
    <n v="0.26180267603094604"/>
    <s v="Work in progress"/>
  </r>
  <r>
    <s v="P2423"/>
    <s v="Project-691"/>
    <x v="5"/>
    <x v="7"/>
    <x v="547"/>
    <x v="138"/>
    <x v="2"/>
    <n v="792759"/>
    <n v="238222"/>
    <x v="4"/>
    <x v="0"/>
    <x v="0"/>
    <n v="554537"/>
    <n v="232.78160707239465"/>
    <s v="Project delivered successfully"/>
  </r>
  <r>
    <s v="P2424"/>
    <s v="Project-704"/>
    <x v="4"/>
    <x v="2"/>
    <x v="438"/>
    <x v="227"/>
    <x v="0"/>
    <n v="317524"/>
    <n v="285117"/>
    <x v="4"/>
    <x v="2"/>
    <x v="0"/>
    <n v="32407"/>
    <n v="11.366211064229773"/>
    <s v="Work in progress"/>
  </r>
  <r>
    <s v="P2425"/>
    <s v="Project-877"/>
    <x v="0"/>
    <x v="4"/>
    <x v="128"/>
    <x v="528"/>
    <x v="0"/>
    <n v="755658"/>
    <n v="1141881"/>
    <x v="2"/>
    <x v="1"/>
    <x v="0"/>
    <n v="-386223"/>
    <n v="-33.823401913159081"/>
    <s v="Work in progress"/>
  </r>
  <r>
    <s v="P2426"/>
    <s v="Project-943"/>
    <x v="0"/>
    <x v="4"/>
    <x v="178"/>
    <x v="390"/>
    <x v="1"/>
    <n v="655109"/>
    <n v="1112983"/>
    <x v="3"/>
    <x v="2"/>
    <x v="0"/>
    <n v="-457874"/>
    <n v="-41.13935253278801"/>
    <s v="Timeline extended"/>
  </r>
  <r>
    <s v="P2427"/>
    <s v="Project-961"/>
    <x v="3"/>
    <x v="4"/>
    <x v="92"/>
    <x v="15"/>
    <x v="0"/>
    <n v="470476"/>
    <n v="863038"/>
    <x v="4"/>
    <x v="2"/>
    <x v="1"/>
    <n v="-392562"/>
    <n v="-45.486062027396244"/>
    <s v="Work in progress"/>
  </r>
  <r>
    <s v="P2428"/>
    <s v="Project-460"/>
    <x v="6"/>
    <x v="7"/>
    <x v="578"/>
    <x v="20"/>
    <x v="0"/>
    <n v="476095"/>
    <n v="1044298"/>
    <x v="3"/>
    <x v="0"/>
    <x v="0"/>
    <n v="-568203"/>
    <n v="-54.410043876364789"/>
    <s v="Work in progress"/>
  </r>
  <r>
    <s v="P2429"/>
    <s v="Project-356"/>
    <x v="3"/>
    <x v="0"/>
    <x v="177"/>
    <x v="441"/>
    <x v="0"/>
    <n v="197215"/>
    <n v="302659"/>
    <x v="2"/>
    <x v="1"/>
    <x v="1"/>
    <n v="-105444"/>
    <n v="-34.839208482153182"/>
    <s v="Work in progress"/>
  </r>
  <r>
    <s v="P2430"/>
    <s v="Project-232"/>
    <x v="2"/>
    <x v="6"/>
    <x v="332"/>
    <x v="46"/>
    <x v="0"/>
    <n v="886176"/>
    <n v="954303"/>
    <x v="1"/>
    <x v="2"/>
    <x v="0"/>
    <n v="-68127"/>
    <n v="-7.1389275733179085"/>
    <s v="Work in progress"/>
  </r>
  <r>
    <s v="P2431"/>
    <s v="Project-375"/>
    <x v="0"/>
    <x v="3"/>
    <x v="353"/>
    <x v="351"/>
    <x v="1"/>
    <n v="778309"/>
    <n v="759443"/>
    <x v="2"/>
    <x v="1"/>
    <x v="2"/>
    <n v="18866"/>
    <n v="2.4841890701474636"/>
    <s v="Timeline extended"/>
  </r>
  <r>
    <s v="P2432"/>
    <s v="Project-875"/>
    <x v="7"/>
    <x v="3"/>
    <x v="208"/>
    <x v="698"/>
    <x v="0"/>
    <n v="212650"/>
    <n v="437544"/>
    <x v="0"/>
    <x v="2"/>
    <x v="0"/>
    <n v="-224894"/>
    <n v="-51.399173568829646"/>
    <s v="Work in progress"/>
  </r>
  <r>
    <s v="P2433"/>
    <s v="Project-782"/>
    <x v="1"/>
    <x v="1"/>
    <x v="564"/>
    <x v="240"/>
    <x v="3"/>
    <n v="392406"/>
    <n v="68872"/>
    <x v="1"/>
    <x v="2"/>
    <x v="1"/>
    <n v="323534"/>
    <n v="469.76129631780691"/>
    <s v="Project cancelled"/>
  </r>
  <r>
    <s v="P2434"/>
    <s v="Project-612"/>
    <x v="1"/>
    <x v="1"/>
    <x v="575"/>
    <x v="337"/>
    <x v="1"/>
    <n v="369475"/>
    <n v="898515"/>
    <x v="1"/>
    <x v="0"/>
    <x v="1"/>
    <n v="-529040"/>
    <n v="-58.879373187982395"/>
    <s v="Timeline extended"/>
  </r>
  <r>
    <s v="P2435"/>
    <s v="Project-412"/>
    <x v="4"/>
    <x v="5"/>
    <x v="180"/>
    <x v="637"/>
    <x v="0"/>
    <n v="666839"/>
    <n v="577594"/>
    <x v="1"/>
    <x v="1"/>
    <x v="2"/>
    <n v="89245"/>
    <n v="15.451164658912662"/>
    <s v="Work in progress"/>
  </r>
  <r>
    <s v="P2436"/>
    <s v="Project-675"/>
    <x v="0"/>
    <x v="4"/>
    <x v="590"/>
    <x v="600"/>
    <x v="0"/>
    <n v="900247"/>
    <n v="75693"/>
    <x v="2"/>
    <x v="0"/>
    <x v="0"/>
    <n v="824554"/>
    <n v="1089.3398332738825"/>
    <s v="Work in progress"/>
  </r>
  <r>
    <s v="P2437"/>
    <s v="Project-985"/>
    <x v="0"/>
    <x v="5"/>
    <x v="45"/>
    <x v="640"/>
    <x v="1"/>
    <n v="559142"/>
    <n v="647654"/>
    <x v="0"/>
    <x v="0"/>
    <x v="2"/>
    <n v="-88512"/>
    <n v="-13.666556525552224"/>
    <s v="Timeline extended"/>
  </r>
  <r>
    <s v="P2438"/>
    <s v="Project-383"/>
    <x v="2"/>
    <x v="6"/>
    <x v="605"/>
    <x v="449"/>
    <x v="0"/>
    <n v="121519"/>
    <n v="361061"/>
    <x v="3"/>
    <x v="0"/>
    <x v="0"/>
    <n v="-239542"/>
    <n v="-66.343914186245527"/>
    <s v="Work in progress"/>
  </r>
  <r>
    <s v="P2439"/>
    <s v="Project-220"/>
    <x v="0"/>
    <x v="4"/>
    <x v="27"/>
    <x v="578"/>
    <x v="0"/>
    <n v="200250"/>
    <n v="392512"/>
    <x v="2"/>
    <x v="0"/>
    <x v="0"/>
    <n v="-192262"/>
    <n v="-48.982451491928906"/>
    <s v="Work in progress"/>
  </r>
  <r>
    <s v="P2440"/>
    <s v="Project-206"/>
    <x v="7"/>
    <x v="1"/>
    <x v="391"/>
    <x v="140"/>
    <x v="0"/>
    <n v="142526"/>
    <n v="528109"/>
    <x v="4"/>
    <x v="0"/>
    <x v="1"/>
    <n v="-385583"/>
    <n v="-73.012010778078007"/>
    <s v="Work in progress"/>
  </r>
  <r>
    <s v="P2441"/>
    <s v="Project-786"/>
    <x v="3"/>
    <x v="2"/>
    <x v="596"/>
    <x v="428"/>
    <x v="2"/>
    <n v="781217"/>
    <n v="168519"/>
    <x v="4"/>
    <x v="2"/>
    <x v="2"/>
    <n v="612698"/>
    <n v="363.57799417276391"/>
    <s v="Project delivered successfully"/>
  </r>
  <r>
    <s v="P2442"/>
    <s v="Project-303"/>
    <x v="0"/>
    <x v="0"/>
    <x v="341"/>
    <x v="377"/>
    <x v="2"/>
    <n v="241269"/>
    <n v="509120"/>
    <x v="2"/>
    <x v="1"/>
    <x v="2"/>
    <n v="-267851"/>
    <n v="-52.610582966687616"/>
    <s v="Project delivered successfully"/>
  </r>
  <r>
    <s v="P2443"/>
    <s v="Project-264"/>
    <x v="0"/>
    <x v="5"/>
    <x v="528"/>
    <x v="599"/>
    <x v="0"/>
    <n v="159365"/>
    <n v="181343"/>
    <x v="3"/>
    <x v="1"/>
    <x v="1"/>
    <n v="-21978"/>
    <n v="-12.119574507976596"/>
    <s v="Work in progress"/>
  </r>
  <r>
    <s v="P2444"/>
    <s v="Project-404"/>
    <x v="2"/>
    <x v="0"/>
    <x v="360"/>
    <x v="440"/>
    <x v="0"/>
    <n v="571291"/>
    <n v="489091"/>
    <x v="4"/>
    <x v="0"/>
    <x v="1"/>
    <n v="82200"/>
    <n v="16.806688325894363"/>
    <s v="Work in progress"/>
  </r>
  <r>
    <s v="P2445"/>
    <s v="Project-596"/>
    <x v="6"/>
    <x v="0"/>
    <x v="456"/>
    <x v="699"/>
    <x v="1"/>
    <n v="348510"/>
    <n v="777405"/>
    <x v="3"/>
    <x v="1"/>
    <x v="2"/>
    <n v="-428895"/>
    <n v="-55.170085090782791"/>
    <s v="Timeline extended"/>
  </r>
  <r>
    <s v="P2446"/>
    <s v="Project-731"/>
    <x v="5"/>
    <x v="0"/>
    <x v="474"/>
    <x v="410"/>
    <x v="2"/>
    <n v="496171"/>
    <n v="657722"/>
    <x v="1"/>
    <x v="2"/>
    <x v="1"/>
    <n v="-161551"/>
    <n v="-24.562201051508083"/>
    <s v="Project delivered successfully"/>
  </r>
  <r>
    <s v="P2447"/>
    <s v="Project-655"/>
    <x v="6"/>
    <x v="1"/>
    <x v="65"/>
    <x v="586"/>
    <x v="2"/>
    <n v="149830"/>
    <n v="742203"/>
    <x v="2"/>
    <x v="0"/>
    <x v="0"/>
    <n v="-592373"/>
    <n v="-79.81280054109186"/>
    <s v="Project delivered successfully"/>
  </r>
  <r>
    <s v="P2448"/>
    <s v="Project-923"/>
    <x v="2"/>
    <x v="3"/>
    <x v="444"/>
    <x v="455"/>
    <x v="2"/>
    <n v="811573"/>
    <n v="318365"/>
    <x v="1"/>
    <x v="3"/>
    <x v="2"/>
    <n v="493208"/>
    <n v="154.91903946727811"/>
    <s v="Project delivered successfully"/>
  </r>
  <r>
    <s v="P2449"/>
    <s v="Project-255"/>
    <x v="6"/>
    <x v="1"/>
    <x v="140"/>
    <x v="700"/>
    <x v="0"/>
    <n v="878343"/>
    <n v="288180"/>
    <x v="4"/>
    <x v="3"/>
    <x v="2"/>
    <n v="590163"/>
    <n v="204.78971476160734"/>
    <s v="Work in progress"/>
  </r>
  <r>
    <s v="P2450"/>
    <s v="Project-466"/>
    <x v="2"/>
    <x v="0"/>
    <x v="476"/>
    <x v="35"/>
    <x v="2"/>
    <n v="395566"/>
    <n v="86467"/>
    <x v="3"/>
    <x v="2"/>
    <x v="1"/>
    <n v="309099"/>
    <n v="357.47626262042166"/>
    <s v="Project delivered successfully"/>
  </r>
  <r>
    <s v="P2451"/>
    <s v="Project-818"/>
    <x v="7"/>
    <x v="1"/>
    <x v="26"/>
    <x v="325"/>
    <x v="0"/>
    <n v="627907"/>
    <n v="141414"/>
    <x v="1"/>
    <x v="2"/>
    <x v="0"/>
    <n v="486493"/>
    <n v="344.02039402039406"/>
    <s v="Work in progress"/>
  </r>
  <r>
    <s v="P2452"/>
    <s v="Project-719"/>
    <x v="4"/>
    <x v="0"/>
    <x v="542"/>
    <x v="186"/>
    <x v="0"/>
    <n v="859223"/>
    <n v="73086"/>
    <x v="4"/>
    <x v="3"/>
    <x v="2"/>
    <n v="786137"/>
    <n v="1075.632816134417"/>
    <s v="Work in progress"/>
  </r>
  <r>
    <s v="P2453"/>
    <s v="Project-350"/>
    <x v="0"/>
    <x v="7"/>
    <x v="220"/>
    <x v="209"/>
    <x v="2"/>
    <n v="320445"/>
    <n v="635432"/>
    <x v="0"/>
    <x v="0"/>
    <x v="2"/>
    <n v="-314987"/>
    <n v="-49.570528396429516"/>
    <s v="Project delivered successfully"/>
  </r>
  <r>
    <s v="P2454"/>
    <s v="Project-981"/>
    <x v="2"/>
    <x v="4"/>
    <x v="167"/>
    <x v="669"/>
    <x v="0"/>
    <n v="176866"/>
    <n v="1079214"/>
    <x v="1"/>
    <x v="2"/>
    <x v="0"/>
    <n v="-902348"/>
    <n v="-83.611591398925512"/>
    <s v="Work in progress"/>
  </r>
  <r>
    <s v="P2455"/>
    <s v="Project-433"/>
    <x v="2"/>
    <x v="3"/>
    <x v="118"/>
    <x v="305"/>
    <x v="3"/>
    <n v="281730"/>
    <n v="1020749"/>
    <x v="0"/>
    <x v="3"/>
    <x v="1"/>
    <n v="-739019"/>
    <n v="-72.39967905920065"/>
    <s v="Project cancelled"/>
  </r>
  <r>
    <s v="P2456"/>
    <s v="Project-741"/>
    <x v="5"/>
    <x v="7"/>
    <x v="417"/>
    <x v="693"/>
    <x v="0"/>
    <n v="153623"/>
    <n v="887111"/>
    <x v="0"/>
    <x v="0"/>
    <x v="1"/>
    <n v="-733488"/>
    <n v="-82.682775887121224"/>
    <s v="Work in progress"/>
  </r>
  <r>
    <s v="P2457"/>
    <s v="Project-610"/>
    <x v="2"/>
    <x v="2"/>
    <x v="139"/>
    <x v="174"/>
    <x v="1"/>
    <n v="541745"/>
    <n v="883192"/>
    <x v="4"/>
    <x v="2"/>
    <x v="1"/>
    <n v="-341447"/>
    <n v="-38.660563048578339"/>
    <s v="Timeline extended"/>
  </r>
  <r>
    <s v="P2458"/>
    <s v="Project-392"/>
    <x v="1"/>
    <x v="1"/>
    <x v="263"/>
    <x v="678"/>
    <x v="1"/>
    <n v="424968"/>
    <n v="77234"/>
    <x v="2"/>
    <x v="1"/>
    <x v="1"/>
    <n v="347734"/>
    <n v="450.23435274619982"/>
    <s v="Timeline extended"/>
  </r>
  <r>
    <s v="P2459"/>
    <s v="Project-119"/>
    <x v="4"/>
    <x v="2"/>
    <x v="301"/>
    <x v="141"/>
    <x v="0"/>
    <n v="611182"/>
    <n v="733407"/>
    <x v="3"/>
    <x v="1"/>
    <x v="0"/>
    <n v="-122225"/>
    <n v="-16.665371342242437"/>
    <s v="Work in progress"/>
  </r>
  <r>
    <s v="P2460"/>
    <s v="Project-381"/>
    <x v="0"/>
    <x v="5"/>
    <x v="345"/>
    <x v="648"/>
    <x v="2"/>
    <n v="542133"/>
    <n v="1188982"/>
    <x v="4"/>
    <x v="1"/>
    <x v="0"/>
    <n v="-646849"/>
    <n v="-54.403599045233655"/>
    <s v="Project delivered successfully"/>
  </r>
  <r>
    <s v="P2461"/>
    <s v="Project-896"/>
    <x v="0"/>
    <x v="1"/>
    <x v="527"/>
    <x v="473"/>
    <x v="0"/>
    <n v="916050"/>
    <n v="805471"/>
    <x v="1"/>
    <x v="0"/>
    <x v="2"/>
    <n v="110579"/>
    <n v="13.72848929384174"/>
    <s v="Work in progress"/>
  </r>
  <r>
    <s v="P2462"/>
    <s v="Project-100"/>
    <x v="5"/>
    <x v="6"/>
    <x v="66"/>
    <x v="147"/>
    <x v="1"/>
    <n v="907426"/>
    <n v="355148"/>
    <x v="3"/>
    <x v="2"/>
    <x v="2"/>
    <n v="552278"/>
    <n v="155.50643675312827"/>
    <s v="Timeline extended"/>
  </r>
  <r>
    <s v="P2463"/>
    <s v="Project-218"/>
    <x v="7"/>
    <x v="6"/>
    <x v="157"/>
    <x v="509"/>
    <x v="0"/>
    <n v="91770"/>
    <n v="135711"/>
    <x v="2"/>
    <x v="3"/>
    <x v="0"/>
    <n v="-43941"/>
    <n v="-32.378362844574134"/>
    <s v="Work in progress"/>
  </r>
  <r>
    <s v="P2464"/>
    <s v="Project-134"/>
    <x v="0"/>
    <x v="4"/>
    <x v="369"/>
    <x v="488"/>
    <x v="2"/>
    <n v="596588"/>
    <n v="963146"/>
    <x v="4"/>
    <x v="2"/>
    <x v="2"/>
    <n v="-366558"/>
    <n v="-38.058404437125837"/>
    <s v="Project delivered successfully"/>
  </r>
  <r>
    <s v="P2465"/>
    <s v="Project-297"/>
    <x v="1"/>
    <x v="7"/>
    <x v="321"/>
    <x v="91"/>
    <x v="0"/>
    <n v="692313"/>
    <n v="527288"/>
    <x v="2"/>
    <x v="1"/>
    <x v="0"/>
    <n v="165025"/>
    <n v="31.296938295580407"/>
    <s v="Work in progress"/>
  </r>
  <r>
    <s v="P2466"/>
    <s v="Project-584"/>
    <x v="0"/>
    <x v="4"/>
    <x v="545"/>
    <x v="244"/>
    <x v="0"/>
    <n v="249307"/>
    <n v="278134"/>
    <x v="1"/>
    <x v="1"/>
    <x v="1"/>
    <n v="-28827"/>
    <n v="-10.364428656690659"/>
    <s v="Work in progress"/>
  </r>
  <r>
    <s v="P2467"/>
    <s v="Project-856"/>
    <x v="1"/>
    <x v="5"/>
    <x v="123"/>
    <x v="699"/>
    <x v="0"/>
    <n v="472701"/>
    <n v="148778"/>
    <x v="4"/>
    <x v="0"/>
    <x v="0"/>
    <n v="323923"/>
    <n v="217.72237830862088"/>
    <s v="Work in progress"/>
  </r>
  <r>
    <s v="P2468"/>
    <s v="Project-158"/>
    <x v="4"/>
    <x v="0"/>
    <x v="621"/>
    <x v="92"/>
    <x v="0"/>
    <n v="957037"/>
    <n v="1111679"/>
    <x v="1"/>
    <x v="3"/>
    <x v="0"/>
    <n v="-154642"/>
    <n v="-13.910670256431937"/>
    <s v="Work in progress"/>
  </r>
  <r>
    <s v="P2469"/>
    <s v="Project-936"/>
    <x v="4"/>
    <x v="4"/>
    <x v="657"/>
    <x v="290"/>
    <x v="2"/>
    <n v="90285"/>
    <n v="1058761"/>
    <x v="3"/>
    <x v="0"/>
    <x v="2"/>
    <n v="-968476"/>
    <n v="-91.472579741792529"/>
    <s v="Project delivered successfully"/>
  </r>
  <r>
    <s v="P2470"/>
    <s v="Project-260"/>
    <x v="3"/>
    <x v="4"/>
    <x v="20"/>
    <x v="323"/>
    <x v="2"/>
    <n v="771915"/>
    <n v="1093906"/>
    <x v="3"/>
    <x v="3"/>
    <x v="0"/>
    <n v="-321991"/>
    <n v="-29.434978873870332"/>
    <s v="Project delivered successfully"/>
  </r>
  <r>
    <s v="P2471"/>
    <s v="Project-790"/>
    <x v="3"/>
    <x v="6"/>
    <x v="419"/>
    <x v="159"/>
    <x v="2"/>
    <n v="167713"/>
    <n v="603697"/>
    <x v="2"/>
    <x v="2"/>
    <x v="1"/>
    <n v="-435984"/>
    <n v="-72.219010530116933"/>
    <s v="Project delivered successfully"/>
  </r>
  <r>
    <s v="P2472"/>
    <s v="Project-305"/>
    <x v="1"/>
    <x v="0"/>
    <x v="112"/>
    <x v="701"/>
    <x v="0"/>
    <n v="737831"/>
    <n v="256270"/>
    <x v="2"/>
    <x v="0"/>
    <x v="1"/>
    <n v="481561"/>
    <n v="187.91157763296522"/>
    <s v="Work in progress"/>
  </r>
  <r>
    <s v="P2473"/>
    <s v="Project-111"/>
    <x v="7"/>
    <x v="6"/>
    <x v="658"/>
    <x v="88"/>
    <x v="0"/>
    <n v="622959"/>
    <n v="30184"/>
    <x v="3"/>
    <x v="0"/>
    <x v="2"/>
    <n v="592775"/>
    <n v="1963.8715875960775"/>
    <s v="Work in progress"/>
  </r>
  <r>
    <s v="P2474"/>
    <s v="Project-589"/>
    <x v="0"/>
    <x v="1"/>
    <x v="364"/>
    <x v="180"/>
    <x v="0"/>
    <n v="430360"/>
    <n v="519139"/>
    <x v="0"/>
    <x v="0"/>
    <x v="2"/>
    <n v="-88779"/>
    <n v="-17.101200256578679"/>
    <s v="Work in progress"/>
  </r>
  <r>
    <s v="P2475"/>
    <s v="Project-375"/>
    <x v="2"/>
    <x v="0"/>
    <x v="37"/>
    <x v="528"/>
    <x v="1"/>
    <n v="856702"/>
    <n v="151529"/>
    <x v="3"/>
    <x v="1"/>
    <x v="0"/>
    <n v="705173"/>
    <n v="465.37164503164411"/>
    <s v="Timeline extended"/>
  </r>
  <r>
    <s v="P2476"/>
    <s v="Project-792"/>
    <x v="0"/>
    <x v="7"/>
    <x v="27"/>
    <x v="192"/>
    <x v="3"/>
    <n v="694158"/>
    <n v="85810"/>
    <x v="4"/>
    <x v="1"/>
    <x v="2"/>
    <n v="608348"/>
    <n v="708.94767509614269"/>
    <s v="Project cancelled"/>
  </r>
  <r>
    <s v="P2477"/>
    <s v="Project-341"/>
    <x v="3"/>
    <x v="4"/>
    <x v="699"/>
    <x v="279"/>
    <x v="0"/>
    <n v="177897"/>
    <n v="1067825"/>
    <x v="1"/>
    <x v="3"/>
    <x v="1"/>
    <n v="-889928"/>
    <n v="-83.340247699763538"/>
    <s v="Work in progress"/>
  </r>
  <r>
    <s v="P2478"/>
    <s v="Project-315"/>
    <x v="6"/>
    <x v="6"/>
    <x v="293"/>
    <x v="634"/>
    <x v="0"/>
    <n v="456914"/>
    <n v="589408"/>
    <x v="3"/>
    <x v="2"/>
    <x v="2"/>
    <n v="-132494"/>
    <n v="-22.479165535588251"/>
    <s v="Work in progress"/>
  </r>
  <r>
    <s v="P2479"/>
    <s v="Project-350"/>
    <x v="2"/>
    <x v="0"/>
    <x v="314"/>
    <x v="94"/>
    <x v="0"/>
    <n v="819814"/>
    <n v="733844"/>
    <x v="3"/>
    <x v="0"/>
    <x v="2"/>
    <n v="85970"/>
    <n v="11.715023901537656"/>
    <s v="Work in progress"/>
  </r>
  <r>
    <s v="P2480"/>
    <s v="Project-910"/>
    <x v="1"/>
    <x v="5"/>
    <x v="268"/>
    <x v="15"/>
    <x v="2"/>
    <n v="809242"/>
    <n v="110528"/>
    <x v="1"/>
    <x v="1"/>
    <x v="1"/>
    <n v="698714"/>
    <n v="632.16017660683269"/>
    <s v="Project delivered successfully"/>
  </r>
  <r>
    <s v="P2481"/>
    <s v="Project-225"/>
    <x v="2"/>
    <x v="5"/>
    <x v="359"/>
    <x v="356"/>
    <x v="2"/>
    <n v="908697"/>
    <n v="216185"/>
    <x v="1"/>
    <x v="0"/>
    <x v="0"/>
    <n v="692512"/>
    <n v="320.33304808381706"/>
    <s v="Project delivered successfully"/>
  </r>
  <r>
    <s v="P2482"/>
    <s v="Project-316"/>
    <x v="6"/>
    <x v="4"/>
    <x v="256"/>
    <x v="269"/>
    <x v="2"/>
    <n v="745089"/>
    <n v="214168"/>
    <x v="4"/>
    <x v="3"/>
    <x v="0"/>
    <n v="530921"/>
    <n v="247.89931268910391"/>
    <s v="Project delivered successfully"/>
  </r>
  <r>
    <s v="P2483"/>
    <s v="Project-405"/>
    <x v="0"/>
    <x v="7"/>
    <x v="83"/>
    <x v="39"/>
    <x v="0"/>
    <n v="61171"/>
    <n v="145742"/>
    <x v="1"/>
    <x v="3"/>
    <x v="2"/>
    <n v="-84571"/>
    <n v="-58.027884892481232"/>
    <s v="Work in progress"/>
  </r>
  <r>
    <s v="P2484"/>
    <s v="Project-896"/>
    <x v="0"/>
    <x v="2"/>
    <x v="543"/>
    <x v="607"/>
    <x v="2"/>
    <n v="522699"/>
    <n v="702445"/>
    <x v="2"/>
    <x v="2"/>
    <x v="1"/>
    <n v="-179746"/>
    <n v="-25.588622596786937"/>
    <s v="Project delivered successfully"/>
  </r>
  <r>
    <s v="P2485"/>
    <s v="Project-284"/>
    <x v="7"/>
    <x v="6"/>
    <x v="37"/>
    <x v="524"/>
    <x v="2"/>
    <n v="897116"/>
    <n v="338623"/>
    <x v="3"/>
    <x v="3"/>
    <x v="1"/>
    <n v="558493"/>
    <n v="164.93061605384159"/>
    <s v="Project delivered successfully"/>
  </r>
  <r>
    <s v="P2486"/>
    <s v="Project-138"/>
    <x v="5"/>
    <x v="7"/>
    <x v="147"/>
    <x v="304"/>
    <x v="0"/>
    <n v="498381"/>
    <n v="633672"/>
    <x v="1"/>
    <x v="0"/>
    <x v="1"/>
    <n v="-135291"/>
    <n v="-21.350320039389466"/>
    <s v="Work in progress"/>
  </r>
  <r>
    <s v="P2487"/>
    <s v="Project-322"/>
    <x v="2"/>
    <x v="3"/>
    <x v="68"/>
    <x v="260"/>
    <x v="0"/>
    <n v="99948"/>
    <n v="1166533"/>
    <x v="4"/>
    <x v="2"/>
    <x v="0"/>
    <n v="-1066585"/>
    <n v="-91.432046928805264"/>
    <s v="Work in progress"/>
  </r>
  <r>
    <s v="P2488"/>
    <s v="Project-283"/>
    <x v="3"/>
    <x v="3"/>
    <x v="90"/>
    <x v="373"/>
    <x v="0"/>
    <n v="609013"/>
    <n v="799867"/>
    <x v="1"/>
    <x v="2"/>
    <x v="1"/>
    <n v="-190854"/>
    <n v="-23.860716844175343"/>
    <s v="Work in progress"/>
  </r>
  <r>
    <s v="P2489"/>
    <s v="Project-594"/>
    <x v="6"/>
    <x v="3"/>
    <x v="474"/>
    <x v="244"/>
    <x v="0"/>
    <n v="331594"/>
    <n v="863297"/>
    <x v="3"/>
    <x v="1"/>
    <x v="1"/>
    <n v="-531703"/>
    <n v="-61.589812080894525"/>
    <s v="Work in progress"/>
  </r>
  <r>
    <s v="P2490"/>
    <s v="Project-526"/>
    <x v="6"/>
    <x v="4"/>
    <x v="202"/>
    <x v="666"/>
    <x v="1"/>
    <n v="456516"/>
    <n v="601692"/>
    <x v="0"/>
    <x v="0"/>
    <x v="0"/>
    <n v="-145176"/>
    <n v="-24.127959155182385"/>
    <s v="Timeline extended"/>
  </r>
  <r>
    <s v="P2491"/>
    <s v="Project-277"/>
    <x v="6"/>
    <x v="5"/>
    <x v="143"/>
    <x v="468"/>
    <x v="0"/>
    <n v="962332"/>
    <n v="873855"/>
    <x v="1"/>
    <x v="3"/>
    <x v="1"/>
    <n v="88477"/>
    <n v="10.124906305966093"/>
    <s v="Work in progress"/>
  </r>
  <r>
    <s v="P2492"/>
    <s v="Project-527"/>
    <x v="3"/>
    <x v="1"/>
    <x v="122"/>
    <x v="223"/>
    <x v="1"/>
    <n v="134600"/>
    <n v="120947"/>
    <x v="2"/>
    <x v="1"/>
    <x v="0"/>
    <n v="13653"/>
    <n v="11.288415586992649"/>
    <s v="Timeline extended"/>
  </r>
  <r>
    <s v="P2493"/>
    <s v="Project-393"/>
    <x v="5"/>
    <x v="6"/>
    <x v="108"/>
    <x v="540"/>
    <x v="2"/>
    <n v="185513"/>
    <n v="1109728"/>
    <x v="3"/>
    <x v="0"/>
    <x v="2"/>
    <n v="-924215"/>
    <n v="-83.283020704172543"/>
    <s v="Project delivered successfully"/>
  </r>
  <r>
    <s v="P2494"/>
    <s v="Project-951"/>
    <x v="0"/>
    <x v="5"/>
    <x v="315"/>
    <x v="2"/>
    <x v="0"/>
    <n v="161315"/>
    <n v="396014"/>
    <x v="4"/>
    <x v="0"/>
    <x v="2"/>
    <n v="-234699"/>
    <n v="-59.265329003520073"/>
    <s v="Work in progress"/>
  </r>
  <r>
    <s v="P2495"/>
    <s v="Project-250"/>
    <x v="7"/>
    <x v="1"/>
    <x v="507"/>
    <x v="470"/>
    <x v="2"/>
    <n v="986836"/>
    <n v="322881"/>
    <x v="3"/>
    <x v="2"/>
    <x v="2"/>
    <n v="663955"/>
    <n v="205.63458363917357"/>
    <s v="Project delivered successfully"/>
  </r>
  <r>
    <s v="P2496"/>
    <s v="Project-483"/>
    <x v="7"/>
    <x v="1"/>
    <x v="255"/>
    <x v="512"/>
    <x v="0"/>
    <n v="594403"/>
    <n v="608613"/>
    <x v="0"/>
    <x v="2"/>
    <x v="2"/>
    <n v="-14210"/>
    <n v="-2.3348170347987964"/>
    <s v="Work in progress"/>
  </r>
  <r>
    <s v="P2497"/>
    <s v="Project-737"/>
    <x v="3"/>
    <x v="5"/>
    <x v="24"/>
    <x v="550"/>
    <x v="0"/>
    <n v="673693"/>
    <n v="898591"/>
    <x v="4"/>
    <x v="0"/>
    <x v="2"/>
    <n v="-224898"/>
    <n v="-25.027849154954811"/>
    <s v="Work in progress"/>
  </r>
  <r>
    <s v="P2498"/>
    <s v="Project-912"/>
    <x v="7"/>
    <x v="6"/>
    <x v="506"/>
    <x v="702"/>
    <x v="0"/>
    <n v="661692"/>
    <n v="745597"/>
    <x v="0"/>
    <x v="1"/>
    <x v="0"/>
    <n v="-83905"/>
    <n v="-11.253398283523136"/>
    <s v="Work in progress"/>
  </r>
  <r>
    <s v="P2499"/>
    <s v="Project-407"/>
    <x v="6"/>
    <x v="4"/>
    <x v="661"/>
    <x v="185"/>
    <x v="0"/>
    <n v="485213"/>
    <n v="1120391"/>
    <x v="0"/>
    <x v="2"/>
    <x v="0"/>
    <n v="-635178"/>
    <n v="-56.692529661519956"/>
    <s v="Work in progress"/>
  </r>
  <r>
    <s v="P2500"/>
    <s v="Project-435"/>
    <x v="4"/>
    <x v="7"/>
    <x v="326"/>
    <x v="478"/>
    <x v="0"/>
    <n v="791511"/>
    <n v="488213"/>
    <x v="2"/>
    <x v="2"/>
    <x v="0"/>
    <n v="303298"/>
    <n v="62.12411386013892"/>
    <s v="Work in progress"/>
  </r>
  <r>
    <s v="P2501"/>
    <s v="Project-845"/>
    <x v="5"/>
    <x v="1"/>
    <x v="527"/>
    <x v="537"/>
    <x v="0"/>
    <n v="718975"/>
    <n v="1073030"/>
    <x v="1"/>
    <x v="0"/>
    <x v="1"/>
    <n v="-354055"/>
    <n v="-32.995815587635015"/>
    <s v="Work in progress"/>
  </r>
  <r>
    <s v="P2502"/>
    <s v="Project-991"/>
    <x v="0"/>
    <x v="2"/>
    <x v="702"/>
    <x v="533"/>
    <x v="0"/>
    <n v="720092"/>
    <n v="748596"/>
    <x v="2"/>
    <x v="0"/>
    <x v="2"/>
    <n v="-28504"/>
    <n v="-3.8076612752405836"/>
    <s v="Work in progress"/>
  </r>
  <r>
    <s v="P2503"/>
    <s v="Project-474"/>
    <x v="4"/>
    <x v="5"/>
    <x v="653"/>
    <x v="185"/>
    <x v="0"/>
    <n v="992871"/>
    <n v="52743"/>
    <x v="2"/>
    <x v="2"/>
    <x v="1"/>
    <n v="940128"/>
    <n v="1782.4697116204995"/>
    <s v="Work in progress"/>
  </r>
  <r>
    <s v="P2504"/>
    <s v="Project-107"/>
    <x v="5"/>
    <x v="5"/>
    <x v="378"/>
    <x v="657"/>
    <x v="1"/>
    <n v="684958"/>
    <n v="873171"/>
    <x v="2"/>
    <x v="1"/>
    <x v="1"/>
    <n v="-188213"/>
    <n v="-21.555113488652282"/>
    <s v="Timeline extended"/>
  </r>
  <r>
    <s v="P2505"/>
    <s v="Project-440"/>
    <x v="1"/>
    <x v="3"/>
    <x v="685"/>
    <x v="686"/>
    <x v="0"/>
    <n v="92738"/>
    <n v="1023830"/>
    <x v="4"/>
    <x v="2"/>
    <x v="1"/>
    <n v="-931092"/>
    <n v="-90.942050926423335"/>
    <s v="Work in progress"/>
  </r>
  <r>
    <s v="P2506"/>
    <s v="Project-228"/>
    <x v="2"/>
    <x v="7"/>
    <x v="313"/>
    <x v="492"/>
    <x v="2"/>
    <n v="816656"/>
    <n v="1061109"/>
    <x v="1"/>
    <x v="0"/>
    <x v="2"/>
    <n v="-244453"/>
    <n v="-23.037501331154481"/>
    <s v="Project delivered successfully"/>
  </r>
  <r>
    <s v="P2507"/>
    <s v="Project-875"/>
    <x v="3"/>
    <x v="3"/>
    <x v="217"/>
    <x v="377"/>
    <x v="0"/>
    <n v="182053"/>
    <n v="914588"/>
    <x v="1"/>
    <x v="2"/>
    <x v="1"/>
    <n v="-732535"/>
    <n v="-80.094534369574049"/>
    <s v="Work in progress"/>
  </r>
  <r>
    <s v="P2508"/>
    <s v="Project-768"/>
    <x v="6"/>
    <x v="5"/>
    <x v="403"/>
    <x v="376"/>
    <x v="2"/>
    <n v="243953"/>
    <n v="684563"/>
    <x v="4"/>
    <x v="0"/>
    <x v="2"/>
    <n v="-440610"/>
    <n v="-64.363688951929916"/>
    <s v="Project delivered successfully"/>
  </r>
  <r>
    <s v="P2509"/>
    <s v="Project-451"/>
    <x v="7"/>
    <x v="5"/>
    <x v="376"/>
    <x v="27"/>
    <x v="0"/>
    <n v="239681"/>
    <n v="60339"/>
    <x v="2"/>
    <x v="2"/>
    <x v="2"/>
    <n v="179342"/>
    <n v="297.22401763370294"/>
    <s v="Work in progress"/>
  </r>
  <r>
    <s v="P2510"/>
    <s v="Project-457"/>
    <x v="1"/>
    <x v="1"/>
    <x v="497"/>
    <x v="513"/>
    <x v="1"/>
    <n v="530306"/>
    <n v="1112697"/>
    <x v="2"/>
    <x v="0"/>
    <x v="2"/>
    <n v="-582391"/>
    <n v="-52.340484426577952"/>
    <s v="Timeline extended"/>
  </r>
  <r>
    <s v="P2511"/>
    <s v="Project-616"/>
    <x v="7"/>
    <x v="7"/>
    <x v="498"/>
    <x v="703"/>
    <x v="0"/>
    <n v="393810"/>
    <n v="466211"/>
    <x v="0"/>
    <x v="0"/>
    <x v="1"/>
    <n v="-72401"/>
    <n v="-15.529663607250793"/>
    <s v="Work in progress"/>
  </r>
  <r>
    <s v="P2512"/>
    <s v="Project-594"/>
    <x v="4"/>
    <x v="0"/>
    <x v="170"/>
    <x v="250"/>
    <x v="1"/>
    <n v="920783"/>
    <n v="999536"/>
    <x v="0"/>
    <x v="1"/>
    <x v="2"/>
    <n v="-78753"/>
    <n v="-7.8789558355076759"/>
    <s v="Timeline extended"/>
  </r>
  <r>
    <s v="P2513"/>
    <s v="Project-185"/>
    <x v="0"/>
    <x v="2"/>
    <x v="432"/>
    <x v="658"/>
    <x v="0"/>
    <n v="976070"/>
    <n v="997335"/>
    <x v="3"/>
    <x v="0"/>
    <x v="2"/>
    <n v="-21265"/>
    <n v="-2.1321822657381926"/>
    <s v="Work in progress"/>
  </r>
  <r>
    <s v="P2514"/>
    <s v="Project-274"/>
    <x v="0"/>
    <x v="6"/>
    <x v="46"/>
    <x v="68"/>
    <x v="0"/>
    <n v="535081"/>
    <n v="1120022"/>
    <x v="0"/>
    <x v="2"/>
    <x v="0"/>
    <n v="-584941"/>
    <n v="-52.225849135106273"/>
    <s v="Work in progress"/>
  </r>
  <r>
    <s v="P2515"/>
    <s v="Project-901"/>
    <x v="0"/>
    <x v="1"/>
    <x v="636"/>
    <x v="59"/>
    <x v="2"/>
    <n v="777245"/>
    <n v="468894"/>
    <x v="1"/>
    <x v="0"/>
    <x v="1"/>
    <n v="308351"/>
    <n v="65.761344781549781"/>
    <s v="Project delivered successfully"/>
  </r>
  <r>
    <s v="P2516"/>
    <s v="Project-292"/>
    <x v="6"/>
    <x v="5"/>
    <x v="76"/>
    <x v="687"/>
    <x v="0"/>
    <n v="561801"/>
    <n v="968202"/>
    <x v="4"/>
    <x v="3"/>
    <x v="0"/>
    <n v="-406401"/>
    <n v="-41.974815172866819"/>
    <s v="Work in progress"/>
  </r>
  <r>
    <s v="P2517"/>
    <s v="Project-410"/>
    <x v="7"/>
    <x v="6"/>
    <x v="703"/>
    <x v="665"/>
    <x v="0"/>
    <n v="60728"/>
    <n v="790528"/>
    <x v="2"/>
    <x v="2"/>
    <x v="0"/>
    <n v="-729800"/>
    <n v="-92.318045660621763"/>
    <s v="Work in progress"/>
  </r>
  <r>
    <s v="P2518"/>
    <s v="Project-218"/>
    <x v="1"/>
    <x v="1"/>
    <x v="487"/>
    <x v="210"/>
    <x v="0"/>
    <n v="942284"/>
    <n v="113404"/>
    <x v="3"/>
    <x v="1"/>
    <x v="1"/>
    <n v="828880"/>
    <n v="730.90896264682021"/>
    <s v="Work in progress"/>
  </r>
  <r>
    <s v="P2519"/>
    <s v="Project-317"/>
    <x v="0"/>
    <x v="2"/>
    <x v="270"/>
    <x v="234"/>
    <x v="2"/>
    <n v="920343"/>
    <n v="1175242"/>
    <x v="0"/>
    <x v="2"/>
    <x v="0"/>
    <n v="-254899"/>
    <n v="-21.689064890465112"/>
    <s v="Project delivered successfully"/>
  </r>
  <r>
    <s v="P2520"/>
    <s v="Project-526"/>
    <x v="1"/>
    <x v="5"/>
    <x v="690"/>
    <x v="246"/>
    <x v="3"/>
    <n v="167616"/>
    <n v="538594"/>
    <x v="3"/>
    <x v="1"/>
    <x v="2"/>
    <n v="-370978"/>
    <n v="-68.878970059079748"/>
    <s v="Project cancelled"/>
  </r>
  <r>
    <s v="P2521"/>
    <s v="Project-513"/>
    <x v="7"/>
    <x v="2"/>
    <x v="631"/>
    <x v="632"/>
    <x v="0"/>
    <n v="268422"/>
    <n v="806716"/>
    <x v="4"/>
    <x v="3"/>
    <x v="0"/>
    <n v="-538294"/>
    <n v="-66.726580357895472"/>
    <s v="Work in progress"/>
  </r>
  <r>
    <s v="P2522"/>
    <s v="Project-213"/>
    <x v="6"/>
    <x v="6"/>
    <x v="17"/>
    <x v="517"/>
    <x v="1"/>
    <n v="872646"/>
    <n v="1048155"/>
    <x v="4"/>
    <x v="1"/>
    <x v="0"/>
    <n v="-175509"/>
    <n v="-16.744565450720554"/>
    <s v="Timeline extended"/>
  </r>
  <r>
    <s v="P2523"/>
    <s v="Project-244"/>
    <x v="4"/>
    <x v="0"/>
    <x v="40"/>
    <x v="180"/>
    <x v="0"/>
    <n v="239007"/>
    <n v="321190"/>
    <x v="3"/>
    <x v="0"/>
    <x v="2"/>
    <n v="-82183"/>
    <n v="-25.587035710949905"/>
    <s v="Work in progress"/>
  </r>
  <r>
    <s v="P2524"/>
    <s v="Project-637"/>
    <x v="6"/>
    <x v="1"/>
    <x v="202"/>
    <x v="179"/>
    <x v="0"/>
    <n v="792441"/>
    <n v="249368"/>
    <x v="3"/>
    <x v="3"/>
    <x v="0"/>
    <n v="543073"/>
    <n v="217.77974720092394"/>
    <s v="Work in progress"/>
  </r>
  <r>
    <s v="P2525"/>
    <s v="Project-747"/>
    <x v="1"/>
    <x v="4"/>
    <x v="451"/>
    <x v="507"/>
    <x v="1"/>
    <n v="357732"/>
    <n v="1079213"/>
    <x v="3"/>
    <x v="3"/>
    <x v="2"/>
    <n v="-721481"/>
    <n v="-66.852511969370283"/>
    <s v="Timeline extended"/>
  </r>
  <r>
    <s v="P2526"/>
    <s v="Project-402"/>
    <x v="6"/>
    <x v="1"/>
    <x v="438"/>
    <x v="671"/>
    <x v="1"/>
    <n v="200025"/>
    <n v="380857"/>
    <x v="2"/>
    <x v="1"/>
    <x v="1"/>
    <n v="-180832"/>
    <n v="-47.480287877077224"/>
    <s v="Timeline extended"/>
  </r>
  <r>
    <s v="P2527"/>
    <s v="Project-843"/>
    <x v="6"/>
    <x v="3"/>
    <x v="550"/>
    <x v="84"/>
    <x v="2"/>
    <n v="904840"/>
    <n v="1029291"/>
    <x v="1"/>
    <x v="2"/>
    <x v="0"/>
    <n v="-124451"/>
    <n v="-12.090944154762843"/>
    <s v="Project delivered successfully"/>
  </r>
  <r>
    <s v="P2528"/>
    <s v="Project-980"/>
    <x v="4"/>
    <x v="7"/>
    <x v="138"/>
    <x v="260"/>
    <x v="0"/>
    <n v="346247"/>
    <n v="971260"/>
    <x v="0"/>
    <x v="1"/>
    <x v="1"/>
    <n v="-625013"/>
    <n v="-64.350740275518405"/>
    <s v="Work in progress"/>
  </r>
  <r>
    <s v="P2529"/>
    <s v="Project-687"/>
    <x v="7"/>
    <x v="7"/>
    <x v="257"/>
    <x v="317"/>
    <x v="0"/>
    <n v="120949"/>
    <n v="482685"/>
    <x v="0"/>
    <x v="1"/>
    <x v="0"/>
    <n v="-361736"/>
    <n v="-74.942457296166225"/>
    <s v="Work in progress"/>
  </r>
  <r>
    <s v="P2530"/>
    <s v="Project-939"/>
    <x v="7"/>
    <x v="3"/>
    <x v="591"/>
    <x v="124"/>
    <x v="0"/>
    <n v="275877"/>
    <n v="107185"/>
    <x v="0"/>
    <x v="3"/>
    <x v="2"/>
    <n v="168692"/>
    <n v="157.3839623081588"/>
    <s v="Work in progress"/>
  </r>
  <r>
    <s v="P2531"/>
    <s v="Project-444"/>
    <x v="3"/>
    <x v="5"/>
    <x v="321"/>
    <x v="601"/>
    <x v="0"/>
    <n v="725516"/>
    <n v="943601"/>
    <x v="3"/>
    <x v="0"/>
    <x v="0"/>
    <n v="-218085"/>
    <n v="-23.111993310731975"/>
    <s v="Work in progress"/>
  </r>
  <r>
    <s v="P2532"/>
    <s v="Project-913"/>
    <x v="6"/>
    <x v="7"/>
    <x v="446"/>
    <x v="148"/>
    <x v="0"/>
    <n v="63423"/>
    <n v="1024406"/>
    <x v="3"/>
    <x v="2"/>
    <x v="1"/>
    <n v="-960983"/>
    <n v="-93.808802369373083"/>
    <s v="Work in progress"/>
  </r>
  <r>
    <s v="P2533"/>
    <s v="Project-900"/>
    <x v="7"/>
    <x v="2"/>
    <x v="74"/>
    <x v="363"/>
    <x v="1"/>
    <n v="350206"/>
    <n v="742515"/>
    <x v="3"/>
    <x v="1"/>
    <x v="2"/>
    <n v="-392309"/>
    <n v="-52.835161579227353"/>
    <s v="Timeline extended"/>
  </r>
  <r>
    <s v="P2534"/>
    <s v="Project-100"/>
    <x v="7"/>
    <x v="6"/>
    <x v="455"/>
    <x v="601"/>
    <x v="1"/>
    <n v="748165"/>
    <n v="408337"/>
    <x v="2"/>
    <x v="0"/>
    <x v="2"/>
    <n v="339828"/>
    <n v="83.222436369959127"/>
    <s v="Timeline extended"/>
  </r>
  <r>
    <s v="P2535"/>
    <s v="Project-246"/>
    <x v="5"/>
    <x v="6"/>
    <x v="205"/>
    <x v="144"/>
    <x v="0"/>
    <n v="838419"/>
    <n v="136745"/>
    <x v="2"/>
    <x v="0"/>
    <x v="1"/>
    <n v="701674"/>
    <n v="513.12589125745001"/>
    <s v="Work in progress"/>
  </r>
  <r>
    <s v="P2536"/>
    <s v="Project-386"/>
    <x v="0"/>
    <x v="7"/>
    <x v="195"/>
    <x v="512"/>
    <x v="0"/>
    <n v="112979"/>
    <n v="625144"/>
    <x v="2"/>
    <x v="2"/>
    <x v="1"/>
    <n v="-512165"/>
    <n v="-81.927523898493789"/>
    <s v="Work in progress"/>
  </r>
  <r>
    <s v="P2537"/>
    <s v="Project-753"/>
    <x v="3"/>
    <x v="7"/>
    <x v="640"/>
    <x v="34"/>
    <x v="1"/>
    <n v="874029"/>
    <n v="1024764"/>
    <x v="2"/>
    <x v="0"/>
    <x v="0"/>
    <n v="-150735"/>
    <n v="-14.70924037144162"/>
    <s v="Timeline extended"/>
  </r>
  <r>
    <s v="P2538"/>
    <s v="Project-152"/>
    <x v="2"/>
    <x v="3"/>
    <x v="182"/>
    <x v="691"/>
    <x v="0"/>
    <n v="133905"/>
    <n v="331355"/>
    <x v="4"/>
    <x v="1"/>
    <x v="0"/>
    <n v="-197450"/>
    <n v="-59.588658689321115"/>
    <s v="Work in progress"/>
  </r>
  <r>
    <s v="P2539"/>
    <s v="Project-403"/>
    <x v="3"/>
    <x v="5"/>
    <x v="494"/>
    <x v="97"/>
    <x v="2"/>
    <n v="733228"/>
    <n v="333561"/>
    <x v="2"/>
    <x v="3"/>
    <x v="2"/>
    <n v="399667"/>
    <n v="119.81826412560221"/>
    <s v="Project delivered successfully"/>
  </r>
  <r>
    <s v="P2540"/>
    <s v="Project-168"/>
    <x v="3"/>
    <x v="0"/>
    <x v="223"/>
    <x v="420"/>
    <x v="0"/>
    <n v="126970"/>
    <n v="770018"/>
    <x v="2"/>
    <x v="0"/>
    <x v="1"/>
    <n v="-643048"/>
    <n v="-83.510775072790508"/>
    <s v="Work in progress"/>
  </r>
  <r>
    <s v="P2541"/>
    <s v="Project-460"/>
    <x v="2"/>
    <x v="7"/>
    <x v="8"/>
    <x v="704"/>
    <x v="0"/>
    <n v="113805"/>
    <n v="223899"/>
    <x v="2"/>
    <x v="3"/>
    <x v="1"/>
    <n v="-110094"/>
    <n v="-49.17127812093846"/>
    <s v="Work in progress"/>
  </r>
  <r>
    <s v="P2542"/>
    <s v="Project-701"/>
    <x v="5"/>
    <x v="4"/>
    <x v="574"/>
    <x v="120"/>
    <x v="3"/>
    <n v="169779"/>
    <n v="978941"/>
    <x v="0"/>
    <x v="2"/>
    <x v="0"/>
    <n v="-809162"/>
    <n v="-82.656871047386929"/>
    <s v="Project cancelled"/>
  </r>
  <r>
    <s v="P2543"/>
    <s v="Project-319"/>
    <x v="6"/>
    <x v="7"/>
    <x v="414"/>
    <x v="629"/>
    <x v="0"/>
    <n v="523300"/>
    <n v="836951"/>
    <x v="0"/>
    <x v="2"/>
    <x v="0"/>
    <n v="-313651"/>
    <n v="-37.475431656094557"/>
    <s v="Work in progress"/>
  </r>
  <r>
    <s v="P2544"/>
    <s v="Project-803"/>
    <x v="4"/>
    <x v="0"/>
    <x v="406"/>
    <x v="459"/>
    <x v="0"/>
    <n v="459852"/>
    <n v="824415"/>
    <x v="0"/>
    <x v="0"/>
    <x v="2"/>
    <n v="-364563"/>
    <n v="-44.220811120612794"/>
    <s v="Work in progress"/>
  </r>
  <r>
    <s v="P2545"/>
    <s v="Project-674"/>
    <x v="7"/>
    <x v="3"/>
    <x v="339"/>
    <x v="423"/>
    <x v="0"/>
    <n v="631755"/>
    <n v="1065603"/>
    <x v="1"/>
    <x v="3"/>
    <x v="1"/>
    <n v="-433848"/>
    <n v="-40.713849341640369"/>
    <s v="Work in progress"/>
  </r>
  <r>
    <s v="P2546"/>
    <s v="Project-684"/>
    <x v="0"/>
    <x v="0"/>
    <x v="704"/>
    <x v="523"/>
    <x v="1"/>
    <n v="541135"/>
    <n v="822067"/>
    <x v="4"/>
    <x v="1"/>
    <x v="1"/>
    <n v="-280932"/>
    <n v="-34.173856875412831"/>
    <s v="Timeline extended"/>
  </r>
  <r>
    <s v="P2547"/>
    <s v="Project-260"/>
    <x v="1"/>
    <x v="3"/>
    <x v="203"/>
    <x v="214"/>
    <x v="1"/>
    <n v="682020"/>
    <n v="918805"/>
    <x v="3"/>
    <x v="3"/>
    <x v="1"/>
    <n v="-236785"/>
    <n v="-25.770974254602447"/>
    <s v="Timeline extended"/>
  </r>
  <r>
    <s v="P2548"/>
    <s v="Project-780"/>
    <x v="6"/>
    <x v="2"/>
    <x v="124"/>
    <x v="511"/>
    <x v="0"/>
    <n v="198079"/>
    <n v="920987"/>
    <x v="2"/>
    <x v="0"/>
    <x v="1"/>
    <n v="-722908"/>
    <n v="-78.492747454632905"/>
    <s v="Work in progress"/>
  </r>
  <r>
    <s v="P2549"/>
    <s v="Project-188"/>
    <x v="2"/>
    <x v="3"/>
    <x v="615"/>
    <x v="464"/>
    <x v="0"/>
    <n v="413604"/>
    <n v="402027"/>
    <x v="0"/>
    <x v="3"/>
    <x v="0"/>
    <n v="11577"/>
    <n v="2.879657336447552"/>
    <s v="Work in progress"/>
  </r>
  <r>
    <s v="P2550"/>
    <s v="Project-787"/>
    <x v="4"/>
    <x v="2"/>
    <x v="344"/>
    <x v="353"/>
    <x v="2"/>
    <n v="538963"/>
    <n v="278945"/>
    <x v="4"/>
    <x v="3"/>
    <x v="0"/>
    <n v="260018"/>
    <n v="93.214791446342474"/>
    <s v="Project delivered successfully"/>
  </r>
  <r>
    <s v="P2551"/>
    <s v="Project-880"/>
    <x v="6"/>
    <x v="2"/>
    <x v="484"/>
    <x v="334"/>
    <x v="0"/>
    <n v="782224"/>
    <n v="180694"/>
    <x v="2"/>
    <x v="2"/>
    <x v="0"/>
    <n v="601530"/>
    <n v="332.8998195844909"/>
    <s v="Work in progress"/>
  </r>
  <r>
    <s v="P2552"/>
    <s v="Project-684"/>
    <x v="2"/>
    <x v="3"/>
    <x v="119"/>
    <x v="298"/>
    <x v="2"/>
    <n v="446605"/>
    <n v="104975"/>
    <x v="1"/>
    <x v="0"/>
    <x v="2"/>
    <n v="341630"/>
    <n v="325.43939033103123"/>
    <s v="Project delivered successfully"/>
  </r>
  <r>
    <s v="P2553"/>
    <s v="Project-856"/>
    <x v="7"/>
    <x v="4"/>
    <x v="437"/>
    <x v="267"/>
    <x v="0"/>
    <n v="168105"/>
    <n v="90666"/>
    <x v="3"/>
    <x v="3"/>
    <x v="1"/>
    <n v="77439"/>
    <n v="85.411289788895502"/>
    <s v="Work in progress"/>
  </r>
  <r>
    <s v="P2554"/>
    <s v="Project-688"/>
    <x v="5"/>
    <x v="1"/>
    <x v="38"/>
    <x v="416"/>
    <x v="0"/>
    <n v="174535"/>
    <n v="393021"/>
    <x v="2"/>
    <x v="0"/>
    <x v="0"/>
    <n v="-218486"/>
    <n v="-55.591431501115721"/>
    <s v="Work in progress"/>
  </r>
  <r>
    <s v="P2555"/>
    <s v="Project-258"/>
    <x v="6"/>
    <x v="3"/>
    <x v="213"/>
    <x v="273"/>
    <x v="2"/>
    <n v="321602"/>
    <n v="172475"/>
    <x v="3"/>
    <x v="1"/>
    <x v="1"/>
    <n v="149127"/>
    <n v="86.462965647195247"/>
    <s v="Project delivered successfully"/>
  </r>
  <r>
    <s v="P2556"/>
    <s v="Project-588"/>
    <x v="2"/>
    <x v="7"/>
    <x v="452"/>
    <x v="292"/>
    <x v="0"/>
    <n v="642769"/>
    <n v="614765"/>
    <x v="2"/>
    <x v="0"/>
    <x v="0"/>
    <n v="28004"/>
    <n v="4.5552365538051118"/>
    <s v="Work in progress"/>
  </r>
  <r>
    <s v="P2557"/>
    <s v="Project-423"/>
    <x v="7"/>
    <x v="4"/>
    <x v="425"/>
    <x v="84"/>
    <x v="1"/>
    <n v="649176"/>
    <n v="1047114"/>
    <x v="1"/>
    <x v="1"/>
    <x v="2"/>
    <n v="-397938"/>
    <n v="-38.00331196030232"/>
    <s v="Timeline extended"/>
  </r>
  <r>
    <s v="P2558"/>
    <s v="Project-709"/>
    <x v="7"/>
    <x v="4"/>
    <x v="438"/>
    <x v="374"/>
    <x v="0"/>
    <n v="650310"/>
    <n v="916837"/>
    <x v="4"/>
    <x v="0"/>
    <x v="0"/>
    <n v="-266527"/>
    <n v="-29.070270942381253"/>
    <s v="Work in progress"/>
  </r>
  <r>
    <s v="P2559"/>
    <s v="Project-480"/>
    <x v="5"/>
    <x v="7"/>
    <x v="685"/>
    <x v="18"/>
    <x v="0"/>
    <n v="222472"/>
    <n v="515705"/>
    <x v="3"/>
    <x v="0"/>
    <x v="2"/>
    <n v="-293233"/>
    <n v="-56.860608293501123"/>
    <s v="Work in progress"/>
  </r>
  <r>
    <s v="P2560"/>
    <s v="Project-201"/>
    <x v="3"/>
    <x v="1"/>
    <x v="374"/>
    <x v="705"/>
    <x v="3"/>
    <n v="641916"/>
    <n v="348952"/>
    <x v="3"/>
    <x v="3"/>
    <x v="1"/>
    <n v="292964"/>
    <n v="83.955386414177312"/>
    <s v="Project cancelled"/>
  </r>
  <r>
    <s v="P2561"/>
    <s v="Project-593"/>
    <x v="6"/>
    <x v="4"/>
    <x v="420"/>
    <x v="260"/>
    <x v="0"/>
    <n v="757217"/>
    <n v="1112156"/>
    <x v="4"/>
    <x v="3"/>
    <x v="0"/>
    <n v="-354939"/>
    <n v="-31.914497606450894"/>
    <s v="Work in progress"/>
  </r>
  <r>
    <s v="P2562"/>
    <s v="Project-743"/>
    <x v="6"/>
    <x v="2"/>
    <x v="68"/>
    <x v="63"/>
    <x v="2"/>
    <n v="217599"/>
    <n v="1004556"/>
    <x v="3"/>
    <x v="1"/>
    <x v="0"/>
    <n v="-786957"/>
    <n v="-78.338788479686556"/>
    <s v="Project delivered successfully"/>
  </r>
  <r>
    <s v="P2563"/>
    <s v="Project-713"/>
    <x v="3"/>
    <x v="6"/>
    <x v="653"/>
    <x v="491"/>
    <x v="0"/>
    <n v="644936"/>
    <n v="153731"/>
    <x v="0"/>
    <x v="1"/>
    <x v="0"/>
    <n v="491205"/>
    <n v="319.52241252577551"/>
    <s v="Work in progress"/>
  </r>
  <r>
    <s v="P2564"/>
    <s v="Project-118"/>
    <x v="0"/>
    <x v="1"/>
    <x v="89"/>
    <x v="647"/>
    <x v="2"/>
    <n v="853369"/>
    <n v="384000"/>
    <x v="4"/>
    <x v="2"/>
    <x v="1"/>
    <n v="469369"/>
    <n v="122.23151041666667"/>
    <s v="Project delivered successfully"/>
  </r>
  <r>
    <s v="P2565"/>
    <s v="Project-553"/>
    <x v="0"/>
    <x v="5"/>
    <x v="670"/>
    <x v="706"/>
    <x v="2"/>
    <n v="743032"/>
    <n v="72898"/>
    <x v="1"/>
    <x v="3"/>
    <x v="2"/>
    <n v="670134"/>
    <n v="919.27624900545959"/>
    <s v="Project delivered successfully"/>
  </r>
  <r>
    <s v="P2566"/>
    <s v="Project-581"/>
    <x v="3"/>
    <x v="7"/>
    <x v="189"/>
    <x v="22"/>
    <x v="0"/>
    <n v="816922"/>
    <n v="1161366"/>
    <x v="2"/>
    <x v="1"/>
    <x v="2"/>
    <n v="-344444"/>
    <n v="-29.65852280848587"/>
    <s v="Work in progress"/>
  </r>
  <r>
    <s v="P2567"/>
    <s v="Project-693"/>
    <x v="4"/>
    <x v="1"/>
    <x v="638"/>
    <x v="493"/>
    <x v="1"/>
    <n v="575400"/>
    <n v="569515"/>
    <x v="2"/>
    <x v="3"/>
    <x v="0"/>
    <n v="5885"/>
    <n v="1.0333353818600037"/>
    <s v="Timeline extended"/>
  </r>
  <r>
    <s v="P2568"/>
    <s v="Project-496"/>
    <x v="1"/>
    <x v="3"/>
    <x v="431"/>
    <x v="12"/>
    <x v="2"/>
    <n v="540492"/>
    <n v="391116"/>
    <x v="4"/>
    <x v="0"/>
    <x v="1"/>
    <n v="149376"/>
    <n v="38.192249869603899"/>
    <s v="Project delivered successfully"/>
  </r>
  <r>
    <s v="P2569"/>
    <s v="Project-378"/>
    <x v="7"/>
    <x v="6"/>
    <x v="161"/>
    <x v="473"/>
    <x v="0"/>
    <n v="532233"/>
    <n v="481420"/>
    <x v="0"/>
    <x v="2"/>
    <x v="2"/>
    <n v="50813"/>
    <n v="10.554816999709193"/>
    <s v="Work in progress"/>
  </r>
  <r>
    <s v="P2570"/>
    <s v="Project-950"/>
    <x v="1"/>
    <x v="1"/>
    <x v="514"/>
    <x v="266"/>
    <x v="2"/>
    <n v="884787"/>
    <n v="431889"/>
    <x v="1"/>
    <x v="3"/>
    <x v="2"/>
    <n v="452898"/>
    <n v="104.864444336392"/>
    <s v="Project delivered successfully"/>
  </r>
  <r>
    <s v="P2571"/>
    <s v="Project-464"/>
    <x v="7"/>
    <x v="2"/>
    <x v="582"/>
    <x v="143"/>
    <x v="2"/>
    <n v="125561"/>
    <n v="647690"/>
    <x v="2"/>
    <x v="3"/>
    <x v="2"/>
    <n v="-522129"/>
    <n v="-80.614028316015379"/>
    <s v="Project delivered successfully"/>
  </r>
  <r>
    <s v="P2572"/>
    <s v="Project-430"/>
    <x v="3"/>
    <x v="6"/>
    <x v="468"/>
    <x v="607"/>
    <x v="0"/>
    <n v="215154"/>
    <n v="852590"/>
    <x v="2"/>
    <x v="3"/>
    <x v="2"/>
    <n v="-637436"/>
    <n v="-74.764658276545575"/>
    <s v="Work in progress"/>
  </r>
  <r>
    <s v="P2573"/>
    <s v="Project-740"/>
    <x v="0"/>
    <x v="3"/>
    <x v="127"/>
    <x v="592"/>
    <x v="0"/>
    <n v="692469"/>
    <n v="498205"/>
    <x v="0"/>
    <x v="3"/>
    <x v="2"/>
    <n v="194264"/>
    <n v="38.992784094900692"/>
    <s v="Work in progress"/>
  </r>
  <r>
    <s v="P2574"/>
    <s v="Project-443"/>
    <x v="4"/>
    <x v="0"/>
    <x v="509"/>
    <x v="192"/>
    <x v="0"/>
    <n v="634770"/>
    <n v="700756"/>
    <x v="3"/>
    <x v="1"/>
    <x v="0"/>
    <n v="-65986"/>
    <n v="-9.416401714719532"/>
    <s v="Work in progress"/>
  </r>
  <r>
    <s v="P2575"/>
    <s v="Project-921"/>
    <x v="0"/>
    <x v="7"/>
    <x v="402"/>
    <x v="534"/>
    <x v="0"/>
    <n v="653386"/>
    <n v="1070486"/>
    <x v="4"/>
    <x v="1"/>
    <x v="0"/>
    <n v="-417100"/>
    <n v="-38.963610920647255"/>
    <s v="Work in progress"/>
  </r>
  <r>
    <s v="P2576"/>
    <s v="Project-554"/>
    <x v="1"/>
    <x v="6"/>
    <x v="705"/>
    <x v="516"/>
    <x v="2"/>
    <n v="454520"/>
    <n v="254978"/>
    <x v="0"/>
    <x v="2"/>
    <x v="0"/>
    <n v="199542"/>
    <n v="78.258516421024567"/>
    <s v="Project delivered successfully"/>
  </r>
  <r>
    <s v="P2577"/>
    <s v="Project-700"/>
    <x v="0"/>
    <x v="7"/>
    <x v="324"/>
    <x v="98"/>
    <x v="0"/>
    <n v="959410"/>
    <n v="1166045"/>
    <x v="0"/>
    <x v="0"/>
    <x v="2"/>
    <n v="-206635"/>
    <n v="-17.721014197565275"/>
    <s v="Work in progress"/>
  </r>
  <r>
    <s v="P2578"/>
    <s v="Project-824"/>
    <x v="3"/>
    <x v="1"/>
    <x v="347"/>
    <x v="433"/>
    <x v="1"/>
    <n v="106625"/>
    <n v="389140"/>
    <x v="0"/>
    <x v="0"/>
    <x v="2"/>
    <n v="-282515"/>
    <n v="-72.599835534768971"/>
    <s v="Timeline extended"/>
  </r>
  <r>
    <s v="P2579"/>
    <s v="Project-754"/>
    <x v="4"/>
    <x v="4"/>
    <x v="247"/>
    <x v="415"/>
    <x v="0"/>
    <n v="436503"/>
    <n v="57268"/>
    <x v="0"/>
    <x v="2"/>
    <x v="2"/>
    <n v="379235"/>
    <n v="662.21100789271497"/>
    <s v="Work in progress"/>
  </r>
  <r>
    <s v="P2580"/>
    <s v="Project-164"/>
    <x v="1"/>
    <x v="3"/>
    <x v="611"/>
    <x v="368"/>
    <x v="0"/>
    <n v="383390"/>
    <n v="94636"/>
    <x v="3"/>
    <x v="0"/>
    <x v="0"/>
    <n v="288754"/>
    <n v="305.12067289403609"/>
    <s v="Work in progress"/>
  </r>
  <r>
    <s v="P2581"/>
    <s v="Project-175"/>
    <x v="4"/>
    <x v="0"/>
    <x v="706"/>
    <x v="707"/>
    <x v="2"/>
    <n v="324732"/>
    <n v="975751"/>
    <x v="1"/>
    <x v="1"/>
    <x v="2"/>
    <n v="-651019"/>
    <n v="-66.719788142671646"/>
    <s v="Project delivered successfully"/>
  </r>
  <r>
    <s v="P2582"/>
    <s v="Project-810"/>
    <x v="6"/>
    <x v="3"/>
    <x v="38"/>
    <x v="617"/>
    <x v="0"/>
    <n v="952342"/>
    <n v="415905"/>
    <x v="0"/>
    <x v="3"/>
    <x v="0"/>
    <n v="536437"/>
    <n v="128.98065664033854"/>
    <s v="Work in progress"/>
  </r>
  <r>
    <s v="P2583"/>
    <s v="Project-242"/>
    <x v="7"/>
    <x v="7"/>
    <x v="471"/>
    <x v="633"/>
    <x v="0"/>
    <n v="178658"/>
    <n v="832717"/>
    <x v="0"/>
    <x v="0"/>
    <x v="2"/>
    <n v="-654059"/>
    <n v="-78.545172009218021"/>
    <s v="Work in progress"/>
  </r>
  <r>
    <s v="P2584"/>
    <s v="Project-927"/>
    <x v="0"/>
    <x v="3"/>
    <x v="442"/>
    <x v="197"/>
    <x v="0"/>
    <n v="595255"/>
    <n v="247975"/>
    <x v="4"/>
    <x v="3"/>
    <x v="0"/>
    <n v="347280"/>
    <n v="140.04637564270593"/>
    <s v="Work in progress"/>
  </r>
  <r>
    <s v="P2585"/>
    <s v="Project-704"/>
    <x v="4"/>
    <x v="0"/>
    <x v="204"/>
    <x v="697"/>
    <x v="0"/>
    <n v="442297"/>
    <n v="551471"/>
    <x v="2"/>
    <x v="3"/>
    <x v="1"/>
    <n v="-109174"/>
    <n v="-19.796870551669986"/>
    <s v="Work in progress"/>
  </r>
  <r>
    <s v="P2586"/>
    <s v="Project-572"/>
    <x v="5"/>
    <x v="4"/>
    <x v="174"/>
    <x v="678"/>
    <x v="0"/>
    <n v="336400"/>
    <n v="1102712"/>
    <x v="3"/>
    <x v="1"/>
    <x v="2"/>
    <n v="-766312"/>
    <n v="-69.493394467458415"/>
    <s v="Work in progress"/>
  </r>
  <r>
    <s v="P2587"/>
    <s v="Project-516"/>
    <x v="6"/>
    <x v="1"/>
    <x v="114"/>
    <x v="79"/>
    <x v="3"/>
    <n v="763708"/>
    <n v="1007882"/>
    <x v="0"/>
    <x v="3"/>
    <x v="2"/>
    <n v="-244174"/>
    <n v="-24.226447143614035"/>
    <s v="Project cancelled"/>
  </r>
  <r>
    <s v="P2588"/>
    <s v="Project-404"/>
    <x v="0"/>
    <x v="2"/>
    <x v="165"/>
    <x v="276"/>
    <x v="0"/>
    <n v="992556"/>
    <n v="573249"/>
    <x v="1"/>
    <x v="0"/>
    <x v="0"/>
    <n v="419307"/>
    <n v="73.145701082775545"/>
    <s v="Work in progress"/>
  </r>
  <r>
    <s v="P2589"/>
    <s v="Project-835"/>
    <x v="7"/>
    <x v="3"/>
    <x v="428"/>
    <x v="585"/>
    <x v="1"/>
    <n v="964553"/>
    <n v="367553"/>
    <x v="1"/>
    <x v="1"/>
    <x v="2"/>
    <n v="597000"/>
    <n v="162.42555495397943"/>
    <s v="Timeline extended"/>
  </r>
  <r>
    <s v="P2590"/>
    <s v="Project-596"/>
    <x v="4"/>
    <x v="6"/>
    <x v="544"/>
    <x v="44"/>
    <x v="2"/>
    <n v="786332"/>
    <n v="134249"/>
    <x v="1"/>
    <x v="2"/>
    <x v="0"/>
    <n v="652083"/>
    <n v="485.72652310259292"/>
    <s v="Project delivered successfully"/>
  </r>
  <r>
    <s v="P2591"/>
    <s v="Project-390"/>
    <x v="1"/>
    <x v="2"/>
    <x v="59"/>
    <x v="182"/>
    <x v="0"/>
    <n v="792711"/>
    <n v="1104428"/>
    <x v="4"/>
    <x v="1"/>
    <x v="0"/>
    <n v="-311717"/>
    <n v="-28.224293480426066"/>
    <s v="Work in progress"/>
  </r>
  <r>
    <s v="P2592"/>
    <s v="Project-201"/>
    <x v="7"/>
    <x v="7"/>
    <x v="707"/>
    <x v="231"/>
    <x v="0"/>
    <n v="763839"/>
    <n v="1116111"/>
    <x v="1"/>
    <x v="0"/>
    <x v="1"/>
    <n v="-352272"/>
    <n v="-31.562452121697572"/>
    <s v="Work in progress"/>
  </r>
  <r>
    <s v="P2593"/>
    <s v="Project-366"/>
    <x v="5"/>
    <x v="1"/>
    <x v="670"/>
    <x v="356"/>
    <x v="1"/>
    <n v="917164"/>
    <n v="659201"/>
    <x v="4"/>
    <x v="1"/>
    <x v="1"/>
    <n v="257963"/>
    <n v="39.132677286593918"/>
    <s v="Timeline extended"/>
  </r>
  <r>
    <s v="P2594"/>
    <s v="Project-966"/>
    <x v="4"/>
    <x v="5"/>
    <x v="468"/>
    <x v="4"/>
    <x v="1"/>
    <n v="503416"/>
    <n v="37131"/>
    <x v="3"/>
    <x v="0"/>
    <x v="2"/>
    <n v="466285"/>
    <n v="1255.783577064986"/>
    <s v="Timeline extended"/>
  </r>
  <r>
    <s v="P2595"/>
    <s v="Project-721"/>
    <x v="2"/>
    <x v="1"/>
    <x v="556"/>
    <x v="47"/>
    <x v="0"/>
    <n v="788985"/>
    <n v="768592"/>
    <x v="1"/>
    <x v="0"/>
    <x v="2"/>
    <n v="20393"/>
    <n v="2.6532932947519621"/>
    <s v="Work in progress"/>
  </r>
  <r>
    <s v="P2596"/>
    <s v="Project-941"/>
    <x v="2"/>
    <x v="3"/>
    <x v="398"/>
    <x v="256"/>
    <x v="0"/>
    <n v="526356"/>
    <n v="584868"/>
    <x v="2"/>
    <x v="1"/>
    <x v="0"/>
    <n v="-58512"/>
    <n v="-10.004308664519174"/>
    <s v="Work in progress"/>
  </r>
  <r>
    <s v="P2597"/>
    <s v="Project-876"/>
    <x v="3"/>
    <x v="6"/>
    <x v="544"/>
    <x v="708"/>
    <x v="0"/>
    <n v="704433"/>
    <n v="668451"/>
    <x v="0"/>
    <x v="0"/>
    <x v="0"/>
    <n v="35982"/>
    <n v="5.3828926877213146"/>
    <s v="Work in progress"/>
  </r>
  <r>
    <s v="P2598"/>
    <s v="Project-102"/>
    <x v="0"/>
    <x v="4"/>
    <x v="32"/>
    <x v="52"/>
    <x v="0"/>
    <n v="445722"/>
    <n v="1172776"/>
    <x v="3"/>
    <x v="2"/>
    <x v="0"/>
    <n v="-727054"/>
    <n v="-61.994276826947349"/>
    <s v="Work in progress"/>
  </r>
  <r>
    <s v="P2599"/>
    <s v="Project-184"/>
    <x v="1"/>
    <x v="1"/>
    <x v="457"/>
    <x v="467"/>
    <x v="2"/>
    <n v="148120"/>
    <n v="111118"/>
    <x v="2"/>
    <x v="0"/>
    <x v="0"/>
    <n v="37002"/>
    <n v="33.299735416404182"/>
    <s v="Project delivered successfully"/>
  </r>
  <r>
    <s v="P2600"/>
    <s v="Project-893"/>
    <x v="3"/>
    <x v="3"/>
    <x v="174"/>
    <x v="498"/>
    <x v="1"/>
    <n v="726069"/>
    <n v="578524"/>
    <x v="3"/>
    <x v="2"/>
    <x v="2"/>
    <n v="147545"/>
    <n v="25.503695611590878"/>
    <s v="Timeline extended"/>
  </r>
  <r>
    <s v="P2601"/>
    <s v="Project-427"/>
    <x v="4"/>
    <x v="3"/>
    <x v="476"/>
    <x v="52"/>
    <x v="0"/>
    <n v="763895"/>
    <n v="315574"/>
    <x v="1"/>
    <x v="2"/>
    <x v="1"/>
    <n v="448321"/>
    <n v="142.06525252397219"/>
    <s v="Work in progress"/>
  </r>
  <r>
    <s v="P2602"/>
    <s v="Project-915"/>
    <x v="2"/>
    <x v="2"/>
    <x v="374"/>
    <x v="686"/>
    <x v="2"/>
    <n v="356984"/>
    <n v="113299"/>
    <x v="3"/>
    <x v="0"/>
    <x v="2"/>
    <n v="243685"/>
    <n v="215.0813334627843"/>
    <s v="Project delivered successfully"/>
  </r>
  <r>
    <s v="P2603"/>
    <s v="Project-549"/>
    <x v="2"/>
    <x v="1"/>
    <x v="499"/>
    <x v="656"/>
    <x v="2"/>
    <n v="295512"/>
    <n v="723540"/>
    <x v="3"/>
    <x v="3"/>
    <x v="2"/>
    <n v="-428028"/>
    <n v="-59.157475744257404"/>
    <s v="Project delivered successfully"/>
  </r>
  <r>
    <s v="P2604"/>
    <s v="Project-553"/>
    <x v="2"/>
    <x v="3"/>
    <x v="489"/>
    <x v="576"/>
    <x v="0"/>
    <n v="949079"/>
    <n v="626658"/>
    <x v="3"/>
    <x v="2"/>
    <x v="2"/>
    <n v="322421"/>
    <n v="51.450871129068808"/>
    <s v="Work in progress"/>
  </r>
  <r>
    <s v="P2605"/>
    <s v="Project-728"/>
    <x v="4"/>
    <x v="2"/>
    <x v="55"/>
    <x v="699"/>
    <x v="0"/>
    <n v="241659"/>
    <n v="511239"/>
    <x v="4"/>
    <x v="2"/>
    <x v="1"/>
    <n v="-269580"/>
    <n v="-52.730718900553363"/>
    <s v="Work in progress"/>
  </r>
  <r>
    <s v="P2606"/>
    <s v="Project-320"/>
    <x v="2"/>
    <x v="6"/>
    <x v="184"/>
    <x v="424"/>
    <x v="2"/>
    <n v="109321"/>
    <n v="157845"/>
    <x v="2"/>
    <x v="1"/>
    <x v="2"/>
    <n v="-48524"/>
    <n v="-30.741550254996991"/>
    <s v="Project delivered successfully"/>
  </r>
  <r>
    <s v="P2607"/>
    <s v="Project-253"/>
    <x v="7"/>
    <x v="0"/>
    <x v="7"/>
    <x v="231"/>
    <x v="1"/>
    <n v="284855"/>
    <n v="738636"/>
    <x v="1"/>
    <x v="2"/>
    <x v="1"/>
    <n v="-453781"/>
    <n v="-61.43499639876746"/>
    <s v="Timeline extended"/>
  </r>
  <r>
    <s v="P2608"/>
    <s v="Project-764"/>
    <x v="6"/>
    <x v="6"/>
    <x v="131"/>
    <x v="506"/>
    <x v="2"/>
    <n v="93202"/>
    <n v="669340"/>
    <x v="0"/>
    <x v="2"/>
    <x v="0"/>
    <n v="-576138"/>
    <n v="-86.075537096244062"/>
    <s v="Project delivered successfully"/>
  </r>
  <r>
    <s v="P2609"/>
    <s v="Project-111"/>
    <x v="4"/>
    <x v="5"/>
    <x v="250"/>
    <x v="379"/>
    <x v="0"/>
    <n v="237660"/>
    <n v="480968"/>
    <x v="1"/>
    <x v="2"/>
    <x v="2"/>
    <n v="-243308"/>
    <n v="-50.587149249014487"/>
    <s v="Work in progress"/>
  </r>
  <r>
    <s v="P2610"/>
    <s v="Project-232"/>
    <x v="1"/>
    <x v="2"/>
    <x v="384"/>
    <x v="535"/>
    <x v="0"/>
    <n v="708450"/>
    <n v="660025"/>
    <x v="1"/>
    <x v="2"/>
    <x v="0"/>
    <n v="48425"/>
    <n v="7.3368433013900987"/>
    <s v="Work in progress"/>
  </r>
  <r>
    <s v="P2611"/>
    <s v="Project-403"/>
    <x v="6"/>
    <x v="2"/>
    <x v="708"/>
    <x v="170"/>
    <x v="0"/>
    <n v="548017"/>
    <n v="329615"/>
    <x v="4"/>
    <x v="3"/>
    <x v="0"/>
    <n v="218402"/>
    <n v="66.259727257558069"/>
    <s v="Work in progress"/>
  </r>
  <r>
    <s v="P2612"/>
    <s v="Project-392"/>
    <x v="3"/>
    <x v="3"/>
    <x v="622"/>
    <x v="341"/>
    <x v="2"/>
    <n v="371375"/>
    <n v="1127338"/>
    <x v="4"/>
    <x v="2"/>
    <x v="0"/>
    <n v="-755963"/>
    <n v="-67.057351034028841"/>
    <s v="Project delivered successfully"/>
  </r>
  <r>
    <s v="P2613"/>
    <s v="Project-399"/>
    <x v="1"/>
    <x v="7"/>
    <x v="460"/>
    <x v="87"/>
    <x v="2"/>
    <n v="857984"/>
    <n v="969019"/>
    <x v="3"/>
    <x v="0"/>
    <x v="2"/>
    <n v="-111035"/>
    <n v="-11.458495653851989"/>
    <s v="Project delivered successfully"/>
  </r>
  <r>
    <s v="P2614"/>
    <s v="Project-839"/>
    <x v="6"/>
    <x v="7"/>
    <x v="137"/>
    <x v="243"/>
    <x v="0"/>
    <n v="275743"/>
    <n v="195379"/>
    <x v="1"/>
    <x v="3"/>
    <x v="0"/>
    <n v="80364"/>
    <n v="41.132363252959628"/>
    <s v="Work in progress"/>
  </r>
  <r>
    <s v="P2615"/>
    <s v="Project-882"/>
    <x v="5"/>
    <x v="4"/>
    <x v="58"/>
    <x v="563"/>
    <x v="1"/>
    <n v="261299"/>
    <n v="803481"/>
    <x v="2"/>
    <x v="2"/>
    <x v="2"/>
    <n v="-542182"/>
    <n v="-67.479131429367968"/>
    <s v="Timeline extended"/>
  </r>
  <r>
    <s v="P2616"/>
    <s v="Project-142"/>
    <x v="2"/>
    <x v="7"/>
    <x v="454"/>
    <x v="617"/>
    <x v="2"/>
    <n v="333805"/>
    <n v="1026185"/>
    <x v="4"/>
    <x v="0"/>
    <x v="0"/>
    <n v="-692380"/>
    <n v="-67.471264927863885"/>
    <s v="Project delivered successfully"/>
  </r>
  <r>
    <s v="P2617"/>
    <s v="Project-442"/>
    <x v="5"/>
    <x v="2"/>
    <x v="510"/>
    <x v="709"/>
    <x v="2"/>
    <n v="222097"/>
    <n v="703346"/>
    <x v="4"/>
    <x v="0"/>
    <x v="2"/>
    <n v="-481249"/>
    <n v="-68.422796177130465"/>
    <s v="Project delivered successfully"/>
  </r>
  <r>
    <s v="P2618"/>
    <s v="Project-425"/>
    <x v="0"/>
    <x v="4"/>
    <x v="537"/>
    <x v="540"/>
    <x v="3"/>
    <n v="449308"/>
    <n v="376768"/>
    <x v="2"/>
    <x v="3"/>
    <x v="2"/>
    <n v="72540"/>
    <n v="19.253227450314252"/>
    <s v="Project cancelled"/>
  </r>
  <r>
    <s v="P2619"/>
    <s v="Project-913"/>
    <x v="0"/>
    <x v="6"/>
    <x v="686"/>
    <x v="455"/>
    <x v="0"/>
    <n v="705930"/>
    <n v="362744"/>
    <x v="4"/>
    <x v="3"/>
    <x v="2"/>
    <n v="343186"/>
    <n v="94.608318814370463"/>
    <s v="Work in progress"/>
  </r>
  <r>
    <s v="P2620"/>
    <s v="Project-597"/>
    <x v="6"/>
    <x v="3"/>
    <x v="669"/>
    <x v="53"/>
    <x v="1"/>
    <n v="979588"/>
    <n v="672624"/>
    <x v="2"/>
    <x v="0"/>
    <x v="0"/>
    <n v="306964"/>
    <n v="45.636789647708085"/>
    <s v="Timeline extended"/>
  </r>
  <r>
    <s v="P2621"/>
    <s v="Project-463"/>
    <x v="5"/>
    <x v="6"/>
    <x v="2"/>
    <x v="11"/>
    <x v="0"/>
    <n v="902275"/>
    <n v="1035236"/>
    <x v="0"/>
    <x v="3"/>
    <x v="2"/>
    <n v="-132961"/>
    <n v="-12.843544853540642"/>
    <s v="Work in progress"/>
  </r>
  <r>
    <s v="P2622"/>
    <s v="Project-990"/>
    <x v="4"/>
    <x v="1"/>
    <x v="494"/>
    <x v="697"/>
    <x v="0"/>
    <n v="503968"/>
    <n v="360168"/>
    <x v="2"/>
    <x v="3"/>
    <x v="0"/>
    <n v="143800"/>
    <n v="39.925812398658408"/>
    <s v="Work in progress"/>
  </r>
  <r>
    <s v="P2623"/>
    <s v="Project-526"/>
    <x v="1"/>
    <x v="5"/>
    <x v="217"/>
    <x v="631"/>
    <x v="1"/>
    <n v="381422"/>
    <n v="1169304"/>
    <x v="0"/>
    <x v="1"/>
    <x v="1"/>
    <n v="-787882"/>
    <n v="-67.380424594459612"/>
    <s v="Timeline extended"/>
  </r>
  <r>
    <s v="P2624"/>
    <s v="Project-120"/>
    <x v="5"/>
    <x v="5"/>
    <x v="700"/>
    <x v="266"/>
    <x v="1"/>
    <n v="812638"/>
    <n v="845329"/>
    <x v="3"/>
    <x v="3"/>
    <x v="0"/>
    <n v="-32691"/>
    <n v="-3.8672516854384504"/>
    <s v="Timeline extended"/>
  </r>
  <r>
    <s v="P2625"/>
    <s v="Project-506"/>
    <x v="0"/>
    <x v="2"/>
    <x v="299"/>
    <x v="377"/>
    <x v="0"/>
    <n v="144328"/>
    <n v="704162"/>
    <x v="3"/>
    <x v="1"/>
    <x v="0"/>
    <n v="-559834"/>
    <n v="-79.50358014206958"/>
    <s v="Work in progress"/>
  </r>
  <r>
    <s v="P2626"/>
    <s v="Project-718"/>
    <x v="5"/>
    <x v="2"/>
    <x v="499"/>
    <x v="424"/>
    <x v="2"/>
    <n v="968269"/>
    <n v="177483"/>
    <x v="4"/>
    <x v="3"/>
    <x v="2"/>
    <n v="790786"/>
    <n v="445.55591239724367"/>
    <s v="Project delivered successfully"/>
  </r>
  <r>
    <s v="P2627"/>
    <s v="Project-435"/>
    <x v="4"/>
    <x v="4"/>
    <x v="280"/>
    <x v="384"/>
    <x v="2"/>
    <n v="700643"/>
    <n v="90399"/>
    <x v="2"/>
    <x v="3"/>
    <x v="0"/>
    <n v="610244"/>
    <n v="675.05614000154867"/>
    <s v="Project delivered successfully"/>
  </r>
  <r>
    <s v="P2628"/>
    <s v="Project-914"/>
    <x v="5"/>
    <x v="3"/>
    <x v="328"/>
    <x v="287"/>
    <x v="1"/>
    <n v="288340"/>
    <n v="256274"/>
    <x v="4"/>
    <x v="0"/>
    <x v="1"/>
    <n v="32066"/>
    <n v="12.512389083559002"/>
    <s v="Timeline extended"/>
  </r>
  <r>
    <s v="P2629"/>
    <s v="Project-216"/>
    <x v="1"/>
    <x v="0"/>
    <x v="591"/>
    <x v="513"/>
    <x v="0"/>
    <n v="336342"/>
    <n v="90692"/>
    <x v="2"/>
    <x v="1"/>
    <x v="2"/>
    <n v="245650"/>
    <n v="270.86181802143517"/>
    <s v="Work in progress"/>
  </r>
  <r>
    <s v="P2630"/>
    <s v="Project-223"/>
    <x v="3"/>
    <x v="2"/>
    <x v="619"/>
    <x v="384"/>
    <x v="1"/>
    <n v="111201"/>
    <n v="103513"/>
    <x v="4"/>
    <x v="3"/>
    <x v="0"/>
    <n v="7688"/>
    <n v="7.4270864529092968"/>
    <s v="Timeline extended"/>
  </r>
  <r>
    <s v="P2631"/>
    <s v="Project-498"/>
    <x v="4"/>
    <x v="0"/>
    <x v="693"/>
    <x v="710"/>
    <x v="0"/>
    <n v="385415"/>
    <n v="520783"/>
    <x v="3"/>
    <x v="2"/>
    <x v="0"/>
    <n v="-135368"/>
    <n v="-25.993167979753562"/>
    <s v="Work in progress"/>
  </r>
  <r>
    <s v="P2632"/>
    <s v="Project-892"/>
    <x v="0"/>
    <x v="6"/>
    <x v="226"/>
    <x v="435"/>
    <x v="0"/>
    <n v="262810"/>
    <n v="231157"/>
    <x v="3"/>
    <x v="3"/>
    <x v="2"/>
    <n v="31653"/>
    <n v="13.693290707181699"/>
    <s v="Work in progress"/>
  </r>
  <r>
    <s v="P2633"/>
    <s v="Project-903"/>
    <x v="1"/>
    <x v="0"/>
    <x v="554"/>
    <x v="661"/>
    <x v="0"/>
    <n v="454593"/>
    <n v="967841"/>
    <x v="4"/>
    <x v="0"/>
    <x v="2"/>
    <n v="-513248"/>
    <n v="-53.030198142050189"/>
    <s v="Work in progress"/>
  </r>
  <r>
    <s v="P2634"/>
    <s v="Project-814"/>
    <x v="5"/>
    <x v="7"/>
    <x v="268"/>
    <x v="98"/>
    <x v="0"/>
    <n v="423722"/>
    <n v="385045"/>
    <x v="2"/>
    <x v="0"/>
    <x v="0"/>
    <n v="38677"/>
    <n v="10.044799958446415"/>
    <s v="Work in progress"/>
  </r>
  <r>
    <s v="P2635"/>
    <s v="Project-150"/>
    <x v="5"/>
    <x v="3"/>
    <x v="134"/>
    <x v="87"/>
    <x v="1"/>
    <n v="785193"/>
    <n v="798693"/>
    <x v="1"/>
    <x v="0"/>
    <x v="0"/>
    <n v="-13500"/>
    <n v="-1.6902614646679013"/>
    <s v="Timeline extended"/>
  </r>
  <r>
    <s v="P2636"/>
    <s v="Project-882"/>
    <x v="3"/>
    <x v="5"/>
    <x v="199"/>
    <x v="566"/>
    <x v="0"/>
    <n v="451252"/>
    <n v="613884"/>
    <x v="2"/>
    <x v="1"/>
    <x v="2"/>
    <n v="-162632"/>
    <n v="-26.492301477152036"/>
    <s v="Work in progress"/>
  </r>
  <r>
    <s v="P2637"/>
    <s v="Project-423"/>
    <x v="0"/>
    <x v="5"/>
    <x v="258"/>
    <x v="499"/>
    <x v="3"/>
    <n v="352508"/>
    <n v="100509"/>
    <x v="4"/>
    <x v="1"/>
    <x v="2"/>
    <n v="251999"/>
    <n v="250.72282084191465"/>
    <s v="Project cancelled"/>
  </r>
  <r>
    <s v="P2638"/>
    <s v="Project-888"/>
    <x v="0"/>
    <x v="0"/>
    <x v="356"/>
    <x v="168"/>
    <x v="0"/>
    <n v="951659"/>
    <n v="562724"/>
    <x v="2"/>
    <x v="1"/>
    <x v="1"/>
    <n v="388935"/>
    <n v="69.116476283222326"/>
    <s v="Work in progress"/>
  </r>
  <r>
    <s v="P2639"/>
    <s v="Project-240"/>
    <x v="7"/>
    <x v="5"/>
    <x v="463"/>
    <x v="344"/>
    <x v="2"/>
    <n v="533121"/>
    <n v="40086"/>
    <x v="0"/>
    <x v="2"/>
    <x v="1"/>
    <n v="493035"/>
    <n v="1229.9431222870828"/>
    <s v="Project delivered successfully"/>
  </r>
  <r>
    <s v="P2640"/>
    <s v="Project-569"/>
    <x v="0"/>
    <x v="6"/>
    <x v="20"/>
    <x v="7"/>
    <x v="1"/>
    <n v="150353"/>
    <n v="1030780"/>
    <x v="2"/>
    <x v="1"/>
    <x v="1"/>
    <n v="-880427"/>
    <n v="-85.413667319893676"/>
    <s v="Timeline extended"/>
  </r>
  <r>
    <s v="P2641"/>
    <s v="Project-886"/>
    <x v="3"/>
    <x v="3"/>
    <x v="175"/>
    <x v="664"/>
    <x v="2"/>
    <n v="823331"/>
    <n v="383198"/>
    <x v="3"/>
    <x v="0"/>
    <x v="2"/>
    <n v="440133"/>
    <n v="114.85785416416579"/>
    <s v="Project delivered successfully"/>
  </r>
  <r>
    <s v="P2642"/>
    <s v="Project-901"/>
    <x v="2"/>
    <x v="7"/>
    <x v="31"/>
    <x v="519"/>
    <x v="2"/>
    <n v="742803"/>
    <n v="856164"/>
    <x v="3"/>
    <x v="1"/>
    <x v="2"/>
    <n v="-113361"/>
    <n v="-13.240570731775689"/>
    <s v="Project delivered successfully"/>
  </r>
  <r>
    <s v="P2643"/>
    <s v="Project-433"/>
    <x v="7"/>
    <x v="3"/>
    <x v="24"/>
    <x v="44"/>
    <x v="2"/>
    <n v="444879"/>
    <n v="945360"/>
    <x v="0"/>
    <x v="1"/>
    <x v="2"/>
    <n v="-500481"/>
    <n v="-52.940784463061682"/>
    <s v="Project delivered successfully"/>
  </r>
  <r>
    <s v="P2644"/>
    <s v="Project-992"/>
    <x v="7"/>
    <x v="2"/>
    <x v="325"/>
    <x v="315"/>
    <x v="1"/>
    <n v="220316"/>
    <n v="256562"/>
    <x v="2"/>
    <x v="3"/>
    <x v="0"/>
    <n v="-36246"/>
    <n v="-14.127579298571105"/>
    <s v="Timeline extended"/>
  </r>
  <r>
    <s v="P2645"/>
    <s v="Project-472"/>
    <x v="5"/>
    <x v="0"/>
    <x v="263"/>
    <x v="644"/>
    <x v="1"/>
    <n v="913996"/>
    <n v="1080321"/>
    <x v="1"/>
    <x v="1"/>
    <x v="2"/>
    <n v="-166325"/>
    <n v="-15.395886963226671"/>
    <s v="Timeline extended"/>
  </r>
  <r>
    <s v="P2646"/>
    <s v="Project-663"/>
    <x v="5"/>
    <x v="3"/>
    <x v="269"/>
    <x v="171"/>
    <x v="0"/>
    <n v="196149"/>
    <n v="829129"/>
    <x v="2"/>
    <x v="3"/>
    <x v="0"/>
    <n v="-632980"/>
    <n v="-76.342764515533773"/>
    <s v="Work in progress"/>
  </r>
  <r>
    <s v="P2647"/>
    <s v="Project-593"/>
    <x v="0"/>
    <x v="6"/>
    <x v="493"/>
    <x v="261"/>
    <x v="1"/>
    <n v="763209"/>
    <n v="515685"/>
    <x v="3"/>
    <x v="1"/>
    <x v="2"/>
    <n v="247524"/>
    <n v="47.999069199220457"/>
    <s v="Timeline extended"/>
  </r>
  <r>
    <s v="P2648"/>
    <s v="Project-638"/>
    <x v="7"/>
    <x v="5"/>
    <x v="137"/>
    <x v="708"/>
    <x v="0"/>
    <n v="679735"/>
    <n v="1082455"/>
    <x v="3"/>
    <x v="3"/>
    <x v="2"/>
    <n v="-402720"/>
    <n v="-37.204317962409519"/>
    <s v="Work in progress"/>
  </r>
  <r>
    <s v="P2649"/>
    <s v="Project-768"/>
    <x v="6"/>
    <x v="1"/>
    <x v="85"/>
    <x v="531"/>
    <x v="0"/>
    <n v="331775"/>
    <n v="246769"/>
    <x v="4"/>
    <x v="0"/>
    <x v="0"/>
    <n v="85006"/>
    <n v="34.447600792644131"/>
    <s v="Work in progress"/>
  </r>
  <r>
    <s v="P2650"/>
    <s v="Project-850"/>
    <x v="5"/>
    <x v="3"/>
    <x v="345"/>
    <x v="556"/>
    <x v="1"/>
    <n v="758012"/>
    <n v="703859"/>
    <x v="3"/>
    <x v="1"/>
    <x v="2"/>
    <n v="54153"/>
    <n v="7.6937284314045851"/>
    <s v="Timeline extended"/>
  </r>
  <r>
    <s v="P2651"/>
    <s v="Project-255"/>
    <x v="3"/>
    <x v="0"/>
    <x v="213"/>
    <x v="299"/>
    <x v="0"/>
    <n v="510662"/>
    <n v="773537"/>
    <x v="4"/>
    <x v="0"/>
    <x v="2"/>
    <n v="-262875"/>
    <n v="-33.98350692985597"/>
    <s v="Work in progress"/>
  </r>
  <r>
    <s v="P2652"/>
    <s v="Project-390"/>
    <x v="6"/>
    <x v="7"/>
    <x v="318"/>
    <x v="108"/>
    <x v="1"/>
    <n v="869932"/>
    <n v="853681"/>
    <x v="3"/>
    <x v="1"/>
    <x v="2"/>
    <n v="16251"/>
    <n v="1.9036384785417506"/>
    <s v="Timeline extended"/>
  </r>
  <r>
    <s v="P2653"/>
    <s v="Project-747"/>
    <x v="5"/>
    <x v="5"/>
    <x v="557"/>
    <x v="408"/>
    <x v="0"/>
    <n v="463113"/>
    <n v="447065"/>
    <x v="3"/>
    <x v="2"/>
    <x v="1"/>
    <n v="16048"/>
    <n v="3.5896346168901609"/>
    <s v="Work in progress"/>
  </r>
  <r>
    <s v="P2654"/>
    <s v="Project-243"/>
    <x v="4"/>
    <x v="7"/>
    <x v="392"/>
    <x v="519"/>
    <x v="0"/>
    <n v="371059"/>
    <n v="1046737"/>
    <x v="1"/>
    <x v="2"/>
    <x v="2"/>
    <n v="-675678"/>
    <n v="-64.55088527490669"/>
    <s v="Work in progress"/>
  </r>
  <r>
    <s v="P2655"/>
    <s v="Project-205"/>
    <x v="4"/>
    <x v="0"/>
    <x v="425"/>
    <x v="150"/>
    <x v="0"/>
    <n v="939192"/>
    <n v="758669"/>
    <x v="4"/>
    <x v="0"/>
    <x v="0"/>
    <n v="180523"/>
    <n v="23.794698346709829"/>
    <s v="Work in progress"/>
  </r>
  <r>
    <s v="P2656"/>
    <s v="Project-519"/>
    <x v="5"/>
    <x v="5"/>
    <x v="559"/>
    <x v="640"/>
    <x v="0"/>
    <n v="339041"/>
    <n v="321220"/>
    <x v="4"/>
    <x v="0"/>
    <x v="0"/>
    <n v="17821"/>
    <n v="5.5479110889732901"/>
    <s v="Work in progress"/>
  </r>
  <r>
    <s v="P2657"/>
    <s v="Project-769"/>
    <x v="7"/>
    <x v="2"/>
    <x v="43"/>
    <x v="334"/>
    <x v="2"/>
    <n v="752640"/>
    <n v="755483"/>
    <x v="3"/>
    <x v="2"/>
    <x v="0"/>
    <n v="-2843"/>
    <n v="-0.37631554912552634"/>
    <s v="Project delivered successfully"/>
  </r>
  <r>
    <s v="P2658"/>
    <s v="Project-757"/>
    <x v="2"/>
    <x v="5"/>
    <x v="700"/>
    <x v="624"/>
    <x v="0"/>
    <n v="675927"/>
    <n v="718484"/>
    <x v="4"/>
    <x v="2"/>
    <x v="2"/>
    <n v="-42557"/>
    <n v="-5.9231659995212143"/>
    <s v="Work in progress"/>
  </r>
  <r>
    <s v="P2659"/>
    <s v="Project-101"/>
    <x v="2"/>
    <x v="2"/>
    <x v="347"/>
    <x v="140"/>
    <x v="0"/>
    <n v="950281"/>
    <n v="701147"/>
    <x v="3"/>
    <x v="3"/>
    <x v="0"/>
    <n v="249134"/>
    <n v="35.53234913648636"/>
    <s v="Work in progress"/>
  </r>
  <r>
    <s v="P2660"/>
    <s v="Project-688"/>
    <x v="7"/>
    <x v="7"/>
    <x v="672"/>
    <x v="507"/>
    <x v="0"/>
    <n v="161118"/>
    <n v="378128"/>
    <x v="3"/>
    <x v="1"/>
    <x v="1"/>
    <n v="-217010"/>
    <n v="-57.390619049633983"/>
    <s v="Work in progress"/>
  </r>
  <r>
    <s v="P2661"/>
    <s v="Project-743"/>
    <x v="1"/>
    <x v="7"/>
    <x v="620"/>
    <x v="481"/>
    <x v="0"/>
    <n v="369464"/>
    <n v="1149611"/>
    <x v="2"/>
    <x v="2"/>
    <x v="0"/>
    <n v="-780147"/>
    <n v="-67.861824565005037"/>
    <s v="Work in progress"/>
  </r>
  <r>
    <s v="P2662"/>
    <s v="Project-189"/>
    <x v="2"/>
    <x v="0"/>
    <x v="293"/>
    <x v="217"/>
    <x v="2"/>
    <n v="777952"/>
    <n v="1082417"/>
    <x v="4"/>
    <x v="0"/>
    <x v="2"/>
    <n v="-304465"/>
    <n v="-28.128253713679662"/>
    <s v="Project delivered successfully"/>
  </r>
  <r>
    <s v="P2663"/>
    <s v="Project-444"/>
    <x v="4"/>
    <x v="2"/>
    <x v="37"/>
    <x v="332"/>
    <x v="0"/>
    <n v="537702"/>
    <n v="579690"/>
    <x v="0"/>
    <x v="0"/>
    <x v="1"/>
    <n v="-41988"/>
    <n v="-7.2431817005640937"/>
    <s v="Work in progress"/>
  </r>
  <r>
    <s v="P2664"/>
    <s v="Project-449"/>
    <x v="3"/>
    <x v="7"/>
    <x v="568"/>
    <x v="204"/>
    <x v="2"/>
    <n v="904721"/>
    <n v="403857"/>
    <x v="4"/>
    <x v="2"/>
    <x v="0"/>
    <n v="500864"/>
    <n v="124.02013584016125"/>
    <s v="Project delivered successfully"/>
  </r>
  <r>
    <s v="P2665"/>
    <s v="Project-558"/>
    <x v="7"/>
    <x v="2"/>
    <x v="558"/>
    <x v="414"/>
    <x v="1"/>
    <n v="606229"/>
    <n v="1036095"/>
    <x v="4"/>
    <x v="0"/>
    <x v="1"/>
    <n v="-429866"/>
    <n v="-41.489052644786433"/>
    <s v="Timeline extended"/>
  </r>
  <r>
    <s v="P2666"/>
    <s v="Project-362"/>
    <x v="0"/>
    <x v="7"/>
    <x v="375"/>
    <x v="3"/>
    <x v="2"/>
    <n v="805036"/>
    <n v="127807"/>
    <x v="1"/>
    <x v="1"/>
    <x v="0"/>
    <n v="677229"/>
    <n v="529.88412215293374"/>
    <s v="Project delivered successfully"/>
  </r>
  <r>
    <s v="P2667"/>
    <s v="Project-450"/>
    <x v="4"/>
    <x v="5"/>
    <x v="282"/>
    <x v="57"/>
    <x v="1"/>
    <n v="195306"/>
    <n v="839669"/>
    <x v="0"/>
    <x v="3"/>
    <x v="2"/>
    <n v="-644363"/>
    <n v="-76.740120214036722"/>
    <s v="Timeline extended"/>
  </r>
  <r>
    <s v="P2668"/>
    <s v="Project-207"/>
    <x v="3"/>
    <x v="3"/>
    <x v="402"/>
    <x v="82"/>
    <x v="0"/>
    <n v="649460"/>
    <n v="237382"/>
    <x v="0"/>
    <x v="1"/>
    <x v="1"/>
    <n v="412078"/>
    <n v="173.59277451533814"/>
    <s v="Work in progress"/>
  </r>
  <r>
    <s v="P2669"/>
    <s v="Project-685"/>
    <x v="3"/>
    <x v="6"/>
    <x v="70"/>
    <x v="68"/>
    <x v="0"/>
    <n v="53376"/>
    <n v="423769"/>
    <x v="1"/>
    <x v="3"/>
    <x v="0"/>
    <n v="-370393"/>
    <n v="-87.404458561150051"/>
    <s v="Work in progress"/>
  </r>
  <r>
    <s v="P2670"/>
    <s v="Project-138"/>
    <x v="7"/>
    <x v="1"/>
    <x v="434"/>
    <x v="22"/>
    <x v="1"/>
    <n v="342927"/>
    <n v="699220"/>
    <x v="1"/>
    <x v="3"/>
    <x v="0"/>
    <n v="-356293"/>
    <n v="-50.955779296930871"/>
    <s v="Timeline extended"/>
  </r>
  <r>
    <s v="P2671"/>
    <s v="Project-258"/>
    <x v="3"/>
    <x v="6"/>
    <x v="75"/>
    <x v="604"/>
    <x v="2"/>
    <n v="484465"/>
    <n v="644727"/>
    <x v="4"/>
    <x v="2"/>
    <x v="1"/>
    <n v="-160262"/>
    <n v="-24.857342720252138"/>
    <s v="Project delivered successfully"/>
  </r>
  <r>
    <s v="P2672"/>
    <s v="Project-682"/>
    <x v="7"/>
    <x v="5"/>
    <x v="228"/>
    <x v="491"/>
    <x v="2"/>
    <n v="355169"/>
    <n v="367060"/>
    <x v="2"/>
    <x v="0"/>
    <x v="1"/>
    <n v="-11891"/>
    <n v="-3.239524873317714"/>
    <s v="Project delivered successfully"/>
  </r>
  <r>
    <s v="P2673"/>
    <s v="Project-411"/>
    <x v="2"/>
    <x v="4"/>
    <x v="184"/>
    <x v="101"/>
    <x v="2"/>
    <n v="590735"/>
    <n v="86435"/>
    <x v="1"/>
    <x v="3"/>
    <x v="1"/>
    <n v="504300"/>
    <n v="583.44420662925904"/>
    <s v="Project delivered successfully"/>
  </r>
  <r>
    <s v="P2674"/>
    <s v="Project-340"/>
    <x v="5"/>
    <x v="6"/>
    <x v="709"/>
    <x v="357"/>
    <x v="0"/>
    <n v="266937"/>
    <n v="128453"/>
    <x v="0"/>
    <x v="2"/>
    <x v="1"/>
    <n v="138484"/>
    <n v="107.8090819210139"/>
    <s v="Work in progress"/>
  </r>
  <r>
    <s v="P2675"/>
    <s v="Project-544"/>
    <x v="4"/>
    <x v="3"/>
    <x v="73"/>
    <x v="535"/>
    <x v="0"/>
    <n v="591001"/>
    <n v="550848"/>
    <x v="0"/>
    <x v="0"/>
    <x v="0"/>
    <n v="40153"/>
    <n v="7.2893066689903572"/>
    <s v="Work in progress"/>
  </r>
  <r>
    <s v="P2676"/>
    <s v="Project-397"/>
    <x v="1"/>
    <x v="4"/>
    <x v="606"/>
    <x v="410"/>
    <x v="2"/>
    <n v="965301"/>
    <n v="1081429"/>
    <x v="4"/>
    <x v="0"/>
    <x v="0"/>
    <n v="-116128"/>
    <n v="-10.738384119530732"/>
    <s v="Project delivered successfully"/>
  </r>
  <r>
    <s v="P2677"/>
    <s v="Project-135"/>
    <x v="5"/>
    <x v="7"/>
    <x v="308"/>
    <x v="629"/>
    <x v="2"/>
    <n v="841290"/>
    <n v="140884"/>
    <x v="2"/>
    <x v="3"/>
    <x v="0"/>
    <n v="700406"/>
    <n v="497.15084750574937"/>
    <s v="Project delivered successfully"/>
  </r>
  <r>
    <s v="P2678"/>
    <s v="Project-183"/>
    <x v="4"/>
    <x v="1"/>
    <x v="506"/>
    <x v="14"/>
    <x v="0"/>
    <n v="756475"/>
    <n v="78022"/>
    <x v="3"/>
    <x v="0"/>
    <x v="2"/>
    <n v="678453"/>
    <n v="869.5662761785137"/>
    <s v="Work in progress"/>
  </r>
  <r>
    <s v="P2679"/>
    <s v="Project-551"/>
    <x v="7"/>
    <x v="1"/>
    <x v="634"/>
    <x v="319"/>
    <x v="1"/>
    <n v="109834"/>
    <n v="325868"/>
    <x v="1"/>
    <x v="1"/>
    <x v="1"/>
    <n v="-216034"/>
    <n v="-66.294941510059289"/>
    <s v="Timeline extended"/>
  </r>
  <r>
    <s v="P2680"/>
    <s v="Project-985"/>
    <x v="4"/>
    <x v="7"/>
    <x v="339"/>
    <x v="519"/>
    <x v="0"/>
    <n v="656348"/>
    <n v="827872"/>
    <x v="1"/>
    <x v="0"/>
    <x v="0"/>
    <n v="-171524"/>
    <n v="-20.718661822117429"/>
    <s v="Work in progress"/>
  </r>
  <r>
    <s v="P2681"/>
    <s v="Project-874"/>
    <x v="2"/>
    <x v="7"/>
    <x v="492"/>
    <x v="512"/>
    <x v="0"/>
    <n v="817283"/>
    <n v="453500"/>
    <x v="4"/>
    <x v="1"/>
    <x v="1"/>
    <n v="363783"/>
    <n v="80.216758544652706"/>
    <s v="Work in progress"/>
  </r>
  <r>
    <s v="P2682"/>
    <s v="Project-921"/>
    <x v="7"/>
    <x v="2"/>
    <x v="383"/>
    <x v="711"/>
    <x v="1"/>
    <n v="972043"/>
    <n v="1185487"/>
    <x v="2"/>
    <x v="0"/>
    <x v="1"/>
    <n v="-213444"/>
    <n v="-18.004752477251966"/>
    <s v="Timeline extended"/>
  </r>
  <r>
    <s v="P2683"/>
    <s v="Project-484"/>
    <x v="5"/>
    <x v="7"/>
    <x v="104"/>
    <x v="341"/>
    <x v="2"/>
    <n v="507199"/>
    <n v="115694"/>
    <x v="0"/>
    <x v="3"/>
    <x v="0"/>
    <n v="391505"/>
    <n v="338.39697823569065"/>
    <s v="Project delivered successfully"/>
  </r>
  <r>
    <s v="P2684"/>
    <s v="Project-271"/>
    <x v="0"/>
    <x v="0"/>
    <x v="669"/>
    <x v="145"/>
    <x v="0"/>
    <n v="462073"/>
    <n v="437558"/>
    <x v="0"/>
    <x v="3"/>
    <x v="1"/>
    <n v="24515"/>
    <n v="5.6026858153661916"/>
    <s v="Work in progress"/>
  </r>
  <r>
    <s v="P2685"/>
    <s v="Project-475"/>
    <x v="0"/>
    <x v="6"/>
    <x v="255"/>
    <x v="361"/>
    <x v="0"/>
    <n v="940330"/>
    <n v="225333"/>
    <x v="3"/>
    <x v="2"/>
    <x v="1"/>
    <n v="714997"/>
    <n v="317.30683033554783"/>
    <s v="Work in progress"/>
  </r>
  <r>
    <s v="P2686"/>
    <s v="Project-784"/>
    <x v="6"/>
    <x v="7"/>
    <x v="225"/>
    <x v="253"/>
    <x v="0"/>
    <n v="938639"/>
    <n v="1075901"/>
    <x v="0"/>
    <x v="1"/>
    <x v="1"/>
    <n v="-137262"/>
    <n v="-12.757865268272825"/>
    <s v="Work in progress"/>
  </r>
  <r>
    <s v="P2687"/>
    <s v="Project-461"/>
    <x v="6"/>
    <x v="0"/>
    <x v="367"/>
    <x v="106"/>
    <x v="2"/>
    <n v="972868"/>
    <n v="425151"/>
    <x v="1"/>
    <x v="1"/>
    <x v="1"/>
    <n v="547717"/>
    <n v="128.82881611474511"/>
    <s v="Project delivered successfully"/>
  </r>
  <r>
    <s v="P2688"/>
    <s v="Project-658"/>
    <x v="4"/>
    <x v="7"/>
    <x v="602"/>
    <x v="403"/>
    <x v="0"/>
    <n v="247057"/>
    <n v="519218"/>
    <x v="3"/>
    <x v="3"/>
    <x v="1"/>
    <n v="-272161"/>
    <n v="-52.41748167436414"/>
    <s v="Work in progress"/>
  </r>
  <r>
    <s v="P2689"/>
    <s v="Project-990"/>
    <x v="0"/>
    <x v="2"/>
    <x v="583"/>
    <x v="361"/>
    <x v="1"/>
    <n v="502385"/>
    <n v="124203"/>
    <x v="2"/>
    <x v="3"/>
    <x v="0"/>
    <n v="378182"/>
    <n v="304.48700917047091"/>
    <s v="Timeline extended"/>
  </r>
  <r>
    <s v="P2690"/>
    <s v="Project-240"/>
    <x v="7"/>
    <x v="0"/>
    <x v="77"/>
    <x v="5"/>
    <x v="1"/>
    <n v="136366"/>
    <n v="1048281"/>
    <x v="3"/>
    <x v="3"/>
    <x v="0"/>
    <n v="-911915"/>
    <n v="-86.991465074727103"/>
    <s v="Timeline extended"/>
  </r>
  <r>
    <s v="P2691"/>
    <s v="Project-986"/>
    <x v="3"/>
    <x v="6"/>
    <x v="444"/>
    <x v="82"/>
    <x v="1"/>
    <n v="202150"/>
    <n v="1177615"/>
    <x v="2"/>
    <x v="1"/>
    <x v="1"/>
    <n v="-975465"/>
    <n v="-82.833948276813729"/>
    <s v="Timeline extended"/>
  </r>
  <r>
    <s v="P2692"/>
    <s v="Project-217"/>
    <x v="7"/>
    <x v="3"/>
    <x v="672"/>
    <x v="295"/>
    <x v="0"/>
    <n v="837301"/>
    <n v="784936"/>
    <x v="0"/>
    <x v="2"/>
    <x v="1"/>
    <n v="52365"/>
    <n v="6.6712445345862594"/>
    <s v="Work in progress"/>
  </r>
  <r>
    <s v="P2693"/>
    <s v="Project-376"/>
    <x v="3"/>
    <x v="0"/>
    <x v="340"/>
    <x v="407"/>
    <x v="2"/>
    <n v="374768"/>
    <n v="1178742"/>
    <x v="4"/>
    <x v="1"/>
    <x v="1"/>
    <n v="-803974"/>
    <n v="-68.206104474091873"/>
    <s v="Project delivered successfully"/>
  </r>
  <r>
    <s v="P2694"/>
    <s v="Project-825"/>
    <x v="5"/>
    <x v="5"/>
    <x v="59"/>
    <x v="116"/>
    <x v="0"/>
    <n v="221147"/>
    <n v="853426"/>
    <x v="3"/>
    <x v="3"/>
    <x v="2"/>
    <n v="-632279"/>
    <n v="-74.087149911064344"/>
    <s v="Work in progress"/>
  </r>
  <r>
    <s v="P2695"/>
    <s v="Project-319"/>
    <x v="1"/>
    <x v="2"/>
    <x v="646"/>
    <x v="506"/>
    <x v="0"/>
    <n v="143676"/>
    <n v="60384"/>
    <x v="3"/>
    <x v="2"/>
    <x v="1"/>
    <n v="83292"/>
    <n v="137.93720190779015"/>
    <s v="Work in progress"/>
  </r>
  <r>
    <s v="P2696"/>
    <s v="Project-125"/>
    <x v="3"/>
    <x v="4"/>
    <x v="302"/>
    <x v="217"/>
    <x v="0"/>
    <n v="577947"/>
    <n v="337522"/>
    <x v="1"/>
    <x v="0"/>
    <x v="2"/>
    <n v="240425"/>
    <n v="71.232393740259894"/>
    <s v="Work in progress"/>
  </r>
  <r>
    <s v="P2697"/>
    <s v="Project-620"/>
    <x v="0"/>
    <x v="6"/>
    <x v="11"/>
    <x v="600"/>
    <x v="0"/>
    <n v="479586"/>
    <n v="455859"/>
    <x v="1"/>
    <x v="0"/>
    <x v="2"/>
    <n v="23727"/>
    <n v="5.2048988832073073"/>
    <s v="Work in progress"/>
  </r>
  <r>
    <s v="P2698"/>
    <s v="Project-882"/>
    <x v="7"/>
    <x v="0"/>
    <x v="485"/>
    <x v="111"/>
    <x v="1"/>
    <n v="943320"/>
    <n v="440142"/>
    <x v="2"/>
    <x v="3"/>
    <x v="2"/>
    <n v="503178"/>
    <n v="114.32174161975"/>
    <s v="Timeline extended"/>
  </r>
  <r>
    <s v="P2699"/>
    <s v="Project-109"/>
    <x v="5"/>
    <x v="5"/>
    <x v="699"/>
    <x v="184"/>
    <x v="0"/>
    <n v="632473"/>
    <n v="1117553"/>
    <x v="4"/>
    <x v="2"/>
    <x v="0"/>
    <n v="-485080"/>
    <n v="-43.405547656352759"/>
    <s v="Work in progress"/>
  </r>
  <r>
    <s v="P2700"/>
    <s v="Project-477"/>
    <x v="0"/>
    <x v="5"/>
    <x v="245"/>
    <x v="625"/>
    <x v="0"/>
    <n v="691424"/>
    <n v="1102228"/>
    <x v="1"/>
    <x v="3"/>
    <x v="2"/>
    <n v="-410804"/>
    <n v="-37.270328824889226"/>
    <s v="Work in progress"/>
  </r>
  <r>
    <s v="P2701"/>
    <s v="Project-732"/>
    <x v="5"/>
    <x v="6"/>
    <x v="386"/>
    <x v="525"/>
    <x v="3"/>
    <n v="523137"/>
    <n v="1088846"/>
    <x v="1"/>
    <x v="1"/>
    <x v="1"/>
    <n v="-565709"/>
    <n v="-51.954913734357291"/>
    <s v="Project cancelled"/>
  </r>
  <r>
    <s v="P2702"/>
    <s v="Project-736"/>
    <x v="1"/>
    <x v="6"/>
    <x v="605"/>
    <x v="594"/>
    <x v="0"/>
    <n v="224823"/>
    <n v="222702"/>
    <x v="0"/>
    <x v="1"/>
    <x v="1"/>
    <n v="2121"/>
    <n v="0.95239378182503975"/>
    <s v="Work in progress"/>
  </r>
  <r>
    <s v="P2703"/>
    <s v="Project-781"/>
    <x v="2"/>
    <x v="5"/>
    <x v="272"/>
    <x v="211"/>
    <x v="2"/>
    <n v="899190"/>
    <n v="66417"/>
    <x v="0"/>
    <x v="2"/>
    <x v="0"/>
    <n v="832773"/>
    <n v="1253.8551876778536"/>
    <s v="Project delivered successfully"/>
  </r>
  <r>
    <s v="P2704"/>
    <s v="Project-683"/>
    <x v="7"/>
    <x v="7"/>
    <x v="106"/>
    <x v="561"/>
    <x v="0"/>
    <n v="790233"/>
    <n v="157390"/>
    <x v="1"/>
    <x v="3"/>
    <x v="0"/>
    <n v="632843"/>
    <n v="402.08590126437514"/>
    <s v="Work in progress"/>
  </r>
  <r>
    <s v="P2705"/>
    <s v="Project-251"/>
    <x v="4"/>
    <x v="5"/>
    <x v="363"/>
    <x v="461"/>
    <x v="0"/>
    <n v="186203"/>
    <n v="470110"/>
    <x v="2"/>
    <x v="3"/>
    <x v="1"/>
    <n v="-283907"/>
    <n v="-60.39161047414435"/>
    <s v="Work in progress"/>
  </r>
  <r>
    <s v="P2706"/>
    <s v="Project-819"/>
    <x v="7"/>
    <x v="7"/>
    <x v="132"/>
    <x v="689"/>
    <x v="1"/>
    <n v="182430"/>
    <n v="610330"/>
    <x v="4"/>
    <x v="0"/>
    <x v="0"/>
    <n v="-427900"/>
    <n v="-70.109612832402149"/>
    <s v="Timeline extended"/>
  </r>
  <r>
    <s v="P2707"/>
    <s v="Project-148"/>
    <x v="6"/>
    <x v="4"/>
    <x v="691"/>
    <x v="420"/>
    <x v="0"/>
    <n v="567086"/>
    <n v="355397"/>
    <x v="1"/>
    <x v="2"/>
    <x v="0"/>
    <n v="211689"/>
    <n v="59.564093112772476"/>
    <s v="Work in progress"/>
  </r>
  <r>
    <s v="P2708"/>
    <s v="Project-253"/>
    <x v="1"/>
    <x v="2"/>
    <x v="551"/>
    <x v="605"/>
    <x v="2"/>
    <n v="665438"/>
    <n v="344867"/>
    <x v="2"/>
    <x v="3"/>
    <x v="2"/>
    <n v="320571"/>
    <n v="92.954965247472217"/>
    <s v="Project delivered successfully"/>
  </r>
  <r>
    <s v="P2709"/>
    <s v="Project-958"/>
    <x v="7"/>
    <x v="1"/>
    <x v="617"/>
    <x v="458"/>
    <x v="0"/>
    <n v="500587"/>
    <n v="181389"/>
    <x v="2"/>
    <x v="1"/>
    <x v="2"/>
    <n v="319198"/>
    <n v="175.97428730518391"/>
    <s v="Work in progress"/>
  </r>
  <r>
    <s v="P2710"/>
    <s v="Project-392"/>
    <x v="6"/>
    <x v="7"/>
    <x v="14"/>
    <x v="331"/>
    <x v="0"/>
    <n v="787667"/>
    <n v="1002512"/>
    <x v="1"/>
    <x v="3"/>
    <x v="0"/>
    <n v="-214845"/>
    <n v="-21.430666166589525"/>
    <s v="Work in progress"/>
  </r>
  <r>
    <s v="P2711"/>
    <s v="Project-679"/>
    <x v="4"/>
    <x v="5"/>
    <x v="43"/>
    <x v="355"/>
    <x v="0"/>
    <n v="522355"/>
    <n v="731485"/>
    <x v="2"/>
    <x v="3"/>
    <x v="1"/>
    <n v="-209130"/>
    <n v="-28.589786530140742"/>
    <s v="Work in progress"/>
  </r>
  <r>
    <s v="P2712"/>
    <s v="Project-149"/>
    <x v="3"/>
    <x v="5"/>
    <x v="307"/>
    <x v="680"/>
    <x v="0"/>
    <n v="983750"/>
    <n v="759462"/>
    <x v="3"/>
    <x v="1"/>
    <x v="2"/>
    <n v="224288"/>
    <n v="29.532484837951078"/>
    <s v="Work in progress"/>
  </r>
  <r>
    <s v="P2713"/>
    <s v="Project-763"/>
    <x v="5"/>
    <x v="3"/>
    <x v="218"/>
    <x v="712"/>
    <x v="0"/>
    <n v="329360"/>
    <n v="783340"/>
    <x v="2"/>
    <x v="1"/>
    <x v="1"/>
    <n v="-453980"/>
    <n v="-57.954400388081808"/>
    <s v="Work in progress"/>
  </r>
  <r>
    <s v="P2714"/>
    <s v="Project-630"/>
    <x v="4"/>
    <x v="5"/>
    <x v="207"/>
    <x v="265"/>
    <x v="2"/>
    <n v="877641"/>
    <n v="1159717"/>
    <x v="1"/>
    <x v="3"/>
    <x v="0"/>
    <n v="-282076"/>
    <n v="-24.322830483643855"/>
    <s v="Project delivered successfully"/>
  </r>
  <r>
    <s v="P2715"/>
    <s v="Project-711"/>
    <x v="0"/>
    <x v="2"/>
    <x v="352"/>
    <x v="415"/>
    <x v="0"/>
    <n v="355131"/>
    <n v="924208"/>
    <x v="2"/>
    <x v="1"/>
    <x v="1"/>
    <n v="-569077"/>
    <n v="-61.574558973737517"/>
    <s v="Work in progress"/>
  </r>
  <r>
    <s v="P2716"/>
    <s v="Project-159"/>
    <x v="1"/>
    <x v="0"/>
    <x v="305"/>
    <x v="74"/>
    <x v="0"/>
    <n v="682312"/>
    <n v="76652"/>
    <x v="1"/>
    <x v="0"/>
    <x v="1"/>
    <n v="605660"/>
    <n v="790.14246203621553"/>
    <s v="Work in progress"/>
  </r>
  <r>
    <s v="P2717"/>
    <s v="Project-266"/>
    <x v="3"/>
    <x v="0"/>
    <x v="22"/>
    <x v="631"/>
    <x v="0"/>
    <n v="988081"/>
    <n v="146048"/>
    <x v="0"/>
    <x v="0"/>
    <x v="1"/>
    <n v="842033"/>
    <n v="576.54538234005258"/>
    <s v="Work in progress"/>
  </r>
  <r>
    <s v="P2718"/>
    <s v="Project-301"/>
    <x v="0"/>
    <x v="5"/>
    <x v="55"/>
    <x v="132"/>
    <x v="1"/>
    <n v="559742"/>
    <n v="90941"/>
    <x v="1"/>
    <x v="0"/>
    <x v="1"/>
    <n v="468801"/>
    <n v="515.50015944403515"/>
    <s v="Timeline extended"/>
  </r>
  <r>
    <s v="P2719"/>
    <s v="Project-956"/>
    <x v="0"/>
    <x v="3"/>
    <x v="710"/>
    <x v="475"/>
    <x v="1"/>
    <n v="616608"/>
    <n v="903772"/>
    <x v="2"/>
    <x v="1"/>
    <x v="0"/>
    <n v="-287164"/>
    <n v="-31.77394298562027"/>
    <s v="Timeline extended"/>
  </r>
  <r>
    <s v="P2720"/>
    <s v="Project-245"/>
    <x v="1"/>
    <x v="7"/>
    <x v="264"/>
    <x v="161"/>
    <x v="2"/>
    <n v="323445"/>
    <n v="187182"/>
    <x v="1"/>
    <x v="1"/>
    <x v="0"/>
    <n v="136263"/>
    <n v="72.797063820239131"/>
    <s v="Project delivered successfully"/>
  </r>
  <r>
    <s v="P2721"/>
    <s v="Project-775"/>
    <x v="3"/>
    <x v="2"/>
    <x v="149"/>
    <x v="384"/>
    <x v="1"/>
    <n v="256123"/>
    <n v="428565"/>
    <x v="4"/>
    <x v="1"/>
    <x v="2"/>
    <n v="-172442"/>
    <n v="-40.237070222720007"/>
    <s v="Timeline extended"/>
  </r>
  <r>
    <s v="P2722"/>
    <s v="Project-538"/>
    <x v="2"/>
    <x v="3"/>
    <x v="187"/>
    <x v="45"/>
    <x v="0"/>
    <n v="273410"/>
    <n v="376689"/>
    <x v="1"/>
    <x v="2"/>
    <x v="2"/>
    <n v="-103279"/>
    <n v="-27.417577895823875"/>
    <s v="Work in progress"/>
  </r>
  <r>
    <s v="P2723"/>
    <s v="Project-341"/>
    <x v="0"/>
    <x v="7"/>
    <x v="295"/>
    <x v="420"/>
    <x v="0"/>
    <n v="176560"/>
    <n v="402767"/>
    <x v="1"/>
    <x v="1"/>
    <x v="2"/>
    <n v="-226207"/>
    <n v="-56.163240781891268"/>
    <s v="Work in progress"/>
  </r>
  <r>
    <s v="P2724"/>
    <s v="Project-680"/>
    <x v="0"/>
    <x v="2"/>
    <x v="448"/>
    <x v="157"/>
    <x v="2"/>
    <n v="313035"/>
    <n v="423273"/>
    <x v="4"/>
    <x v="0"/>
    <x v="2"/>
    <n v="-110238"/>
    <n v="-26.04418424988128"/>
    <s v="Project delivered successfully"/>
  </r>
  <r>
    <s v="P2725"/>
    <s v="Project-786"/>
    <x v="3"/>
    <x v="5"/>
    <x v="511"/>
    <x v="212"/>
    <x v="2"/>
    <n v="989476"/>
    <n v="1021543"/>
    <x v="4"/>
    <x v="0"/>
    <x v="1"/>
    <n v="-32067"/>
    <n v="-3.1390749092304486"/>
    <s v="Project delivered successfully"/>
  </r>
  <r>
    <s v="P2726"/>
    <s v="Project-660"/>
    <x v="7"/>
    <x v="0"/>
    <x v="374"/>
    <x v="544"/>
    <x v="0"/>
    <n v="362601"/>
    <n v="356722"/>
    <x v="4"/>
    <x v="0"/>
    <x v="2"/>
    <n v="5879"/>
    <n v="1.6480620763507716"/>
    <s v="Work in progress"/>
  </r>
  <r>
    <s v="P2727"/>
    <s v="Project-582"/>
    <x v="0"/>
    <x v="2"/>
    <x v="346"/>
    <x v="328"/>
    <x v="0"/>
    <n v="687677"/>
    <n v="180193"/>
    <x v="3"/>
    <x v="2"/>
    <x v="2"/>
    <n v="507484"/>
    <n v="281.63358177065703"/>
    <s v="Work in progress"/>
  </r>
  <r>
    <s v="P2728"/>
    <s v="Project-207"/>
    <x v="5"/>
    <x v="5"/>
    <x v="196"/>
    <x v="130"/>
    <x v="3"/>
    <n v="497651"/>
    <n v="297637"/>
    <x v="1"/>
    <x v="3"/>
    <x v="1"/>
    <n v="200014"/>
    <n v="67.20065045676445"/>
    <s v="Project cancelled"/>
  </r>
  <r>
    <s v="P2729"/>
    <s v="Project-325"/>
    <x v="3"/>
    <x v="4"/>
    <x v="711"/>
    <x v="713"/>
    <x v="1"/>
    <n v="333076"/>
    <n v="814118"/>
    <x v="4"/>
    <x v="0"/>
    <x v="0"/>
    <n v="-481042"/>
    <n v="-59.087503285764477"/>
    <s v="Timeline extended"/>
  </r>
  <r>
    <s v="P2730"/>
    <s v="Project-772"/>
    <x v="0"/>
    <x v="1"/>
    <x v="558"/>
    <x v="549"/>
    <x v="0"/>
    <n v="316336"/>
    <n v="656469"/>
    <x v="4"/>
    <x v="2"/>
    <x v="2"/>
    <n v="-340133"/>
    <n v="-51.812499904793675"/>
    <s v="Work in progress"/>
  </r>
  <r>
    <s v="P2731"/>
    <s v="Project-730"/>
    <x v="1"/>
    <x v="2"/>
    <x v="50"/>
    <x v="257"/>
    <x v="2"/>
    <n v="852560"/>
    <n v="249778"/>
    <x v="0"/>
    <x v="3"/>
    <x v="0"/>
    <n v="602782"/>
    <n v="241.3270984634355"/>
    <s v="Project delivered successfully"/>
  </r>
  <r>
    <s v="P2732"/>
    <s v="Project-760"/>
    <x v="4"/>
    <x v="1"/>
    <x v="86"/>
    <x v="257"/>
    <x v="0"/>
    <n v="72836"/>
    <n v="936628"/>
    <x v="3"/>
    <x v="2"/>
    <x v="2"/>
    <n v="-863792"/>
    <n v="-92.223593571834286"/>
    <s v="Work in progress"/>
  </r>
  <r>
    <s v="P2733"/>
    <s v="Project-761"/>
    <x v="5"/>
    <x v="2"/>
    <x v="167"/>
    <x v="610"/>
    <x v="0"/>
    <n v="336981"/>
    <n v="485457"/>
    <x v="1"/>
    <x v="2"/>
    <x v="0"/>
    <n v="-148476"/>
    <n v="-30.584789178032246"/>
    <s v="Work in progress"/>
  </r>
  <r>
    <s v="P2734"/>
    <s v="Project-531"/>
    <x v="6"/>
    <x v="1"/>
    <x v="501"/>
    <x v="243"/>
    <x v="0"/>
    <n v="691316"/>
    <n v="992798"/>
    <x v="2"/>
    <x v="3"/>
    <x v="2"/>
    <n v="-301482"/>
    <n v="-30.366902431310294"/>
    <s v="Work in progress"/>
  </r>
  <r>
    <s v="P2735"/>
    <s v="Project-904"/>
    <x v="6"/>
    <x v="4"/>
    <x v="516"/>
    <x v="605"/>
    <x v="0"/>
    <n v="952913"/>
    <n v="654367"/>
    <x v="3"/>
    <x v="1"/>
    <x v="0"/>
    <n v="298546"/>
    <n v="45.623633221112925"/>
    <s v="Work in progress"/>
  </r>
  <r>
    <s v="P2736"/>
    <s v="Project-754"/>
    <x v="4"/>
    <x v="0"/>
    <x v="533"/>
    <x v="555"/>
    <x v="0"/>
    <n v="961608"/>
    <n v="809558"/>
    <x v="3"/>
    <x v="1"/>
    <x v="0"/>
    <n v="152050"/>
    <n v="18.781853801704141"/>
    <s v="Work in progress"/>
  </r>
  <r>
    <s v="P2737"/>
    <s v="Project-518"/>
    <x v="6"/>
    <x v="6"/>
    <x v="68"/>
    <x v="3"/>
    <x v="1"/>
    <n v="175172"/>
    <n v="247199"/>
    <x v="0"/>
    <x v="0"/>
    <x v="2"/>
    <n v="-72027"/>
    <n v="-29.13725379147974"/>
    <s v="Timeline extended"/>
  </r>
  <r>
    <s v="P2738"/>
    <s v="Project-554"/>
    <x v="4"/>
    <x v="7"/>
    <x v="169"/>
    <x v="75"/>
    <x v="0"/>
    <n v="334922"/>
    <n v="717843"/>
    <x v="1"/>
    <x v="3"/>
    <x v="0"/>
    <n v="-382921"/>
    <n v="-53.343279797950252"/>
    <s v="Work in progress"/>
  </r>
  <r>
    <s v="P2739"/>
    <s v="Project-259"/>
    <x v="0"/>
    <x v="1"/>
    <x v="352"/>
    <x v="566"/>
    <x v="2"/>
    <n v="93130"/>
    <n v="809568"/>
    <x v="1"/>
    <x v="0"/>
    <x v="2"/>
    <n v="-716438"/>
    <n v="-88.496333847187643"/>
    <s v="Project delivered successfully"/>
  </r>
  <r>
    <s v="P2740"/>
    <s v="Project-622"/>
    <x v="5"/>
    <x v="4"/>
    <x v="25"/>
    <x v="662"/>
    <x v="0"/>
    <n v="328852"/>
    <n v="788049"/>
    <x v="4"/>
    <x v="2"/>
    <x v="2"/>
    <n v="-459197"/>
    <n v="-58.270107569453167"/>
    <s v="Work in progress"/>
  </r>
  <r>
    <s v="P2741"/>
    <s v="Project-749"/>
    <x v="5"/>
    <x v="1"/>
    <x v="642"/>
    <x v="366"/>
    <x v="0"/>
    <n v="419625"/>
    <n v="183807"/>
    <x v="4"/>
    <x v="1"/>
    <x v="1"/>
    <n v="235818"/>
    <n v="128.29652842383587"/>
    <s v="Work in progress"/>
  </r>
  <r>
    <s v="P2742"/>
    <s v="Project-689"/>
    <x v="7"/>
    <x v="0"/>
    <x v="590"/>
    <x v="5"/>
    <x v="1"/>
    <n v="205304"/>
    <n v="569491"/>
    <x v="3"/>
    <x v="0"/>
    <x v="2"/>
    <n v="-364187"/>
    <n v="-63.949561977274442"/>
    <s v="Timeline extended"/>
  </r>
  <r>
    <s v="P2743"/>
    <s v="Project-176"/>
    <x v="4"/>
    <x v="1"/>
    <x v="198"/>
    <x v="2"/>
    <x v="2"/>
    <n v="238338"/>
    <n v="265281"/>
    <x v="0"/>
    <x v="0"/>
    <x v="2"/>
    <n v="-26943"/>
    <n v="-10.156400194510725"/>
    <s v="Project delivered successfully"/>
  </r>
  <r>
    <s v="P2744"/>
    <s v="Project-608"/>
    <x v="5"/>
    <x v="4"/>
    <x v="456"/>
    <x v="17"/>
    <x v="3"/>
    <n v="579070"/>
    <n v="394913"/>
    <x v="1"/>
    <x v="1"/>
    <x v="2"/>
    <n v="184157"/>
    <n v="46.632296227270309"/>
    <s v="Project cancelled"/>
  </r>
  <r>
    <s v="P2745"/>
    <s v="Project-540"/>
    <x v="7"/>
    <x v="5"/>
    <x v="67"/>
    <x v="243"/>
    <x v="3"/>
    <n v="504412"/>
    <n v="987217"/>
    <x v="0"/>
    <x v="2"/>
    <x v="2"/>
    <n v="-482805"/>
    <n v="-48.905661065398995"/>
    <s v="Project cancelled"/>
  </r>
  <r>
    <s v="P2746"/>
    <s v="Project-353"/>
    <x v="3"/>
    <x v="4"/>
    <x v="498"/>
    <x v="340"/>
    <x v="0"/>
    <n v="731675"/>
    <n v="532578"/>
    <x v="2"/>
    <x v="0"/>
    <x v="1"/>
    <n v="199097"/>
    <n v="37.383632068917606"/>
    <s v="Work in progress"/>
  </r>
  <r>
    <s v="P2747"/>
    <s v="Project-869"/>
    <x v="7"/>
    <x v="6"/>
    <x v="31"/>
    <x v="41"/>
    <x v="0"/>
    <n v="322196"/>
    <n v="42636"/>
    <x v="1"/>
    <x v="0"/>
    <x v="1"/>
    <n v="279560"/>
    <n v="655.6900272070551"/>
    <s v="Work in progress"/>
  </r>
  <r>
    <s v="P2748"/>
    <s v="Project-419"/>
    <x v="1"/>
    <x v="6"/>
    <x v="583"/>
    <x v="299"/>
    <x v="1"/>
    <n v="855953"/>
    <n v="451976"/>
    <x v="4"/>
    <x v="3"/>
    <x v="1"/>
    <n v="403977"/>
    <n v="89.380188328583827"/>
    <s v="Timeline extended"/>
  </r>
  <r>
    <s v="P2749"/>
    <s v="Project-902"/>
    <x v="2"/>
    <x v="6"/>
    <x v="150"/>
    <x v="620"/>
    <x v="3"/>
    <n v="774794"/>
    <n v="559254"/>
    <x v="3"/>
    <x v="3"/>
    <x v="1"/>
    <n v="215540"/>
    <n v="38.540627335700769"/>
    <s v="Project cancelled"/>
  </r>
  <r>
    <s v="P2750"/>
    <s v="Project-362"/>
    <x v="0"/>
    <x v="3"/>
    <x v="446"/>
    <x v="15"/>
    <x v="2"/>
    <n v="263827"/>
    <n v="797111"/>
    <x v="0"/>
    <x v="1"/>
    <x v="0"/>
    <n v="-533284"/>
    <n v="-66.902100209381132"/>
    <s v="Project delivered successfully"/>
  </r>
  <r>
    <s v="P2751"/>
    <s v="Project-696"/>
    <x v="3"/>
    <x v="0"/>
    <x v="476"/>
    <x v="238"/>
    <x v="2"/>
    <n v="381834"/>
    <n v="934846"/>
    <x v="4"/>
    <x v="1"/>
    <x v="2"/>
    <n v="-553012"/>
    <n v="-59.155411693476786"/>
    <s v="Project delivered successfully"/>
  </r>
  <r>
    <s v="P2752"/>
    <s v="Project-757"/>
    <x v="2"/>
    <x v="5"/>
    <x v="550"/>
    <x v="385"/>
    <x v="2"/>
    <n v="609834"/>
    <n v="633986"/>
    <x v="3"/>
    <x v="2"/>
    <x v="1"/>
    <n v="-24152"/>
    <n v="-3.8095478449050924"/>
    <s v="Project delivered successfully"/>
  </r>
  <r>
    <s v="P2753"/>
    <s v="Project-934"/>
    <x v="2"/>
    <x v="3"/>
    <x v="4"/>
    <x v="33"/>
    <x v="0"/>
    <n v="784705"/>
    <n v="595770"/>
    <x v="4"/>
    <x v="2"/>
    <x v="2"/>
    <n v="188935"/>
    <n v="31.712741494200781"/>
    <s v="Work in progress"/>
  </r>
  <r>
    <s v="P2754"/>
    <s v="Project-653"/>
    <x v="3"/>
    <x v="0"/>
    <x v="367"/>
    <x v="0"/>
    <x v="2"/>
    <n v="207044"/>
    <n v="270275"/>
    <x v="1"/>
    <x v="0"/>
    <x v="1"/>
    <n v="-63231"/>
    <n v="-23.395060586439737"/>
    <s v="Project delivered successfully"/>
  </r>
  <r>
    <s v="P2755"/>
    <s v="Project-473"/>
    <x v="1"/>
    <x v="5"/>
    <x v="681"/>
    <x v="660"/>
    <x v="1"/>
    <n v="679001"/>
    <n v="1081574"/>
    <x v="0"/>
    <x v="3"/>
    <x v="2"/>
    <n v="-402573"/>
    <n v="-37.221031570655363"/>
    <s v="Timeline extended"/>
  </r>
  <r>
    <s v="P2756"/>
    <s v="Project-736"/>
    <x v="7"/>
    <x v="1"/>
    <x v="48"/>
    <x v="622"/>
    <x v="2"/>
    <n v="305628"/>
    <n v="1139841"/>
    <x v="2"/>
    <x v="2"/>
    <x v="0"/>
    <n v="-834213"/>
    <n v="-73.186786578128007"/>
    <s v="Project delivered successfully"/>
  </r>
  <r>
    <s v="P2757"/>
    <s v="Project-266"/>
    <x v="0"/>
    <x v="5"/>
    <x v="170"/>
    <x v="20"/>
    <x v="0"/>
    <n v="676905"/>
    <n v="1145021"/>
    <x v="4"/>
    <x v="0"/>
    <x v="1"/>
    <n v="-468116"/>
    <n v="-40.88274363526957"/>
    <s v="Work in progress"/>
  </r>
  <r>
    <s v="P2758"/>
    <s v="Project-852"/>
    <x v="7"/>
    <x v="4"/>
    <x v="490"/>
    <x v="217"/>
    <x v="0"/>
    <n v="72030"/>
    <n v="927465"/>
    <x v="0"/>
    <x v="0"/>
    <x v="0"/>
    <n v="-855435"/>
    <n v="-92.233669195063968"/>
    <s v="Work in progress"/>
  </r>
  <r>
    <s v="P2759"/>
    <s v="Project-558"/>
    <x v="5"/>
    <x v="3"/>
    <x v="172"/>
    <x v="624"/>
    <x v="0"/>
    <n v="567933"/>
    <n v="1066325"/>
    <x v="1"/>
    <x v="1"/>
    <x v="0"/>
    <n v="-498392"/>
    <n v="-46.739221156776779"/>
    <s v="Work in progress"/>
  </r>
  <r>
    <s v="P2760"/>
    <s v="Project-379"/>
    <x v="7"/>
    <x v="1"/>
    <x v="551"/>
    <x v="657"/>
    <x v="0"/>
    <n v="791001"/>
    <n v="195720"/>
    <x v="4"/>
    <x v="3"/>
    <x v="2"/>
    <n v="595281"/>
    <n v="304.14929491109751"/>
    <s v="Work in progress"/>
  </r>
  <r>
    <s v="P2761"/>
    <s v="Project-799"/>
    <x v="6"/>
    <x v="4"/>
    <x v="280"/>
    <x v="289"/>
    <x v="1"/>
    <n v="139831"/>
    <n v="1008127"/>
    <x v="1"/>
    <x v="0"/>
    <x v="1"/>
    <n v="-868296"/>
    <n v="-86.129624541352428"/>
    <s v="Timeline extended"/>
  </r>
  <r>
    <s v="P2762"/>
    <s v="Project-401"/>
    <x v="3"/>
    <x v="0"/>
    <x v="310"/>
    <x v="533"/>
    <x v="0"/>
    <n v="127400"/>
    <n v="894465"/>
    <x v="2"/>
    <x v="1"/>
    <x v="0"/>
    <n v="-767065"/>
    <n v="-85.756849066201582"/>
    <s v="Work in progress"/>
  </r>
  <r>
    <s v="P2763"/>
    <s v="Project-630"/>
    <x v="0"/>
    <x v="5"/>
    <x v="171"/>
    <x v="176"/>
    <x v="0"/>
    <n v="330199"/>
    <n v="900912"/>
    <x v="2"/>
    <x v="0"/>
    <x v="2"/>
    <n v="-570713"/>
    <n v="-63.348362548173412"/>
    <s v="Work in progress"/>
  </r>
  <r>
    <s v="P2764"/>
    <s v="Project-679"/>
    <x v="7"/>
    <x v="4"/>
    <x v="258"/>
    <x v="641"/>
    <x v="0"/>
    <n v="542436"/>
    <n v="920432"/>
    <x v="3"/>
    <x v="3"/>
    <x v="2"/>
    <n v="-377996"/>
    <n v="-41.067237992594777"/>
    <s v="Work in progress"/>
  </r>
  <r>
    <s v="P2765"/>
    <s v="Project-317"/>
    <x v="0"/>
    <x v="1"/>
    <x v="606"/>
    <x v="576"/>
    <x v="2"/>
    <n v="792868"/>
    <n v="435234"/>
    <x v="3"/>
    <x v="0"/>
    <x v="2"/>
    <n v="357634"/>
    <n v="82.170510575920076"/>
    <s v="Project delivered successfully"/>
  </r>
  <r>
    <s v="P2766"/>
    <s v="Project-201"/>
    <x v="0"/>
    <x v="3"/>
    <x v="542"/>
    <x v="330"/>
    <x v="0"/>
    <n v="992997"/>
    <n v="34476"/>
    <x v="3"/>
    <x v="0"/>
    <x v="0"/>
    <n v="958521"/>
    <n v="2780.255830142708"/>
    <s v="Work in progress"/>
  </r>
  <r>
    <s v="P2767"/>
    <s v="Project-653"/>
    <x v="5"/>
    <x v="3"/>
    <x v="567"/>
    <x v="1"/>
    <x v="0"/>
    <n v="649149"/>
    <n v="1056875"/>
    <x v="1"/>
    <x v="2"/>
    <x v="2"/>
    <n v="-407726"/>
    <n v="-38.578450620934355"/>
    <s v="Work in progress"/>
  </r>
  <r>
    <s v="P2768"/>
    <s v="Project-387"/>
    <x v="5"/>
    <x v="6"/>
    <x v="71"/>
    <x v="217"/>
    <x v="0"/>
    <n v="957616"/>
    <n v="650056"/>
    <x v="3"/>
    <x v="2"/>
    <x v="2"/>
    <n v="307560"/>
    <n v="47.312846893190738"/>
    <s v="Work in progress"/>
  </r>
  <r>
    <s v="P2769"/>
    <s v="Project-266"/>
    <x v="3"/>
    <x v="5"/>
    <x v="685"/>
    <x v="258"/>
    <x v="0"/>
    <n v="428668"/>
    <n v="223585"/>
    <x v="0"/>
    <x v="1"/>
    <x v="2"/>
    <n v="205083"/>
    <n v="91.72484737348212"/>
    <s v="Work in progress"/>
  </r>
  <r>
    <s v="P2770"/>
    <s v="Project-720"/>
    <x v="1"/>
    <x v="4"/>
    <x v="239"/>
    <x v="144"/>
    <x v="0"/>
    <n v="428970"/>
    <n v="247483"/>
    <x v="1"/>
    <x v="0"/>
    <x v="0"/>
    <n v="181487"/>
    <n v="73.333117830315615"/>
    <s v="Work in progress"/>
  </r>
  <r>
    <s v="P2771"/>
    <s v="Project-135"/>
    <x v="6"/>
    <x v="6"/>
    <x v="677"/>
    <x v="613"/>
    <x v="0"/>
    <n v="873207"/>
    <n v="832651"/>
    <x v="1"/>
    <x v="1"/>
    <x v="2"/>
    <n v="40556"/>
    <n v="4.8707081358216104"/>
    <s v="Work in progress"/>
  </r>
  <r>
    <s v="P2772"/>
    <s v="Project-843"/>
    <x v="2"/>
    <x v="1"/>
    <x v="376"/>
    <x v="541"/>
    <x v="1"/>
    <n v="398053"/>
    <n v="503119"/>
    <x v="3"/>
    <x v="3"/>
    <x v="0"/>
    <n v="-105066"/>
    <n v="-20.882932268509041"/>
    <s v="Timeline extended"/>
  </r>
  <r>
    <s v="P2773"/>
    <s v="Project-840"/>
    <x v="0"/>
    <x v="6"/>
    <x v="273"/>
    <x v="387"/>
    <x v="0"/>
    <n v="872685"/>
    <n v="823287"/>
    <x v="3"/>
    <x v="1"/>
    <x v="2"/>
    <n v="49398"/>
    <n v="6.0000947421737498"/>
    <s v="Work in progress"/>
  </r>
  <r>
    <s v="P2774"/>
    <s v="Project-452"/>
    <x v="1"/>
    <x v="2"/>
    <x v="174"/>
    <x v="681"/>
    <x v="0"/>
    <n v="267789"/>
    <n v="491849"/>
    <x v="1"/>
    <x v="0"/>
    <x v="0"/>
    <n v="-224060"/>
    <n v="-45.554631604415178"/>
    <s v="Work in progress"/>
  </r>
  <r>
    <s v="P2775"/>
    <s v="Project-775"/>
    <x v="2"/>
    <x v="0"/>
    <x v="97"/>
    <x v="684"/>
    <x v="2"/>
    <n v="306072"/>
    <n v="686444"/>
    <x v="2"/>
    <x v="2"/>
    <x v="0"/>
    <n v="-380372"/>
    <n v="-55.411949117480816"/>
    <s v="Project delivered successfully"/>
  </r>
  <r>
    <s v="P2776"/>
    <s v="Project-998"/>
    <x v="2"/>
    <x v="6"/>
    <x v="325"/>
    <x v="348"/>
    <x v="0"/>
    <n v="626172"/>
    <n v="1177432"/>
    <x v="2"/>
    <x v="2"/>
    <x v="1"/>
    <n v="-551260"/>
    <n v="-46.818839644242729"/>
    <s v="Work in progress"/>
  </r>
  <r>
    <s v="P2777"/>
    <s v="Project-172"/>
    <x v="6"/>
    <x v="0"/>
    <x v="380"/>
    <x v="428"/>
    <x v="2"/>
    <n v="126497"/>
    <n v="183016"/>
    <x v="3"/>
    <x v="1"/>
    <x v="1"/>
    <n v="-56519"/>
    <n v="-30.881999388031652"/>
    <s v="Project delivered successfully"/>
  </r>
  <r>
    <s v="P2778"/>
    <s v="Project-747"/>
    <x v="3"/>
    <x v="1"/>
    <x v="556"/>
    <x v="163"/>
    <x v="0"/>
    <n v="854137"/>
    <n v="981425"/>
    <x v="2"/>
    <x v="2"/>
    <x v="1"/>
    <n v="-127288"/>
    <n v="-12.969712407978196"/>
    <s v="Work in progress"/>
  </r>
  <r>
    <s v="P2779"/>
    <s v="Project-452"/>
    <x v="2"/>
    <x v="2"/>
    <x v="438"/>
    <x v="625"/>
    <x v="2"/>
    <n v="225748"/>
    <n v="1139858"/>
    <x v="0"/>
    <x v="0"/>
    <x v="0"/>
    <n v="-914110"/>
    <n v="-80.195076930635224"/>
    <s v="Project delivered successfully"/>
  </r>
  <r>
    <s v="P2780"/>
    <s v="Project-990"/>
    <x v="6"/>
    <x v="3"/>
    <x v="238"/>
    <x v="58"/>
    <x v="2"/>
    <n v="282730"/>
    <n v="1165969"/>
    <x v="0"/>
    <x v="0"/>
    <x v="2"/>
    <n v="-883239"/>
    <n v="-75.75149939663919"/>
    <s v="Project delivered successfully"/>
  </r>
  <r>
    <s v="P2781"/>
    <s v="Project-169"/>
    <x v="2"/>
    <x v="5"/>
    <x v="15"/>
    <x v="502"/>
    <x v="1"/>
    <n v="403784"/>
    <n v="736757"/>
    <x v="0"/>
    <x v="3"/>
    <x v="2"/>
    <n v="-332973"/>
    <n v="-45.194412811822623"/>
    <s v="Timeline extended"/>
  </r>
  <r>
    <s v="P2782"/>
    <s v="Project-524"/>
    <x v="0"/>
    <x v="7"/>
    <x v="518"/>
    <x v="200"/>
    <x v="0"/>
    <n v="260117"/>
    <n v="572358"/>
    <x v="1"/>
    <x v="2"/>
    <x v="0"/>
    <n v="-312241"/>
    <n v="-54.553443823620881"/>
    <s v="Work in progress"/>
  </r>
  <r>
    <s v="P2783"/>
    <s v="Project-807"/>
    <x v="0"/>
    <x v="7"/>
    <x v="80"/>
    <x v="271"/>
    <x v="0"/>
    <n v="57101"/>
    <n v="800741"/>
    <x v="1"/>
    <x v="2"/>
    <x v="2"/>
    <n v="-743640"/>
    <n v="-92.86898010717573"/>
    <s v="Work in progress"/>
  </r>
  <r>
    <s v="P2784"/>
    <s v="Project-880"/>
    <x v="4"/>
    <x v="5"/>
    <x v="368"/>
    <x v="280"/>
    <x v="0"/>
    <n v="374639"/>
    <n v="86690"/>
    <x v="1"/>
    <x v="3"/>
    <x v="0"/>
    <n v="287949"/>
    <n v="332.15941861806436"/>
    <s v="Work in progress"/>
  </r>
  <r>
    <s v="P2785"/>
    <s v="Project-660"/>
    <x v="1"/>
    <x v="1"/>
    <x v="175"/>
    <x v="122"/>
    <x v="1"/>
    <n v="447959"/>
    <n v="775371"/>
    <x v="1"/>
    <x v="1"/>
    <x v="2"/>
    <n v="-327412"/>
    <n v="-42.226495445406137"/>
    <s v="Timeline extended"/>
  </r>
  <r>
    <s v="P2786"/>
    <s v="Project-927"/>
    <x v="7"/>
    <x v="2"/>
    <x v="196"/>
    <x v="69"/>
    <x v="1"/>
    <n v="583239"/>
    <n v="615422"/>
    <x v="1"/>
    <x v="3"/>
    <x v="0"/>
    <n v="-32183"/>
    <n v="-5.2294198127463751"/>
    <s v="Timeline extended"/>
  </r>
  <r>
    <s v="P2787"/>
    <s v="Project-741"/>
    <x v="6"/>
    <x v="2"/>
    <x v="473"/>
    <x v="482"/>
    <x v="0"/>
    <n v="712374"/>
    <n v="552386"/>
    <x v="3"/>
    <x v="2"/>
    <x v="1"/>
    <n v="159988"/>
    <n v="28.963080164957113"/>
    <s v="Work in progress"/>
  </r>
  <r>
    <s v="P2788"/>
    <s v="Project-616"/>
    <x v="5"/>
    <x v="0"/>
    <x v="204"/>
    <x v="19"/>
    <x v="0"/>
    <n v="610468"/>
    <n v="482655"/>
    <x v="2"/>
    <x v="1"/>
    <x v="1"/>
    <n v="127813"/>
    <n v="26.481234007728087"/>
    <s v="Work in progress"/>
  </r>
  <r>
    <s v="P2789"/>
    <s v="Project-527"/>
    <x v="6"/>
    <x v="3"/>
    <x v="659"/>
    <x v="63"/>
    <x v="0"/>
    <n v="893409"/>
    <n v="323633"/>
    <x v="3"/>
    <x v="0"/>
    <x v="2"/>
    <n v="569776"/>
    <n v="176.05621182017904"/>
    <s v="Work in progress"/>
  </r>
  <r>
    <s v="P2790"/>
    <s v="Project-638"/>
    <x v="7"/>
    <x v="4"/>
    <x v="455"/>
    <x v="133"/>
    <x v="0"/>
    <n v="297117"/>
    <n v="1101754"/>
    <x v="2"/>
    <x v="0"/>
    <x v="2"/>
    <n v="-804637"/>
    <n v="-73.032364756560895"/>
    <s v="Work in progress"/>
  </r>
  <r>
    <s v="P2791"/>
    <s v="Project-259"/>
    <x v="1"/>
    <x v="6"/>
    <x v="146"/>
    <x v="517"/>
    <x v="0"/>
    <n v="240606"/>
    <n v="1141354"/>
    <x v="3"/>
    <x v="3"/>
    <x v="2"/>
    <n v="-900748"/>
    <n v="-78.919248541644393"/>
    <s v="Work in progress"/>
  </r>
  <r>
    <s v="P2792"/>
    <s v="Project-248"/>
    <x v="5"/>
    <x v="2"/>
    <x v="598"/>
    <x v="220"/>
    <x v="0"/>
    <n v="637497"/>
    <n v="218791"/>
    <x v="0"/>
    <x v="0"/>
    <x v="2"/>
    <n v="418706"/>
    <n v="191.37258845199301"/>
    <s v="Work in progress"/>
  </r>
  <r>
    <s v="P2793"/>
    <s v="Project-875"/>
    <x v="7"/>
    <x v="5"/>
    <x v="554"/>
    <x v="442"/>
    <x v="2"/>
    <n v="823529"/>
    <n v="981077"/>
    <x v="4"/>
    <x v="2"/>
    <x v="1"/>
    <n v="-157548"/>
    <n v="-16.058678370810853"/>
    <s v="Project delivered successfully"/>
  </r>
  <r>
    <s v="P2794"/>
    <s v="Project-329"/>
    <x v="4"/>
    <x v="4"/>
    <x v="516"/>
    <x v="489"/>
    <x v="1"/>
    <n v="747268"/>
    <n v="456904"/>
    <x v="1"/>
    <x v="3"/>
    <x v="1"/>
    <n v="290364"/>
    <n v="63.550330047449791"/>
    <s v="Timeline extended"/>
  </r>
  <r>
    <s v="P2795"/>
    <s v="Project-811"/>
    <x v="5"/>
    <x v="7"/>
    <x v="139"/>
    <x v="407"/>
    <x v="3"/>
    <n v="572283"/>
    <n v="665754"/>
    <x v="4"/>
    <x v="2"/>
    <x v="0"/>
    <n v="-93471"/>
    <n v="-14.03987058282789"/>
    <s v="Project cancelled"/>
  </r>
  <r>
    <s v="P2796"/>
    <s v="Project-661"/>
    <x v="0"/>
    <x v="4"/>
    <x v="114"/>
    <x v="713"/>
    <x v="0"/>
    <n v="420719"/>
    <n v="148292"/>
    <x v="4"/>
    <x v="2"/>
    <x v="2"/>
    <n v="272427"/>
    <n v="183.70984274269685"/>
    <s v="Work in progress"/>
  </r>
  <r>
    <s v="P2797"/>
    <s v="Project-166"/>
    <x v="7"/>
    <x v="3"/>
    <x v="468"/>
    <x v="458"/>
    <x v="2"/>
    <n v="887350"/>
    <n v="266424"/>
    <x v="0"/>
    <x v="1"/>
    <x v="1"/>
    <n v="620926"/>
    <n v="233.05933399393444"/>
    <s v="Project delivered successfully"/>
  </r>
  <r>
    <s v="P2798"/>
    <s v="Project-911"/>
    <x v="6"/>
    <x v="5"/>
    <x v="274"/>
    <x v="396"/>
    <x v="1"/>
    <n v="975723"/>
    <n v="76475"/>
    <x v="4"/>
    <x v="1"/>
    <x v="0"/>
    <n v="899248"/>
    <n v="1175.8718535469106"/>
    <s v="Timeline extended"/>
  </r>
  <r>
    <s v="P2799"/>
    <s v="Project-480"/>
    <x v="5"/>
    <x v="3"/>
    <x v="4"/>
    <x v="404"/>
    <x v="0"/>
    <n v="188235"/>
    <n v="1029044"/>
    <x v="4"/>
    <x v="1"/>
    <x v="0"/>
    <n v="-840809"/>
    <n v="-81.707779259195917"/>
    <s v="Work in progress"/>
  </r>
  <r>
    <s v="P2800"/>
    <s v="Project-157"/>
    <x v="4"/>
    <x v="4"/>
    <x v="106"/>
    <x v="66"/>
    <x v="2"/>
    <n v="183542"/>
    <n v="40272"/>
    <x v="0"/>
    <x v="0"/>
    <x v="0"/>
    <n v="143270"/>
    <n v="355.75586015097338"/>
    <s v="Project delivered successfully"/>
  </r>
  <r>
    <s v="P2801"/>
    <s v="Project-358"/>
    <x v="6"/>
    <x v="6"/>
    <x v="503"/>
    <x v="399"/>
    <x v="0"/>
    <n v="459759"/>
    <n v="953716"/>
    <x v="2"/>
    <x v="1"/>
    <x v="1"/>
    <n v="-493957"/>
    <n v="-51.792881738379137"/>
    <s v="Work in progress"/>
  </r>
  <r>
    <s v="P2802"/>
    <s v="Project-441"/>
    <x v="2"/>
    <x v="1"/>
    <x v="565"/>
    <x v="67"/>
    <x v="0"/>
    <n v="200348"/>
    <n v="138644"/>
    <x v="3"/>
    <x v="2"/>
    <x v="0"/>
    <n v="61704"/>
    <n v="44.505351836357868"/>
    <s v="Work in progress"/>
  </r>
  <r>
    <s v="P2803"/>
    <s v="Project-937"/>
    <x v="5"/>
    <x v="2"/>
    <x v="575"/>
    <x v="534"/>
    <x v="0"/>
    <n v="170014"/>
    <n v="236308"/>
    <x v="4"/>
    <x v="3"/>
    <x v="2"/>
    <n v="-66294"/>
    <n v="-28.054065033769486"/>
    <s v="Work in progress"/>
  </r>
  <r>
    <s v="P2804"/>
    <s v="Project-229"/>
    <x v="5"/>
    <x v="5"/>
    <x v="614"/>
    <x v="509"/>
    <x v="0"/>
    <n v="742241"/>
    <n v="911948"/>
    <x v="1"/>
    <x v="3"/>
    <x v="0"/>
    <n v="-169707"/>
    <n v="-18.609284739919381"/>
    <s v="Work in progress"/>
  </r>
  <r>
    <s v="P2805"/>
    <s v="Project-826"/>
    <x v="4"/>
    <x v="1"/>
    <x v="457"/>
    <x v="90"/>
    <x v="2"/>
    <n v="391094"/>
    <n v="267957"/>
    <x v="0"/>
    <x v="2"/>
    <x v="0"/>
    <n v="123137"/>
    <n v="45.954015009870986"/>
    <s v="Project delivered successfully"/>
  </r>
  <r>
    <s v="P2806"/>
    <s v="Project-271"/>
    <x v="2"/>
    <x v="4"/>
    <x v="398"/>
    <x v="301"/>
    <x v="0"/>
    <n v="57749"/>
    <n v="451841"/>
    <x v="4"/>
    <x v="0"/>
    <x v="1"/>
    <n v="-394092"/>
    <n v="-87.219176657275455"/>
    <s v="Work in progress"/>
  </r>
  <r>
    <s v="P2807"/>
    <s v="Project-869"/>
    <x v="7"/>
    <x v="2"/>
    <x v="712"/>
    <x v="348"/>
    <x v="0"/>
    <n v="860614"/>
    <n v="410457"/>
    <x v="2"/>
    <x v="3"/>
    <x v="0"/>
    <n v="450157"/>
    <n v="109.67214592515174"/>
    <s v="Work in progress"/>
  </r>
  <r>
    <s v="P2808"/>
    <s v="Project-713"/>
    <x v="3"/>
    <x v="0"/>
    <x v="40"/>
    <x v="244"/>
    <x v="0"/>
    <n v="389594"/>
    <n v="479694"/>
    <x v="2"/>
    <x v="2"/>
    <x v="1"/>
    <n v="-90100"/>
    <n v="-18.782807373033641"/>
    <s v="Work in progress"/>
  </r>
  <r>
    <s v="P2809"/>
    <s v="Project-308"/>
    <x v="7"/>
    <x v="1"/>
    <x v="390"/>
    <x v="690"/>
    <x v="1"/>
    <n v="654831"/>
    <n v="845799"/>
    <x v="1"/>
    <x v="2"/>
    <x v="1"/>
    <n v="-190968"/>
    <n v="-22.578414020352351"/>
    <s v="Timeline extended"/>
  </r>
  <r>
    <s v="P2810"/>
    <s v="Project-902"/>
    <x v="2"/>
    <x v="1"/>
    <x v="515"/>
    <x v="59"/>
    <x v="0"/>
    <n v="670775"/>
    <n v="731173"/>
    <x v="4"/>
    <x v="2"/>
    <x v="2"/>
    <n v="-60398"/>
    <n v="-8.26042537128696"/>
    <s v="Work in progress"/>
  </r>
  <r>
    <s v="P2811"/>
    <s v="Project-453"/>
    <x v="1"/>
    <x v="4"/>
    <x v="318"/>
    <x v="693"/>
    <x v="2"/>
    <n v="422371"/>
    <n v="574409"/>
    <x v="1"/>
    <x v="3"/>
    <x v="0"/>
    <n v="-152038"/>
    <n v="-26.468596418231609"/>
    <s v="Project delivered successfully"/>
  </r>
  <r>
    <s v="P2812"/>
    <s v="Project-570"/>
    <x v="6"/>
    <x v="7"/>
    <x v="550"/>
    <x v="531"/>
    <x v="2"/>
    <n v="279216"/>
    <n v="355786"/>
    <x v="2"/>
    <x v="3"/>
    <x v="2"/>
    <n v="-76570"/>
    <n v="-21.52136396597955"/>
    <s v="Project delivered successfully"/>
  </r>
  <r>
    <s v="P2813"/>
    <s v="Project-897"/>
    <x v="4"/>
    <x v="4"/>
    <x v="192"/>
    <x v="110"/>
    <x v="0"/>
    <n v="568567"/>
    <n v="408808"/>
    <x v="2"/>
    <x v="1"/>
    <x v="2"/>
    <n v="159759"/>
    <n v="39.079225455470542"/>
    <s v="Work in progress"/>
  </r>
  <r>
    <s v="P2814"/>
    <s v="Project-215"/>
    <x v="7"/>
    <x v="1"/>
    <x v="187"/>
    <x v="714"/>
    <x v="0"/>
    <n v="464599"/>
    <n v="533148"/>
    <x v="3"/>
    <x v="1"/>
    <x v="0"/>
    <n v="-68549"/>
    <n v="-12.857405448393317"/>
    <s v="Work in progress"/>
  </r>
  <r>
    <s v="P2815"/>
    <s v="Project-363"/>
    <x v="5"/>
    <x v="2"/>
    <x v="62"/>
    <x v="26"/>
    <x v="2"/>
    <n v="915010"/>
    <n v="702538"/>
    <x v="2"/>
    <x v="2"/>
    <x v="0"/>
    <n v="212472"/>
    <n v="30.243488608445379"/>
    <s v="Project delivered successfully"/>
  </r>
  <r>
    <s v="P2816"/>
    <s v="Project-761"/>
    <x v="4"/>
    <x v="6"/>
    <x v="87"/>
    <x v="484"/>
    <x v="0"/>
    <n v="690546"/>
    <n v="97258"/>
    <x v="0"/>
    <x v="2"/>
    <x v="1"/>
    <n v="593288"/>
    <n v="610.01460034136005"/>
    <s v="Work in progress"/>
  </r>
  <r>
    <s v="P2817"/>
    <s v="Project-911"/>
    <x v="0"/>
    <x v="7"/>
    <x v="412"/>
    <x v="70"/>
    <x v="0"/>
    <n v="730772"/>
    <n v="1139139"/>
    <x v="3"/>
    <x v="2"/>
    <x v="0"/>
    <n v="-408367"/>
    <n v="-35.848741900681134"/>
    <s v="Work in progress"/>
  </r>
  <r>
    <s v="P2818"/>
    <s v="Project-541"/>
    <x v="2"/>
    <x v="4"/>
    <x v="42"/>
    <x v="373"/>
    <x v="2"/>
    <n v="63181"/>
    <n v="211122"/>
    <x v="1"/>
    <x v="2"/>
    <x v="1"/>
    <n v="-147941"/>
    <n v="-70.07370146171408"/>
    <s v="Project delivered successfully"/>
  </r>
  <r>
    <s v="P2819"/>
    <s v="Project-647"/>
    <x v="6"/>
    <x v="6"/>
    <x v="412"/>
    <x v="107"/>
    <x v="0"/>
    <n v="94898"/>
    <n v="879039"/>
    <x v="2"/>
    <x v="3"/>
    <x v="2"/>
    <n v="-784141"/>
    <n v="-89.204347019870568"/>
    <s v="Work in progress"/>
  </r>
  <r>
    <s v="P2820"/>
    <s v="Project-552"/>
    <x v="7"/>
    <x v="5"/>
    <x v="415"/>
    <x v="399"/>
    <x v="0"/>
    <n v="839837"/>
    <n v="95638"/>
    <x v="0"/>
    <x v="1"/>
    <x v="2"/>
    <n v="744199"/>
    <n v="778.14153369999372"/>
    <s v="Work in progress"/>
  </r>
  <r>
    <s v="P2821"/>
    <s v="Project-944"/>
    <x v="4"/>
    <x v="4"/>
    <x v="502"/>
    <x v="350"/>
    <x v="0"/>
    <n v="539620"/>
    <n v="793303"/>
    <x v="3"/>
    <x v="0"/>
    <x v="1"/>
    <n v="-253683"/>
    <n v="-31.978071430462258"/>
    <s v="Work in progress"/>
  </r>
  <r>
    <s v="P2822"/>
    <s v="Project-576"/>
    <x v="6"/>
    <x v="1"/>
    <x v="696"/>
    <x v="383"/>
    <x v="0"/>
    <n v="323006"/>
    <n v="730534"/>
    <x v="0"/>
    <x v="2"/>
    <x v="0"/>
    <n v="-407528"/>
    <n v="-55.784946354310684"/>
    <s v="Work in progress"/>
  </r>
  <r>
    <s v="P2823"/>
    <s v="Project-386"/>
    <x v="7"/>
    <x v="6"/>
    <x v="31"/>
    <x v="466"/>
    <x v="2"/>
    <n v="235751"/>
    <n v="933152"/>
    <x v="3"/>
    <x v="1"/>
    <x v="0"/>
    <n v="-697401"/>
    <n v="-74.736055862281816"/>
    <s v="Project delivered successfully"/>
  </r>
  <r>
    <s v="P2824"/>
    <s v="Project-402"/>
    <x v="4"/>
    <x v="1"/>
    <x v="352"/>
    <x v="170"/>
    <x v="2"/>
    <n v="340832"/>
    <n v="953676"/>
    <x v="3"/>
    <x v="2"/>
    <x v="1"/>
    <n v="-612844"/>
    <n v="-64.261237569153465"/>
    <s v="Project delivered successfully"/>
  </r>
  <r>
    <s v="P2825"/>
    <s v="Project-410"/>
    <x v="5"/>
    <x v="0"/>
    <x v="332"/>
    <x v="632"/>
    <x v="2"/>
    <n v="622305"/>
    <n v="631076"/>
    <x v="3"/>
    <x v="3"/>
    <x v="2"/>
    <n v="-8771"/>
    <n v="-1.389848449315138"/>
    <s v="Project delivered successfully"/>
  </r>
  <r>
    <s v="P2826"/>
    <s v="Project-307"/>
    <x v="0"/>
    <x v="6"/>
    <x v="22"/>
    <x v="358"/>
    <x v="2"/>
    <n v="539697"/>
    <n v="834350"/>
    <x v="1"/>
    <x v="0"/>
    <x v="1"/>
    <n v="-294653"/>
    <n v="-35.31527536405585"/>
    <s v="Project delivered successfully"/>
  </r>
  <r>
    <s v="P2827"/>
    <s v="Project-717"/>
    <x v="0"/>
    <x v="6"/>
    <x v="154"/>
    <x v="101"/>
    <x v="0"/>
    <n v="325083"/>
    <n v="823629"/>
    <x v="3"/>
    <x v="1"/>
    <x v="0"/>
    <n v="-498546"/>
    <n v="-60.530408715574616"/>
    <s v="Work in progress"/>
  </r>
  <r>
    <s v="P2828"/>
    <s v="Project-545"/>
    <x v="1"/>
    <x v="4"/>
    <x v="181"/>
    <x v="167"/>
    <x v="0"/>
    <n v="817631"/>
    <n v="699037"/>
    <x v="3"/>
    <x v="1"/>
    <x v="0"/>
    <n v="118594"/>
    <n v="16.965339459856917"/>
    <s v="Work in progress"/>
  </r>
  <r>
    <s v="P2829"/>
    <s v="Project-769"/>
    <x v="4"/>
    <x v="1"/>
    <x v="239"/>
    <x v="613"/>
    <x v="0"/>
    <n v="416296"/>
    <n v="296714"/>
    <x v="0"/>
    <x v="0"/>
    <x v="1"/>
    <n v="119582"/>
    <n v="40.302109101693887"/>
    <s v="Work in progress"/>
  </r>
  <r>
    <s v="P2830"/>
    <s v="Project-732"/>
    <x v="7"/>
    <x v="5"/>
    <x v="261"/>
    <x v="7"/>
    <x v="0"/>
    <n v="351729"/>
    <n v="1150818"/>
    <x v="3"/>
    <x v="3"/>
    <x v="0"/>
    <n v="-799089"/>
    <n v="-69.436609437808585"/>
    <s v="Work in progress"/>
  </r>
  <r>
    <s v="P2831"/>
    <s v="Project-154"/>
    <x v="0"/>
    <x v="3"/>
    <x v="568"/>
    <x v="371"/>
    <x v="3"/>
    <n v="428459"/>
    <n v="259810"/>
    <x v="1"/>
    <x v="0"/>
    <x v="2"/>
    <n v="168649"/>
    <n v="64.91243601093106"/>
    <s v="Project cancelled"/>
  </r>
  <r>
    <s v="P2832"/>
    <s v="Project-111"/>
    <x v="2"/>
    <x v="7"/>
    <x v="532"/>
    <x v="41"/>
    <x v="1"/>
    <n v="154447"/>
    <n v="77907"/>
    <x v="0"/>
    <x v="1"/>
    <x v="1"/>
    <n v="76540"/>
    <n v="98.245343807360058"/>
    <s v="Timeline extended"/>
  </r>
  <r>
    <s v="P2833"/>
    <s v="Project-756"/>
    <x v="0"/>
    <x v="3"/>
    <x v="81"/>
    <x v="108"/>
    <x v="0"/>
    <n v="818173"/>
    <n v="366802"/>
    <x v="3"/>
    <x v="0"/>
    <x v="2"/>
    <n v="451371"/>
    <n v="123.05576305472708"/>
    <s v="Work in progress"/>
  </r>
  <r>
    <s v="P2834"/>
    <s v="Project-499"/>
    <x v="3"/>
    <x v="7"/>
    <x v="99"/>
    <x v="518"/>
    <x v="0"/>
    <n v="289434"/>
    <n v="76371"/>
    <x v="0"/>
    <x v="3"/>
    <x v="2"/>
    <n v="213063"/>
    <n v="278.9841693836666"/>
    <s v="Work in progress"/>
  </r>
  <r>
    <s v="P2835"/>
    <s v="Project-747"/>
    <x v="3"/>
    <x v="5"/>
    <x v="266"/>
    <x v="333"/>
    <x v="0"/>
    <n v="728302"/>
    <n v="958495"/>
    <x v="1"/>
    <x v="3"/>
    <x v="1"/>
    <n v="-230193"/>
    <n v="-24.016087720854049"/>
    <s v="Work in progress"/>
  </r>
  <r>
    <s v="P2836"/>
    <s v="Project-614"/>
    <x v="0"/>
    <x v="6"/>
    <x v="518"/>
    <x v="304"/>
    <x v="0"/>
    <n v="291147"/>
    <n v="579175"/>
    <x v="0"/>
    <x v="2"/>
    <x v="1"/>
    <n v="-288028"/>
    <n v="-49.730737687227524"/>
    <s v="Work in progress"/>
  </r>
  <r>
    <s v="P2837"/>
    <s v="Project-755"/>
    <x v="4"/>
    <x v="6"/>
    <x v="701"/>
    <x v="290"/>
    <x v="0"/>
    <n v="448488"/>
    <n v="568147"/>
    <x v="1"/>
    <x v="0"/>
    <x v="0"/>
    <n v="-119659"/>
    <n v="-21.061274634909626"/>
    <s v="Work in progress"/>
  </r>
  <r>
    <s v="P2838"/>
    <s v="Project-641"/>
    <x v="1"/>
    <x v="4"/>
    <x v="137"/>
    <x v="148"/>
    <x v="0"/>
    <n v="487350"/>
    <n v="971144"/>
    <x v="2"/>
    <x v="0"/>
    <x v="0"/>
    <n v="-483794"/>
    <n v="-49.816916955672895"/>
    <s v="Work in progress"/>
  </r>
  <r>
    <s v="P2839"/>
    <s v="Project-336"/>
    <x v="0"/>
    <x v="0"/>
    <x v="311"/>
    <x v="509"/>
    <x v="1"/>
    <n v="205337"/>
    <n v="514284"/>
    <x v="3"/>
    <x v="1"/>
    <x v="1"/>
    <n v="-308947"/>
    <n v="-60.073228021871181"/>
    <s v="Timeline extended"/>
  </r>
  <r>
    <s v="P2840"/>
    <s v="Project-378"/>
    <x v="5"/>
    <x v="1"/>
    <x v="302"/>
    <x v="265"/>
    <x v="2"/>
    <n v="304743"/>
    <n v="527981"/>
    <x v="1"/>
    <x v="3"/>
    <x v="1"/>
    <n v="-223238"/>
    <n v="-42.281445733842695"/>
    <s v="Project delivered successfully"/>
  </r>
  <r>
    <s v="P2841"/>
    <s v="Project-447"/>
    <x v="6"/>
    <x v="1"/>
    <x v="224"/>
    <x v="412"/>
    <x v="0"/>
    <n v="753552"/>
    <n v="214307"/>
    <x v="3"/>
    <x v="0"/>
    <x v="0"/>
    <n v="539245"/>
    <n v="251.62267214789998"/>
    <s v="Work in progress"/>
  </r>
  <r>
    <s v="P2842"/>
    <s v="Project-726"/>
    <x v="7"/>
    <x v="1"/>
    <x v="232"/>
    <x v="454"/>
    <x v="0"/>
    <n v="734028"/>
    <n v="526372"/>
    <x v="1"/>
    <x v="1"/>
    <x v="0"/>
    <n v="207656"/>
    <n v="39.450426694429034"/>
    <s v="Work in progress"/>
  </r>
  <r>
    <s v="P2843"/>
    <s v="Project-203"/>
    <x v="1"/>
    <x v="4"/>
    <x v="124"/>
    <x v="459"/>
    <x v="0"/>
    <n v="554948"/>
    <n v="897414"/>
    <x v="4"/>
    <x v="2"/>
    <x v="0"/>
    <n v="-342466"/>
    <n v="-38.161428281707217"/>
    <s v="Work in progress"/>
  </r>
  <r>
    <s v="P2844"/>
    <s v="Project-729"/>
    <x v="5"/>
    <x v="7"/>
    <x v="23"/>
    <x v="254"/>
    <x v="1"/>
    <n v="655848"/>
    <n v="838344"/>
    <x v="4"/>
    <x v="0"/>
    <x v="1"/>
    <n v="-182496"/>
    <n v="-21.768629584037104"/>
    <s v="Timeline extended"/>
  </r>
  <r>
    <s v="P2845"/>
    <s v="Project-616"/>
    <x v="1"/>
    <x v="6"/>
    <x v="136"/>
    <x v="75"/>
    <x v="1"/>
    <n v="409579"/>
    <n v="784927"/>
    <x v="4"/>
    <x v="0"/>
    <x v="1"/>
    <n v="-375348"/>
    <n v="-47.81947875407522"/>
    <s v="Timeline extended"/>
  </r>
  <r>
    <s v="P2846"/>
    <s v="Project-971"/>
    <x v="5"/>
    <x v="5"/>
    <x v="50"/>
    <x v="147"/>
    <x v="1"/>
    <n v="643571"/>
    <n v="674927"/>
    <x v="1"/>
    <x v="1"/>
    <x v="0"/>
    <n v="-31356"/>
    <n v="-4.6458357718686614"/>
    <s v="Timeline extended"/>
  </r>
  <r>
    <s v="P2847"/>
    <s v="Project-347"/>
    <x v="7"/>
    <x v="1"/>
    <x v="187"/>
    <x v="101"/>
    <x v="0"/>
    <n v="59297"/>
    <n v="196587"/>
    <x v="3"/>
    <x v="1"/>
    <x v="2"/>
    <n v="-137290"/>
    <n v="-69.83676438421665"/>
    <s v="Work in progress"/>
  </r>
  <r>
    <s v="P2848"/>
    <s v="Project-463"/>
    <x v="7"/>
    <x v="3"/>
    <x v="628"/>
    <x v="279"/>
    <x v="2"/>
    <n v="114005"/>
    <n v="438632"/>
    <x v="4"/>
    <x v="3"/>
    <x v="2"/>
    <n v="-324627"/>
    <n v="-74.008964234255586"/>
    <s v="Project delivered successfully"/>
  </r>
  <r>
    <s v="P2849"/>
    <s v="Project-420"/>
    <x v="3"/>
    <x v="1"/>
    <x v="447"/>
    <x v="203"/>
    <x v="0"/>
    <n v="965265"/>
    <n v="204847"/>
    <x v="3"/>
    <x v="3"/>
    <x v="0"/>
    <n v="760418"/>
    <n v="371.21266115686342"/>
    <s v="Work in progress"/>
  </r>
  <r>
    <s v="P2850"/>
    <s v="Project-732"/>
    <x v="4"/>
    <x v="6"/>
    <x v="533"/>
    <x v="672"/>
    <x v="2"/>
    <n v="239506"/>
    <n v="394211"/>
    <x v="1"/>
    <x v="3"/>
    <x v="1"/>
    <n v="-154705"/>
    <n v="-39.244211856087226"/>
    <s v="Project delivered successfully"/>
  </r>
  <r>
    <s v="P2851"/>
    <s v="Project-385"/>
    <x v="5"/>
    <x v="4"/>
    <x v="552"/>
    <x v="411"/>
    <x v="0"/>
    <n v="444823"/>
    <n v="269891"/>
    <x v="3"/>
    <x v="0"/>
    <x v="1"/>
    <n v="174932"/>
    <n v="64.815796006535976"/>
    <s v="Work in progress"/>
  </r>
  <r>
    <s v="P2852"/>
    <s v="Project-248"/>
    <x v="6"/>
    <x v="5"/>
    <x v="517"/>
    <x v="191"/>
    <x v="0"/>
    <n v="704942"/>
    <n v="849432"/>
    <x v="3"/>
    <x v="1"/>
    <x v="2"/>
    <n v="-144490"/>
    <n v="-17.010190338955912"/>
    <s v="Work in progress"/>
  </r>
  <r>
    <s v="P2853"/>
    <s v="Project-183"/>
    <x v="3"/>
    <x v="0"/>
    <x v="713"/>
    <x v="575"/>
    <x v="2"/>
    <n v="240255"/>
    <n v="867685"/>
    <x v="4"/>
    <x v="3"/>
    <x v="0"/>
    <n v="-627430"/>
    <n v="-72.310804036026894"/>
    <s v="Project delivered successfully"/>
  </r>
  <r>
    <s v="P2854"/>
    <s v="Project-505"/>
    <x v="5"/>
    <x v="5"/>
    <x v="641"/>
    <x v="225"/>
    <x v="0"/>
    <n v="661282"/>
    <n v="665136"/>
    <x v="0"/>
    <x v="0"/>
    <x v="2"/>
    <n v="-3854"/>
    <n v="-0.57943037213442061"/>
    <s v="Work in progress"/>
  </r>
  <r>
    <s v="P2855"/>
    <s v="Project-555"/>
    <x v="3"/>
    <x v="3"/>
    <x v="449"/>
    <x v="626"/>
    <x v="0"/>
    <n v="106305"/>
    <n v="675209"/>
    <x v="2"/>
    <x v="3"/>
    <x v="2"/>
    <n v="-568904"/>
    <n v="-84.255985924358228"/>
    <s v="Work in progress"/>
  </r>
  <r>
    <s v="P2856"/>
    <s v="Project-842"/>
    <x v="7"/>
    <x v="1"/>
    <x v="464"/>
    <x v="366"/>
    <x v="0"/>
    <n v="733333"/>
    <n v="275398"/>
    <x v="1"/>
    <x v="2"/>
    <x v="0"/>
    <n v="457935"/>
    <n v="166.281163988119"/>
    <s v="Work in progress"/>
  </r>
  <r>
    <s v="P2857"/>
    <s v="Project-899"/>
    <x v="1"/>
    <x v="1"/>
    <x v="28"/>
    <x v="710"/>
    <x v="0"/>
    <n v="990621"/>
    <n v="367330"/>
    <x v="1"/>
    <x v="0"/>
    <x v="2"/>
    <n v="623291"/>
    <n v="169.68148531293389"/>
    <s v="Work in progress"/>
  </r>
  <r>
    <s v="P2858"/>
    <s v="Project-260"/>
    <x v="2"/>
    <x v="2"/>
    <x v="473"/>
    <x v="289"/>
    <x v="0"/>
    <n v="263058"/>
    <n v="252832"/>
    <x v="1"/>
    <x v="3"/>
    <x v="1"/>
    <n v="10226"/>
    <n v="4.0445829641817488"/>
    <s v="Work in progress"/>
  </r>
  <r>
    <s v="P2859"/>
    <s v="Project-883"/>
    <x v="3"/>
    <x v="7"/>
    <x v="502"/>
    <x v="183"/>
    <x v="0"/>
    <n v="786431"/>
    <n v="622237"/>
    <x v="2"/>
    <x v="3"/>
    <x v="2"/>
    <n v="164194"/>
    <n v="26.387694720821809"/>
    <s v="Work in progress"/>
  </r>
  <r>
    <s v="P2860"/>
    <s v="Project-559"/>
    <x v="5"/>
    <x v="3"/>
    <x v="608"/>
    <x v="161"/>
    <x v="0"/>
    <n v="959120"/>
    <n v="1184906"/>
    <x v="0"/>
    <x v="2"/>
    <x v="0"/>
    <n v="-225786"/>
    <n v="-19.055182436412675"/>
    <s v="Work in progress"/>
  </r>
  <r>
    <s v="P2861"/>
    <s v="Project-649"/>
    <x v="5"/>
    <x v="2"/>
    <x v="271"/>
    <x v="258"/>
    <x v="0"/>
    <n v="275963"/>
    <n v="1182298"/>
    <x v="3"/>
    <x v="2"/>
    <x v="1"/>
    <n v="-906335"/>
    <n v="-76.658761158354324"/>
    <s v="Work in progress"/>
  </r>
  <r>
    <s v="P2862"/>
    <s v="Project-599"/>
    <x v="2"/>
    <x v="5"/>
    <x v="142"/>
    <x v="488"/>
    <x v="3"/>
    <n v="844077"/>
    <n v="59854"/>
    <x v="1"/>
    <x v="3"/>
    <x v="1"/>
    <n v="784223"/>
    <n v="1310.2265512747686"/>
    <s v="Project cancelled"/>
  </r>
  <r>
    <s v="P2863"/>
    <s v="Project-837"/>
    <x v="4"/>
    <x v="0"/>
    <x v="457"/>
    <x v="466"/>
    <x v="0"/>
    <n v="878670"/>
    <n v="1175318"/>
    <x v="3"/>
    <x v="3"/>
    <x v="2"/>
    <n v="-296648"/>
    <n v="-25.239807439348326"/>
    <s v="Work in progress"/>
  </r>
  <r>
    <s v="P2864"/>
    <s v="Project-608"/>
    <x v="6"/>
    <x v="7"/>
    <x v="14"/>
    <x v="395"/>
    <x v="0"/>
    <n v="643982"/>
    <n v="673913"/>
    <x v="4"/>
    <x v="1"/>
    <x v="1"/>
    <n v="-29931"/>
    <n v="-4.4413744800886761"/>
    <s v="Work in progress"/>
  </r>
  <r>
    <s v="P2865"/>
    <s v="Project-753"/>
    <x v="7"/>
    <x v="3"/>
    <x v="221"/>
    <x v="536"/>
    <x v="0"/>
    <n v="747133"/>
    <n v="459581"/>
    <x v="4"/>
    <x v="3"/>
    <x v="0"/>
    <n v="287552"/>
    <n v="62.568295904312841"/>
    <s v="Work in progress"/>
  </r>
  <r>
    <s v="P2866"/>
    <s v="Project-903"/>
    <x v="5"/>
    <x v="1"/>
    <x v="301"/>
    <x v="418"/>
    <x v="1"/>
    <n v="328930"/>
    <n v="882588"/>
    <x v="4"/>
    <x v="3"/>
    <x v="2"/>
    <n v="-553658"/>
    <n v="-62.731195076298341"/>
    <s v="Timeline extended"/>
  </r>
  <r>
    <s v="P2867"/>
    <s v="Project-580"/>
    <x v="0"/>
    <x v="5"/>
    <x v="282"/>
    <x v="316"/>
    <x v="2"/>
    <n v="90693"/>
    <n v="151232"/>
    <x v="1"/>
    <x v="1"/>
    <x v="1"/>
    <n v="-60539"/>
    <n v="-40.030549090139658"/>
    <s v="Project delivered successfully"/>
  </r>
  <r>
    <s v="P2868"/>
    <s v="Project-762"/>
    <x v="1"/>
    <x v="3"/>
    <x v="336"/>
    <x v="432"/>
    <x v="0"/>
    <n v="932879"/>
    <n v="742084"/>
    <x v="2"/>
    <x v="1"/>
    <x v="0"/>
    <n v="190795"/>
    <n v="25.710701214417774"/>
    <s v="Work in progress"/>
  </r>
  <r>
    <s v="P2869"/>
    <s v="Project-213"/>
    <x v="3"/>
    <x v="1"/>
    <x v="79"/>
    <x v="504"/>
    <x v="2"/>
    <n v="469794"/>
    <n v="307599"/>
    <x v="1"/>
    <x v="3"/>
    <x v="2"/>
    <n v="162195"/>
    <n v="52.729365179990829"/>
    <s v="Project delivered successfully"/>
  </r>
  <r>
    <s v="P2870"/>
    <s v="Project-848"/>
    <x v="4"/>
    <x v="6"/>
    <x v="652"/>
    <x v="50"/>
    <x v="2"/>
    <n v="643990"/>
    <n v="773106"/>
    <x v="4"/>
    <x v="1"/>
    <x v="0"/>
    <n v="-129116"/>
    <n v="-16.700943984395415"/>
    <s v="Project delivered successfully"/>
  </r>
  <r>
    <s v="P2871"/>
    <s v="Project-677"/>
    <x v="6"/>
    <x v="7"/>
    <x v="649"/>
    <x v="296"/>
    <x v="2"/>
    <n v="396989"/>
    <n v="995177"/>
    <x v="4"/>
    <x v="0"/>
    <x v="1"/>
    <n v="-598188"/>
    <n v="-60.108704280746039"/>
    <s v="Project delivered successfully"/>
  </r>
  <r>
    <s v="P2872"/>
    <s v="Project-460"/>
    <x v="2"/>
    <x v="6"/>
    <x v="483"/>
    <x v="330"/>
    <x v="2"/>
    <n v="851508"/>
    <n v="829111"/>
    <x v="1"/>
    <x v="2"/>
    <x v="2"/>
    <n v="22397"/>
    <n v="2.7013270840695638"/>
    <s v="Project delivered successfully"/>
  </r>
  <r>
    <s v="P2873"/>
    <s v="Project-440"/>
    <x v="1"/>
    <x v="6"/>
    <x v="285"/>
    <x v="18"/>
    <x v="1"/>
    <n v="855809"/>
    <n v="57429"/>
    <x v="2"/>
    <x v="0"/>
    <x v="2"/>
    <n v="798380"/>
    <n v="1390.2035556948579"/>
    <s v="Timeline extended"/>
  </r>
  <r>
    <s v="P2874"/>
    <s v="Project-869"/>
    <x v="7"/>
    <x v="1"/>
    <x v="449"/>
    <x v="405"/>
    <x v="1"/>
    <n v="714638"/>
    <n v="310217"/>
    <x v="2"/>
    <x v="2"/>
    <x v="1"/>
    <n v="404421"/>
    <n v="130.3671301057002"/>
    <s v="Timeline extended"/>
  </r>
  <r>
    <s v="P2875"/>
    <s v="Project-860"/>
    <x v="4"/>
    <x v="0"/>
    <x v="69"/>
    <x v="354"/>
    <x v="2"/>
    <n v="508024"/>
    <n v="624495"/>
    <x v="3"/>
    <x v="2"/>
    <x v="0"/>
    <n v="-116471"/>
    <n v="-18.650429547074037"/>
    <s v="Project delivered successfully"/>
  </r>
  <r>
    <s v="P2876"/>
    <s v="Project-548"/>
    <x v="6"/>
    <x v="5"/>
    <x v="25"/>
    <x v="691"/>
    <x v="0"/>
    <n v="570436"/>
    <n v="60365"/>
    <x v="0"/>
    <x v="3"/>
    <x v="1"/>
    <n v="510071"/>
    <n v="844.9780501946492"/>
    <s v="Work in progress"/>
  </r>
  <r>
    <s v="P2877"/>
    <s v="Project-942"/>
    <x v="3"/>
    <x v="4"/>
    <x v="15"/>
    <x v="434"/>
    <x v="2"/>
    <n v="439512"/>
    <n v="1003432"/>
    <x v="4"/>
    <x v="2"/>
    <x v="2"/>
    <n v="-563920"/>
    <n v="-56.199124604357841"/>
    <s v="Project delivered successfully"/>
  </r>
  <r>
    <s v="P2878"/>
    <s v="Project-934"/>
    <x v="3"/>
    <x v="1"/>
    <x v="59"/>
    <x v="504"/>
    <x v="1"/>
    <n v="607827"/>
    <n v="797263"/>
    <x v="2"/>
    <x v="0"/>
    <x v="2"/>
    <n v="-189436"/>
    <n v="-23.76079160828986"/>
    <s v="Timeline extended"/>
  </r>
  <r>
    <s v="P2879"/>
    <s v="Project-279"/>
    <x v="2"/>
    <x v="0"/>
    <x v="613"/>
    <x v="561"/>
    <x v="0"/>
    <n v="700840"/>
    <n v="890885"/>
    <x v="4"/>
    <x v="3"/>
    <x v="1"/>
    <n v="-190045"/>
    <n v="-21.332158471632141"/>
    <s v="Work in progress"/>
  </r>
  <r>
    <s v="P2880"/>
    <s v="Project-801"/>
    <x v="0"/>
    <x v="4"/>
    <x v="672"/>
    <x v="373"/>
    <x v="3"/>
    <n v="192512"/>
    <n v="136657"/>
    <x v="0"/>
    <x v="1"/>
    <x v="0"/>
    <n v="55855"/>
    <n v="40.872403169980316"/>
    <s v="Project cancelled"/>
  </r>
  <r>
    <s v="P2881"/>
    <s v="Project-506"/>
    <x v="2"/>
    <x v="5"/>
    <x v="505"/>
    <x v="346"/>
    <x v="0"/>
    <n v="338389"/>
    <n v="1086360"/>
    <x v="4"/>
    <x v="0"/>
    <x v="1"/>
    <n v="-747971"/>
    <n v="-68.851117493280313"/>
    <s v="Work in progress"/>
  </r>
  <r>
    <s v="P2882"/>
    <s v="Project-765"/>
    <x v="7"/>
    <x v="6"/>
    <x v="629"/>
    <x v="184"/>
    <x v="0"/>
    <n v="989601"/>
    <n v="1046466"/>
    <x v="2"/>
    <x v="3"/>
    <x v="0"/>
    <n v="-56865"/>
    <n v="-5.4340035892231571"/>
    <s v="Work in progress"/>
  </r>
  <r>
    <s v="P2883"/>
    <s v="Project-295"/>
    <x v="4"/>
    <x v="7"/>
    <x v="459"/>
    <x v="374"/>
    <x v="1"/>
    <n v="779063"/>
    <n v="281428"/>
    <x v="3"/>
    <x v="2"/>
    <x v="0"/>
    <n v="497635"/>
    <n v="176.82497832482909"/>
    <s v="Timeline extended"/>
  </r>
  <r>
    <s v="P2884"/>
    <s v="Project-565"/>
    <x v="4"/>
    <x v="7"/>
    <x v="629"/>
    <x v="607"/>
    <x v="0"/>
    <n v="903524"/>
    <n v="675201"/>
    <x v="1"/>
    <x v="0"/>
    <x v="2"/>
    <n v="228323"/>
    <n v="33.815560107286572"/>
    <s v="Work in progress"/>
  </r>
  <r>
    <s v="P2885"/>
    <s v="Project-410"/>
    <x v="5"/>
    <x v="5"/>
    <x v="402"/>
    <x v="23"/>
    <x v="0"/>
    <n v="421598"/>
    <n v="550715"/>
    <x v="1"/>
    <x v="2"/>
    <x v="0"/>
    <n v="-129117"/>
    <n v="-23.445339240805136"/>
    <s v="Work in progress"/>
  </r>
  <r>
    <s v="P2886"/>
    <s v="Project-361"/>
    <x v="0"/>
    <x v="5"/>
    <x v="199"/>
    <x v="630"/>
    <x v="0"/>
    <n v="968655"/>
    <n v="173363"/>
    <x v="2"/>
    <x v="3"/>
    <x v="2"/>
    <n v="795292"/>
    <n v="458.74379192791997"/>
    <s v="Work in progress"/>
  </r>
  <r>
    <s v="P2887"/>
    <s v="Project-518"/>
    <x v="0"/>
    <x v="3"/>
    <x v="92"/>
    <x v="100"/>
    <x v="0"/>
    <n v="727058"/>
    <n v="507678"/>
    <x v="2"/>
    <x v="3"/>
    <x v="0"/>
    <n v="219380"/>
    <n v="43.212429926055492"/>
    <s v="Work in progress"/>
  </r>
  <r>
    <s v="P2888"/>
    <s v="Project-505"/>
    <x v="4"/>
    <x v="0"/>
    <x v="468"/>
    <x v="444"/>
    <x v="0"/>
    <n v="722961"/>
    <n v="842586"/>
    <x v="0"/>
    <x v="1"/>
    <x v="0"/>
    <n v="-119625"/>
    <n v="-14.197363829923592"/>
    <s v="Work in progress"/>
  </r>
  <r>
    <s v="P2889"/>
    <s v="Project-242"/>
    <x v="4"/>
    <x v="6"/>
    <x v="207"/>
    <x v="264"/>
    <x v="0"/>
    <n v="207879"/>
    <n v="535092"/>
    <x v="4"/>
    <x v="1"/>
    <x v="2"/>
    <n v="-327213"/>
    <n v="-61.150792760871028"/>
    <s v="Work in progress"/>
  </r>
  <r>
    <s v="P2890"/>
    <s v="Project-441"/>
    <x v="1"/>
    <x v="0"/>
    <x v="433"/>
    <x v="307"/>
    <x v="0"/>
    <n v="750662"/>
    <n v="263420"/>
    <x v="0"/>
    <x v="0"/>
    <x v="0"/>
    <n v="487242"/>
    <n v="184.96773213878976"/>
    <s v="Work in progress"/>
  </r>
  <r>
    <s v="P2891"/>
    <s v="Project-415"/>
    <x v="6"/>
    <x v="5"/>
    <x v="430"/>
    <x v="396"/>
    <x v="3"/>
    <n v="266936"/>
    <n v="1174406"/>
    <x v="1"/>
    <x v="1"/>
    <x v="1"/>
    <n v="-907470"/>
    <n v="-77.270552091866023"/>
    <s v="Project cancelled"/>
  </r>
  <r>
    <s v="P2892"/>
    <s v="Project-200"/>
    <x v="1"/>
    <x v="2"/>
    <x v="677"/>
    <x v="302"/>
    <x v="3"/>
    <n v="713399"/>
    <n v="328345"/>
    <x v="4"/>
    <x v="2"/>
    <x v="0"/>
    <n v="385054"/>
    <n v="117.27116295360062"/>
    <s v="Project cancelled"/>
  </r>
  <r>
    <s v="P2893"/>
    <s v="Project-343"/>
    <x v="1"/>
    <x v="2"/>
    <x v="504"/>
    <x v="490"/>
    <x v="0"/>
    <n v="559946"/>
    <n v="462695"/>
    <x v="0"/>
    <x v="2"/>
    <x v="2"/>
    <n v="97251"/>
    <n v="21.018381439176995"/>
    <s v="Work in progress"/>
  </r>
  <r>
    <s v="P2894"/>
    <s v="Project-589"/>
    <x v="0"/>
    <x v="4"/>
    <x v="624"/>
    <x v="151"/>
    <x v="2"/>
    <n v="359571"/>
    <n v="1151496"/>
    <x v="1"/>
    <x v="1"/>
    <x v="2"/>
    <n v="-791925"/>
    <n v="-68.773578023718713"/>
    <s v="Project delivered successfully"/>
  </r>
  <r>
    <s v="P2895"/>
    <s v="Project-111"/>
    <x v="5"/>
    <x v="4"/>
    <x v="159"/>
    <x v="398"/>
    <x v="0"/>
    <n v="908271"/>
    <n v="243869"/>
    <x v="4"/>
    <x v="1"/>
    <x v="1"/>
    <n v="664402"/>
    <n v="272.44217182175674"/>
    <s v="Work in progress"/>
  </r>
  <r>
    <s v="P2896"/>
    <s v="Project-338"/>
    <x v="3"/>
    <x v="2"/>
    <x v="342"/>
    <x v="208"/>
    <x v="0"/>
    <n v="763409"/>
    <n v="491811"/>
    <x v="3"/>
    <x v="1"/>
    <x v="0"/>
    <n v="271598"/>
    <n v="55.224059648930179"/>
    <s v="Work in progress"/>
  </r>
  <r>
    <s v="P2897"/>
    <s v="Project-660"/>
    <x v="1"/>
    <x v="5"/>
    <x v="474"/>
    <x v="165"/>
    <x v="0"/>
    <n v="462269"/>
    <n v="717094"/>
    <x v="3"/>
    <x v="0"/>
    <x v="1"/>
    <n v="-254825"/>
    <n v="-35.535787497873358"/>
    <s v="Work in progress"/>
  </r>
  <r>
    <s v="P2898"/>
    <s v="Project-141"/>
    <x v="5"/>
    <x v="5"/>
    <x v="390"/>
    <x v="103"/>
    <x v="3"/>
    <n v="278252"/>
    <n v="774287"/>
    <x v="0"/>
    <x v="0"/>
    <x v="0"/>
    <n v="-496035"/>
    <n v="-64.063454507178861"/>
    <s v="Project cancelled"/>
  </r>
  <r>
    <s v="P2899"/>
    <s v="Project-777"/>
    <x v="2"/>
    <x v="4"/>
    <x v="632"/>
    <x v="262"/>
    <x v="1"/>
    <n v="428945"/>
    <n v="1160027"/>
    <x v="2"/>
    <x v="2"/>
    <x v="1"/>
    <n v="-731082"/>
    <n v="-63.022843433816625"/>
    <s v="Timeline extended"/>
  </r>
  <r>
    <s v="P2900"/>
    <s v="Project-693"/>
    <x v="7"/>
    <x v="1"/>
    <x v="532"/>
    <x v="606"/>
    <x v="0"/>
    <n v="947277"/>
    <n v="129978"/>
    <x v="4"/>
    <x v="0"/>
    <x v="2"/>
    <n v="817299"/>
    <n v="628.79795042237913"/>
    <s v="Work in progress"/>
  </r>
  <r>
    <s v="P2901"/>
    <s v="Project-528"/>
    <x v="1"/>
    <x v="5"/>
    <x v="25"/>
    <x v="595"/>
    <x v="0"/>
    <n v="922730"/>
    <n v="1121144"/>
    <x v="0"/>
    <x v="0"/>
    <x v="2"/>
    <n v="-198414"/>
    <n v="-17.697459023996917"/>
    <s v="Work in progress"/>
  </r>
  <r>
    <s v="P2902"/>
    <s v="Project-902"/>
    <x v="2"/>
    <x v="2"/>
    <x v="692"/>
    <x v="270"/>
    <x v="0"/>
    <n v="139147"/>
    <n v="711153"/>
    <x v="2"/>
    <x v="3"/>
    <x v="1"/>
    <n v="-572006"/>
    <n v="-80.43360570791377"/>
    <s v="Work in progress"/>
  </r>
  <r>
    <s v="P2903"/>
    <s v="Project-257"/>
    <x v="3"/>
    <x v="0"/>
    <x v="344"/>
    <x v="7"/>
    <x v="0"/>
    <n v="629701"/>
    <n v="734825"/>
    <x v="2"/>
    <x v="2"/>
    <x v="0"/>
    <n v="-105124"/>
    <n v="-14.305991222399891"/>
    <s v="Work in progress"/>
  </r>
  <r>
    <s v="P2904"/>
    <s v="Project-315"/>
    <x v="7"/>
    <x v="5"/>
    <x v="172"/>
    <x v="246"/>
    <x v="2"/>
    <n v="640246"/>
    <n v="776201"/>
    <x v="4"/>
    <x v="2"/>
    <x v="0"/>
    <n v="-135955"/>
    <n v="-17.515437367382933"/>
    <s v="Project delivered successfully"/>
  </r>
  <r>
    <s v="P2905"/>
    <s v="Project-769"/>
    <x v="7"/>
    <x v="6"/>
    <x v="54"/>
    <x v="247"/>
    <x v="0"/>
    <n v="605563"/>
    <n v="746743"/>
    <x v="4"/>
    <x v="1"/>
    <x v="2"/>
    <n v="-141180"/>
    <n v="-18.906102902872878"/>
    <s v="Work in progress"/>
  </r>
  <r>
    <s v="P2906"/>
    <s v="Project-561"/>
    <x v="3"/>
    <x v="5"/>
    <x v="636"/>
    <x v="580"/>
    <x v="2"/>
    <n v="76597"/>
    <n v="571055"/>
    <x v="2"/>
    <x v="3"/>
    <x v="0"/>
    <n v="-494458"/>
    <n v="-86.58675609179501"/>
    <s v="Project delivered successfully"/>
  </r>
  <r>
    <s v="P2907"/>
    <s v="Project-233"/>
    <x v="1"/>
    <x v="1"/>
    <x v="188"/>
    <x v="57"/>
    <x v="0"/>
    <n v="389665"/>
    <n v="330796"/>
    <x v="1"/>
    <x v="1"/>
    <x v="1"/>
    <n v="58869"/>
    <n v="17.796164403438976"/>
    <s v="Work in progress"/>
  </r>
  <r>
    <s v="P2908"/>
    <s v="Project-166"/>
    <x v="0"/>
    <x v="4"/>
    <x v="200"/>
    <x v="106"/>
    <x v="1"/>
    <n v="668531"/>
    <n v="114244"/>
    <x v="0"/>
    <x v="0"/>
    <x v="1"/>
    <n v="554287"/>
    <n v="485.17821504849269"/>
    <s v="Timeline extended"/>
  </r>
  <r>
    <s v="P2909"/>
    <s v="Project-947"/>
    <x v="3"/>
    <x v="5"/>
    <x v="48"/>
    <x v="596"/>
    <x v="2"/>
    <n v="828770"/>
    <n v="436599"/>
    <x v="4"/>
    <x v="2"/>
    <x v="0"/>
    <n v="392171"/>
    <n v="89.82407197451208"/>
    <s v="Project delivered successfully"/>
  </r>
  <r>
    <s v="P2910"/>
    <s v="Project-106"/>
    <x v="3"/>
    <x v="7"/>
    <x v="100"/>
    <x v="549"/>
    <x v="0"/>
    <n v="118908"/>
    <n v="352233"/>
    <x v="2"/>
    <x v="0"/>
    <x v="2"/>
    <n v="-233325"/>
    <n v="-66.241663898612572"/>
    <s v="Work in progress"/>
  </r>
  <r>
    <s v="P2911"/>
    <s v="Project-625"/>
    <x v="3"/>
    <x v="3"/>
    <x v="353"/>
    <x v="465"/>
    <x v="2"/>
    <n v="367332"/>
    <n v="1105016"/>
    <x v="1"/>
    <x v="0"/>
    <x v="2"/>
    <n v="-737684"/>
    <n v="-66.757766403382391"/>
    <s v="Project delivered successfully"/>
  </r>
  <r>
    <s v="P2912"/>
    <s v="Project-172"/>
    <x v="7"/>
    <x v="2"/>
    <x v="440"/>
    <x v="577"/>
    <x v="1"/>
    <n v="346854"/>
    <n v="772126"/>
    <x v="3"/>
    <x v="3"/>
    <x v="2"/>
    <n v="-425272"/>
    <n v="-55.078057208279475"/>
    <s v="Timeline extended"/>
  </r>
  <r>
    <s v="P2913"/>
    <s v="Project-498"/>
    <x v="6"/>
    <x v="6"/>
    <x v="172"/>
    <x v="572"/>
    <x v="0"/>
    <n v="954925"/>
    <n v="780550"/>
    <x v="2"/>
    <x v="3"/>
    <x v="2"/>
    <n v="174375"/>
    <n v="22.340016654922813"/>
    <s v="Work in progress"/>
  </r>
  <r>
    <s v="P2914"/>
    <s v="Project-504"/>
    <x v="5"/>
    <x v="6"/>
    <x v="123"/>
    <x v="278"/>
    <x v="0"/>
    <n v="272424"/>
    <n v="1134495"/>
    <x v="1"/>
    <x v="2"/>
    <x v="2"/>
    <n v="-862071"/>
    <n v="-75.987201353906357"/>
    <s v="Work in progress"/>
  </r>
  <r>
    <s v="P2915"/>
    <s v="Project-774"/>
    <x v="2"/>
    <x v="6"/>
    <x v="185"/>
    <x v="407"/>
    <x v="1"/>
    <n v="518702"/>
    <n v="177683"/>
    <x v="3"/>
    <x v="2"/>
    <x v="1"/>
    <n v="341019"/>
    <n v="191.92550778633858"/>
    <s v="Timeline extended"/>
  </r>
  <r>
    <s v="P2916"/>
    <s v="Project-677"/>
    <x v="0"/>
    <x v="7"/>
    <x v="322"/>
    <x v="243"/>
    <x v="0"/>
    <n v="754410"/>
    <n v="224555"/>
    <x v="1"/>
    <x v="3"/>
    <x v="0"/>
    <n v="529855"/>
    <n v="235.95778317116074"/>
    <s v="Work in progress"/>
  </r>
  <r>
    <s v="P2917"/>
    <s v="Project-958"/>
    <x v="1"/>
    <x v="6"/>
    <x v="668"/>
    <x v="291"/>
    <x v="0"/>
    <n v="885681"/>
    <n v="1002360"/>
    <x v="4"/>
    <x v="3"/>
    <x v="1"/>
    <n v="-116679"/>
    <n v="-11.640428588531067"/>
    <s v="Work in progress"/>
  </r>
  <r>
    <s v="P2918"/>
    <s v="Project-229"/>
    <x v="1"/>
    <x v="6"/>
    <x v="574"/>
    <x v="505"/>
    <x v="0"/>
    <n v="608535"/>
    <n v="1054011"/>
    <x v="2"/>
    <x v="3"/>
    <x v="2"/>
    <n v="-445476"/>
    <n v="-42.264834048221509"/>
    <s v="Work in progress"/>
  </r>
  <r>
    <s v="P2919"/>
    <s v="Project-565"/>
    <x v="2"/>
    <x v="4"/>
    <x v="25"/>
    <x v="430"/>
    <x v="1"/>
    <n v="513378"/>
    <n v="856965"/>
    <x v="3"/>
    <x v="3"/>
    <x v="2"/>
    <n v="-343587"/>
    <n v="-40.093469394899437"/>
    <s v="Timeline extended"/>
  </r>
  <r>
    <s v="P2920"/>
    <s v="Project-305"/>
    <x v="5"/>
    <x v="0"/>
    <x v="26"/>
    <x v="147"/>
    <x v="2"/>
    <n v="862840"/>
    <n v="391970"/>
    <x v="1"/>
    <x v="2"/>
    <x v="0"/>
    <n v="470870"/>
    <n v="120.12909151210552"/>
    <s v="Project delivered successfully"/>
  </r>
  <r>
    <s v="P2921"/>
    <s v="Project-887"/>
    <x v="3"/>
    <x v="3"/>
    <x v="169"/>
    <x v="493"/>
    <x v="1"/>
    <n v="126313"/>
    <n v="949029"/>
    <x v="3"/>
    <x v="2"/>
    <x v="0"/>
    <n v="-822716"/>
    <n v="-86.690290813030998"/>
    <s v="Timeline extended"/>
  </r>
  <r>
    <s v="P2922"/>
    <s v="Project-867"/>
    <x v="6"/>
    <x v="7"/>
    <x v="162"/>
    <x v="408"/>
    <x v="0"/>
    <n v="776043"/>
    <n v="701813"/>
    <x v="0"/>
    <x v="0"/>
    <x v="0"/>
    <n v="74230"/>
    <n v="10.576891565132023"/>
    <s v="Work in progress"/>
  </r>
  <r>
    <s v="P2923"/>
    <s v="Project-365"/>
    <x v="0"/>
    <x v="3"/>
    <x v="462"/>
    <x v="714"/>
    <x v="0"/>
    <n v="299407"/>
    <n v="925176"/>
    <x v="2"/>
    <x v="0"/>
    <x v="1"/>
    <n v="-625769"/>
    <n v="-67.637833233892792"/>
    <s v="Work in progress"/>
  </r>
  <r>
    <s v="P2924"/>
    <s v="Project-636"/>
    <x v="1"/>
    <x v="2"/>
    <x v="579"/>
    <x v="698"/>
    <x v="2"/>
    <n v="317587"/>
    <n v="49507"/>
    <x v="4"/>
    <x v="0"/>
    <x v="0"/>
    <n v="268080"/>
    <n v="541.49918193386793"/>
    <s v="Project delivered successfully"/>
  </r>
  <r>
    <s v="P2925"/>
    <s v="Project-892"/>
    <x v="2"/>
    <x v="4"/>
    <x v="194"/>
    <x v="57"/>
    <x v="2"/>
    <n v="966702"/>
    <n v="764756"/>
    <x v="3"/>
    <x v="2"/>
    <x v="1"/>
    <n v="201946"/>
    <n v="26.406592429480774"/>
    <s v="Project delivered successfully"/>
  </r>
  <r>
    <s v="P2926"/>
    <s v="Project-352"/>
    <x v="4"/>
    <x v="5"/>
    <x v="235"/>
    <x v="301"/>
    <x v="0"/>
    <n v="705439"/>
    <n v="975410"/>
    <x v="1"/>
    <x v="1"/>
    <x v="2"/>
    <n v="-269971"/>
    <n v="-27.677694507950502"/>
    <s v="Work in progress"/>
  </r>
  <r>
    <s v="P2927"/>
    <s v="Project-921"/>
    <x v="6"/>
    <x v="0"/>
    <x v="388"/>
    <x v="189"/>
    <x v="0"/>
    <n v="933250"/>
    <n v="496401"/>
    <x v="3"/>
    <x v="0"/>
    <x v="1"/>
    <n v="436849"/>
    <n v="88.003247374602395"/>
    <s v="Work in progress"/>
  </r>
  <r>
    <s v="P2928"/>
    <s v="Project-388"/>
    <x v="2"/>
    <x v="4"/>
    <x v="441"/>
    <x v="408"/>
    <x v="0"/>
    <n v="481561"/>
    <n v="519774"/>
    <x v="1"/>
    <x v="1"/>
    <x v="0"/>
    <n v="-38213"/>
    <n v="-7.3518490728662842"/>
    <s v="Work in progress"/>
  </r>
  <r>
    <s v="P2929"/>
    <s v="Project-263"/>
    <x v="6"/>
    <x v="3"/>
    <x v="345"/>
    <x v="135"/>
    <x v="2"/>
    <n v="193973"/>
    <n v="792431"/>
    <x v="3"/>
    <x v="1"/>
    <x v="1"/>
    <n v="-598458"/>
    <n v="-75.521780445237511"/>
    <s v="Project delivered successfully"/>
  </r>
  <r>
    <s v="P2930"/>
    <s v="Project-194"/>
    <x v="1"/>
    <x v="7"/>
    <x v="258"/>
    <x v="19"/>
    <x v="1"/>
    <n v="248831"/>
    <n v="766809"/>
    <x v="4"/>
    <x v="1"/>
    <x v="1"/>
    <n v="-517978"/>
    <n v="-67.54980705755932"/>
    <s v="Timeline extended"/>
  </r>
  <r>
    <s v="P2931"/>
    <s v="Project-881"/>
    <x v="3"/>
    <x v="2"/>
    <x v="149"/>
    <x v="670"/>
    <x v="2"/>
    <n v="223804"/>
    <n v="351660"/>
    <x v="4"/>
    <x v="3"/>
    <x v="1"/>
    <n v="-127856"/>
    <n v="-36.357845646362961"/>
    <s v="Project delivered successfully"/>
  </r>
  <r>
    <s v="P2932"/>
    <s v="Project-932"/>
    <x v="4"/>
    <x v="2"/>
    <x v="308"/>
    <x v="482"/>
    <x v="3"/>
    <n v="784664"/>
    <n v="886922"/>
    <x v="2"/>
    <x v="2"/>
    <x v="0"/>
    <n v="-102258"/>
    <n v="-11.529536982959044"/>
    <s v="Project cancelled"/>
  </r>
  <r>
    <s v="P2933"/>
    <s v="Project-209"/>
    <x v="5"/>
    <x v="4"/>
    <x v="632"/>
    <x v="114"/>
    <x v="0"/>
    <n v="300278"/>
    <n v="63512"/>
    <x v="4"/>
    <x v="2"/>
    <x v="1"/>
    <n v="236766"/>
    <n v="372.78939413024312"/>
    <s v="Work in progress"/>
  </r>
  <r>
    <s v="P2934"/>
    <s v="Project-435"/>
    <x v="0"/>
    <x v="5"/>
    <x v="445"/>
    <x v="319"/>
    <x v="1"/>
    <n v="198579"/>
    <n v="1090978"/>
    <x v="3"/>
    <x v="0"/>
    <x v="0"/>
    <n v="-892399"/>
    <n v="-81.798074754944651"/>
    <s v="Timeline extended"/>
  </r>
  <r>
    <s v="P2935"/>
    <s v="Project-921"/>
    <x v="5"/>
    <x v="7"/>
    <x v="47"/>
    <x v="138"/>
    <x v="1"/>
    <n v="834370"/>
    <n v="674052"/>
    <x v="3"/>
    <x v="0"/>
    <x v="1"/>
    <n v="160318"/>
    <n v="23.784218428251826"/>
    <s v="Timeline extended"/>
  </r>
  <r>
    <s v="P2936"/>
    <s v="Project-337"/>
    <x v="5"/>
    <x v="5"/>
    <x v="362"/>
    <x v="196"/>
    <x v="0"/>
    <n v="393929"/>
    <n v="694576"/>
    <x v="4"/>
    <x v="2"/>
    <x v="1"/>
    <n v="-300647"/>
    <n v="-43.284968095643961"/>
    <s v="Work in progress"/>
  </r>
  <r>
    <s v="P2937"/>
    <s v="Project-480"/>
    <x v="2"/>
    <x v="5"/>
    <x v="598"/>
    <x v="275"/>
    <x v="3"/>
    <n v="176691"/>
    <n v="275739"/>
    <x v="0"/>
    <x v="3"/>
    <x v="1"/>
    <n v="-99048"/>
    <n v="-35.920925222765007"/>
    <s v="Project cancelled"/>
  </r>
  <r>
    <s v="P2938"/>
    <s v="Project-535"/>
    <x v="6"/>
    <x v="6"/>
    <x v="53"/>
    <x v="535"/>
    <x v="0"/>
    <n v="307426"/>
    <n v="1109626"/>
    <x v="3"/>
    <x v="2"/>
    <x v="0"/>
    <n v="-802200"/>
    <n v="-72.2946290011229"/>
    <s v="Work in progress"/>
  </r>
  <r>
    <s v="P2939"/>
    <s v="Project-998"/>
    <x v="0"/>
    <x v="7"/>
    <x v="187"/>
    <x v="124"/>
    <x v="1"/>
    <n v="347535"/>
    <n v="80093"/>
    <x v="2"/>
    <x v="1"/>
    <x v="0"/>
    <n v="267442"/>
    <n v="333.91432459765525"/>
    <s v="Timeline extended"/>
  </r>
  <r>
    <s v="P2940"/>
    <s v="Project-582"/>
    <x v="0"/>
    <x v="3"/>
    <x v="657"/>
    <x v="21"/>
    <x v="1"/>
    <n v="608459"/>
    <n v="35050"/>
    <x v="0"/>
    <x v="2"/>
    <x v="0"/>
    <n v="573409"/>
    <n v="1635.9743223965766"/>
    <s v="Timeline extended"/>
  </r>
  <r>
    <s v="P2941"/>
    <s v="Project-124"/>
    <x v="1"/>
    <x v="4"/>
    <x v="42"/>
    <x v="282"/>
    <x v="2"/>
    <n v="494946"/>
    <n v="1078522"/>
    <x v="4"/>
    <x v="3"/>
    <x v="2"/>
    <n v="-583576"/>
    <n v="-54.108863796936923"/>
    <s v="Project delivered successfully"/>
  </r>
  <r>
    <s v="P2942"/>
    <s v="Project-752"/>
    <x v="1"/>
    <x v="4"/>
    <x v="206"/>
    <x v="220"/>
    <x v="2"/>
    <n v="951451"/>
    <n v="863148"/>
    <x v="1"/>
    <x v="2"/>
    <x v="0"/>
    <n v="88303"/>
    <n v="10.23034288441843"/>
    <s v="Project delivered successfully"/>
  </r>
  <r>
    <s v="P2943"/>
    <s v="Project-216"/>
    <x v="0"/>
    <x v="6"/>
    <x v="614"/>
    <x v="631"/>
    <x v="0"/>
    <n v="843917"/>
    <n v="145455"/>
    <x v="3"/>
    <x v="2"/>
    <x v="1"/>
    <n v="698462"/>
    <n v="480.19112440273625"/>
    <s v="Work in progress"/>
  </r>
  <r>
    <s v="P2944"/>
    <s v="Project-581"/>
    <x v="4"/>
    <x v="1"/>
    <x v="195"/>
    <x v="442"/>
    <x v="0"/>
    <n v="964060"/>
    <n v="425654"/>
    <x v="1"/>
    <x v="2"/>
    <x v="2"/>
    <n v="538406"/>
    <n v="126.48912027139414"/>
    <s v="Work in progress"/>
  </r>
  <r>
    <s v="P2945"/>
    <s v="Project-491"/>
    <x v="7"/>
    <x v="4"/>
    <x v="331"/>
    <x v="126"/>
    <x v="0"/>
    <n v="946536"/>
    <n v="546929"/>
    <x v="2"/>
    <x v="1"/>
    <x v="0"/>
    <n v="399607"/>
    <n v="73.063779759347199"/>
    <s v="Work in progress"/>
  </r>
  <r>
    <s v="P2946"/>
    <s v="Project-636"/>
    <x v="1"/>
    <x v="2"/>
    <x v="22"/>
    <x v="715"/>
    <x v="2"/>
    <n v="951859"/>
    <n v="925118"/>
    <x v="0"/>
    <x v="0"/>
    <x v="0"/>
    <n v="26741"/>
    <n v="2.8905501784637204"/>
    <s v="Project delivered successfully"/>
  </r>
  <r>
    <s v="P2947"/>
    <s v="Project-178"/>
    <x v="7"/>
    <x v="3"/>
    <x v="356"/>
    <x v="102"/>
    <x v="2"/>
    <n v="276392"/>
    <n v="601719"/>
    <x v="1"/>
    <x v="3"/>
    <x v="2"/>
    <n v="-325327"/>
    <n v="-54.066266812249573"/>
    <s v="Project delivered successfully"/>
  </r>
  <r>
    <s v="P2948"/>
    <s v="Project-679"/>
    <x v="2"/>
    <x v="7"/>
    <x v="495"/>
    <x v="356"/>
    <x v="1"/>
    <n v="571819"/>
    <n v="1054627"/>
    <x v="2"/>
    <x v="1"/>
    <x v="2"/>
    <n v="-482808"/>
    <n v="-45.779977186246889"/>
    <s v="Timeline extended"/>
  </r>
  <r>
    <s v="P2949"/>
    <s v="Project-272"/>
    <x v="4"/>
    <x v="4"/>
    <x v="71"/>
    <x v="166"/>
    <x v="0"/>
    <n v="292174"/>
    <n v="308904"/>
    <x v="1"/>
    <x v="2"/>
    <x v="0"/>
    <n v="-16730"/>
    <n v="-5.4159220987750238"/>
    <s v="Work in progress"/>
  </r>
  <r>
    <s v="P2950"/>
    <s v="Project-111"/>
    <x v="0"/>
    <x v="3"/>
    <x v="405"/>
    <x v="501"/>
    <x v="1"/>
    <n v="140153"/>
    <n v="1025118"/>
    <x v="1"/>
    <x v="2"/>
    <x v="2"/>
    <n v="-884965"/>
    <n v="-86.328110519959651"/>
    <s v="Timeline extended"/>
  </r>
  <r>
    <s v="P2951"/>
    <s v="Project-899"/>
    <x v="4"/>
    <x v="6"/>
    <x v="665"/>
    <x v="165"/>
    <x v="1"/>
    <n v="87748"/>
    <n v="73815"/>
    <x v="2"/>
    <x v="0"/>
    <x v="1"/>
    <n v="13933"/>
    <n v="18.875567296619927"/>
    <s v="Timeline extended"/>
  </r>
  <r>
    <s v="P2952"/>
    <s v="Project-227"/>
    <x v="1"/>
    <x v="4"/>
    <x v="550"/>
    <x v="176"/>
    <x v="2"/>
    <n v="971382"/>
    <n v="55634"/>
    <x v="3"/>
    <x v="0"/>
    <x v="1"/>
    <n v="915748"/>
    <n v="1646.0222166301182"/>
    <s v="Project delivered successfully"/>
  </r>
  <r>
    <s v="P2953"/>
    <s v="Project-707"/>
    <x v="5"/>
    <x v="7"/>
    <x v="372"/>
    <x v="548"/>
    <x v="0"/>
    <n v="183021"/>
    <n v="1125149"/>
    <x v="1"/>
    <x v="0"/>
    <x v="1"/>
    <n v="-942128"/>
    <n v="-83.733621058188731"/>
    <s v="Work in progress"/>
  </r>
  <r>
    <s v="P2954"/>
    <s v="Project-191"/>
    <x v="2"/>
    <x v="0"/>
    <x v="23"/>
    <x v="251"/>
    <x v="0"/>
    <n v="266452"/>
    <n v="976152"/>
    <x v="2"/>
    <x v="1"/>
    <x v="0"/>
    <n v="-709700"/>
    <n v="-72.703841205058225"/>
    <s v="Work in progress"/>
  </r>
  <r>
    <s v="P2955"/>
    <s v="Project-752"/>
    <x v="0"/>
    <x v="7"/>
    <x v="161"/>
    <x v="303"/>
    <x v="0"/>
    <n v="297888"/>
    <n v="483413"/>
    <x v="1"/>
    <x v="3"/>
    <x v="1"/>
    <n v="-185525"/>
    <n v="-38.378156979642661"/>
    <s v="Work in progress"/>
  </r>
  <r>
    <s v="P2956"/>
    <s v="Project-642"/>
    <x v="3"/>
    <x v="7"/>
    <x v="290"/>
    <x v="547"/>
    <x v="2"/>
    <n v="464097"/>
    <n v="838391"/>
    <x v="3"/>
    <x v="0"/>
    <x v="2"/>
    <n v="-374294"/>
    <n v="-44.644324664744737"/>
    <s v="Project delivered successfully"/>
  </r>
  <r>
    <s v="P2957"/>
    <s v="Project-945"/>
    <x v="2"/>
    <x v="7"/>
    <x v="99"/>
    <x v="175"/>
    <x v="2"/>
    <n v="232378"/>
    <n v="44570"/>
    <x v="2"/>
    <x v="2"/>
    <x v="1"/>
    <n v="187808"/>
    <n v="421.37760825667493"/>
    <s v="Project delivered successfully"/>
  </r>
  <r>
    <s v="P2958"/>
    <s v="Project-631"/>
    <x v="6"/>
    <x v="4"/>
    <x v="433"/>
    <x v="716"/>
    <x v="3"/>
    <n v="661438"/>
    <n v="110263"/>
    <x v="1"/>
    <x v="3"/>
    <x v="2"/>
    <n v="551175"/>
    <n v="499.87303084443556"/>
    <s v="Project cancelled"/>
  </r>
  <r>
    <s v="P2959"/>
    <s v="Project-757"/>
    <x v="7"/>
    <x v="1"/>
    <x v="647"/>
    <x v="228"/>
    <x v="0"/>
    <n v="139364"/>
    <n v="142446"/>
    <x v="4"/>
    <x v="2"/>
    <x v="1"/>
    <n v="-3082"/>
    <n v="-2.1636269182707837"/>
    <s v="Work in progress"/>
  </r>
  <r>
    <s v="P2960"/>
    <s v="Project-927"/>
    <x v="4"/>
    <x v="7"/>
    <x v="665"/>
    <x v="369"/>
    <x v="0"/>
    <n v="165925"/>
    <n v="748166"/>
    <x v="3"/>
    <x v="2"/>
    <x v="2"/>
    <n v="-582241"/>
    <n v="-77.822435128033078"/>
    <s v="Work in progress"/>
  </r>
  <r>
    <s v="P2961"/>
    <s v="Project-546"/>
    <x v="0"/>
    <x v="6"/>
    <x v="267"/>
    <x v="513"/>
    <x v="2"/>
    <n v="59958"/>
    <n v="873395"/>
    <x v="1"/>
    <x v="3"/>
    <x v="1"/>
    <n v="-813437"/>
    <n v="-93.135064890456206"/>
    <s v="Project delivered successfully"/>
  </r>
  <r>
    <s v="P2962"/>
    <s v="Project-489"/>
    <x v="2"/>
    <x v="2"/>
    <x v="36"/>
    <x v="416"/>
    <x v="1"/>
    <n v="189769"/>
    <n v="64341"/>
    <x v="0"/>
    <x v="1"/>
    <x v="1"/>
    <n v="125428"/>
    <n v="194.94257161063709"/>
    <s v="Timeline extended"/>
  </r>
  <r>
    <s v="P2963"/>
    <s v="Project-771"/>
    <x v="4"/>
    <x v="2"/>
    <x v="71"/>
    <x v="292"/>
    <x v="1"/>
    <n v="137160"/>
    <n v="559885"/>
    <x v="2"/>
    <x v="3"/>
    <x v="1"/>
    <n v="-422725"/>
    <n v="-75.502112040865526"/>
    <s v="Timeline extended"/>
  </r>
  <r>
    <s v="P2964"/>
    <s v="Project-960"/>
    <x v="0"/>
    <x v="6"/>
    <x v="460"/>
    <x v="512"/>
    <x v="1"/>
    <n v="851925"/>
    <n v="515864"/>
    <x v="1"/>
    <x v="0"/>
    <x v="2"/>
    <n v="336061"/>
    <n v="65.14527084657972"/>
    <s v="Timeline extended"/>
  </r>
  <r>
    <s v="P2965"/>
    <s v="Project-142"/>
    <x v="1"/>
    <x v="3"/>
    <x v="10"/>
    <x v="273"/>
    <x v="0"/>
    <n v="223873"/>
    <n v="689156"/>
    <x v="3"/>
    <x v="3"/>
    <x v="2"/>
    <n v="-465283"/>
    <n v="-67.514902286274804"/>
    <s v="Work in progress"/>
  </r>
  <r>
    <s v="P2966"/>
    <s v="Project-353"/>
    <x v="2"/>
    <x v="1"/>
    <x v="542"/>
    <x v="255"/>
    <x v="2"/>
    <n v="333343"/>
    <n v="1185703"/>
    <x v="3"/>
    <x v="0"/>
    <x v="1"/>
    <n v="-852360"/>
    <n v="-71.886467353122995"/>
    <s v="Project delivered successfully"/>
  </r>
  <r>
    <s v="P2967"/>
    <s v="Project-229"/>
    <x v="1"/>
    <x v="3"/>
    <x v="607"/>
    <x v="606"/>
    <x v="1"/>
    <n v="836369"/>
    <n v="1154165"/>
    <x v="0"/>
    <x v="0"/>
    <x v="2"/>
    <n v="-317796"/>
    <n v="-27.534711241460275"/>
    <s v="Timeline extended"/>
  </r>
  <r>
    <s v="P2968"/>
    <s v="Project-159"/>
    <x v="2"/>
    <x v="6"/>
    <x v="624"/>
    <x v="103"/>
    <x v="0"/>
    <n v="288962"/>
    <n v="451744"/>
    <x v="0"/>
    <x v="3"/>
    <x v="2"/>
    <n v="-162782"/>
    <n v="-36.034125522419778"/>
    <s v="Work in progress"/>
  </r>
  <r>
    <s v="P2969"/>
    <s v="Project-762"/>
    <x v="1"/>
    <x v="2"/>
    <x v="119"/>
    <x v="576"/>
    <x v="0"/>
    <n v="477704"/>
    <n v="801280"/>
    <x v="1"/>
    <x v="3"/>
    <x v="0"/>
    <n v="-323576"/>
    <n v="-40.382388178913736"/>
    <s v="Work in progress"/>
  </r>
  <r>
    <s v="P2970"/>
    <s v="Project-566"/>
    <x v="6"/>
    <x v="5"/>
    <x v="230"/>
    <x v="501"/>
    <x v="0"/>
    <n v="866925"/>
    <n v="161607"/>
    <x v="4"/>
    <x v="0"/>
    <x v="1"/>
    <n v="705318"/>
    <n v="436.4402532068537"/>
    <s v="Work in progress"/>
  </r>
  <r>
    <s v="P2971"/>
    <s v="Project-386"/>
    <x v="4"/>
    <x v="2"/>
    <x v="150"/>
    <x v="55"/>
    <x v="0"/>
    <n v="685833"/>
    <n v="1053692"/>
    <x v="3"/>
    <x v="2"/>
    <x v="2"/>
    <n v="-367859"/>
    <n v="-34.911435220159213"/>
    <s v="Work in progress"/>
  </r>
  <r>
    <s v="P2972"/>
    <s v="Project-616"/>
    <x v="3"/>
    <x v="0"/>
    <x v="312"/>
    <x v="8"/>
    <x v="2"/>
    <n v="361146"/>
    <n v="225984"/>
    <x v="4"/>
    <x v="3"/>
    <x v="2"/>
    <n v="135162"/>
    <n v="59.810429056924384"/>
    <s v="Project delivered successfully"/>
  </r>
  <r>
    <s v="P2973"/>
    <s v="Project-566"/>
    <x v="2"/>
    <x v="7"/>
    <x v="217"/>
    <x v="585"/>
    <x v="0"/>
    <n v="73731"/>
    <n v="1019921"/>
    <x v="4"/>
    <x v="1"/>
    <x v="2"/>
    <n v="-946190"/>
    <n v="-92.770910688180749"/>
    <s v="Work in progress"/>
  </r>
  <r>
    <s v="P2974"/>
    <s v="Project-877"/>
    <x v="6"/>
    <x v="5"/>
    <x v="73"/>
    <x v="120"/>
    <x v="0"/>
    <n v="188148"/>
    <n v="600073"/>
    <x v="1"/>
    <x v="0"/>
    <x v="2"/>
    <n v="-411925"/>
    <n v="-68.645814759204299"/>
    <s v="Work in progress"/>
  </r>
  <r>
    <s v="P2975"/>
    <s v="Project-444"/>
    <x v="2"/>
    <x v="2"/>
    <x v="346"/>
    <x v="541"/>
    <x v="0"/>
    <n v="837503"/>
    <n v="807426"/>
    <x v="2"/>
    <x v="2"/>
    <x v="0"/>
    <n v="30077"/>
    <n v="3.7250472489119746"/>
    <s v="Work in progress"/>
  </r>
  <r>
    <s v="P2976"/>
    <s v="Project-741"/>
    <x v="1"/>
    <x v="4"/>
    <x v="427"/>
    <x v="555"/>
    <x v="2"/>
    <n v="936358"/>
    <n v="399915"/>
    <x v="2"/>
    <x v="3"/>
    <x v="2"/>
    <n v="536443"/>
    <n v="134.13925459160072"/>
    <s v="Project delivered successfully"/>
  </r>
  <r>
    <s v="P2977"/>
    <s v="Project-481"/>
    <x v="0"/>
    <x v="4"/>
    <x v="665"/>
    <x v="349"/>
    <x v="0"/>
    <n v="702160"/>
    <n v="421170"/>
    <x v="2"/>
    <x v="3"/>
    <x v="2"/>
    <n v="280990"/>
    <n v="66.716527767884699"/>
    <s v="Work in progress"/>
  </r>
  <r>
    <s v="P2978"/>
    <s v="Project-878"/>
    <x v="2"/>
    <x v="3"/>
    <x v="304"/>
    <x v="491"/>
    <x v="2"/>
    <n v="91410"/>
    <n v="537483"/>
    <x v="0"/>
    <x v="2"/>
    <x v="0"/>
    <n v="-446073"/>
    <n v="-82.992950474712686"/>
    <s v="Project delivered successfully"/>
  </r>
  <r>
    <s v="P2979"/>
    <s v="Project-789"/>
    <x v="6"/>
    <x v="5"/>
    <x v="636"/>
    <x v="565"/>
    <x v="0"/>
    <n v="804561"/>
    <n v="489777"/>
    <x v="3"/>
    <x v="1"/>
    <x v="1"/>
    <n v="314784"/>
    <n v="64.270882462835118"/>
    <s v="Work in progress"/>
  </r>
  <r>
    <s v="P2980"/>
    <s v="Project-352"/>
    <x v="1"/>
    <x v="3"/>
    <x v="705"/>
    <x v="507"/>
    <x v="0"/>
    <n v="497543"/>
    <n v="716229"/>
    <x v="0"/>
    <x v="0"/>
    <x v="1"/>
    <n v="-218686"/>
    <n v="-30.532971996386632"/>
    <s v="Work in progress"/>
  </r>
  <r>
    <s v="P2981"/>
    <s v="Project-155"/>
    <x v="5"/>
    <x v="7"/>
    <x v="593"/>
    <x v="588"/>
    <x v="0"/>
    <n v="931380"/>
    <n v="226166"/>
    <x v="3"/>
    <x v="3"/>
    <x v="0"/>
    <n v="705214"/>
    <n v="311.81256245412663"/>
    <s v="Work in progress"/>
  </r>
  <r>
    <s v="P2982"/>
    <s v="Project-562"/>
    <x v="1"/>
    <x v="7"/>
    <x v="286"/>
    <x v="165"/>
    <x v="0"/>
    <n v="766432"/>
    <n v="1108768"/>
    <x v="3"/>
    <x v="1"/>
    <x v="1"/>
    <n v="-342336"/>
    <n v="-30.875349937949149"/>
    <s v="Work in progress"/>
  </r>
  <r>
    <s v="P2983"/>
    <s v="Project-556"/>
    <x v="4"/>
    <x v="0"/>
    <x v="331"/>
    <x v="485"/>
    <x v="0"/>
    <n v="278443"/>
    <n v="634229"/>
    <x v="3"/>
    <x v="0"/>
    <x v="1"/>
    <n v="-355786"/>
    <n v="-56.097403303853966"/>
    <s v="Work in progress"/>
  </r>
  <r>
    <s v="P2984"/>
    <s v="Project-182"/>
    <x v="3"/>
    <x v="6"/>
    <x v="345"/>
    <x v="174"/>
    <x v="0"/>
    <n v="91041"/>
    <n v="983595"/>
    <x v="1"/>
    <x v="1"/>
    <x v="0"/>
    <n v="-892554"/>
    <n v="-90.744056242660847"/>
    <s v="Work in progress"/>
  </r>
  <r>
    <s v="P2985"/>
    <s v="Project-198"/>
    <x v="5"/>
    <x v="6"/>
    <x v="554"/>
    <x v="284"/>
    <x v="1"/>
    <n v="435760"/>
    <n v="1035565"/>
    <x v="2"/>
    <x v="0"/>
    <x v="2"/>
    <n v="-599805"/>
    <n v="-57.920555445578017"/>
    <s v="Timeline extended"/>
  </r>
  <r>
    <s v="P2986"/>
    <s v="Project-248"/>
    <x v="4"/>
    <x v="1"/>
    <x v="507"/>
    <x v="692"/>
    <x v="2"/>
    <n v="627614"/>
    <n v="35017"/>
    <x v="0"/>
    <x v="0"/>
    <x v="0"/>
    <n v="592597"/>
    <n v="1692.3123054516377"/>
    <s v="Project delivered successfully"/>
  </r>
  <r>
    <s v="P2987"/>
    <s v="Project-428"/>
    <x v="4"/>
    <x v="3"/>
    <x v="513"/>
    <x v="132"/>
    <x v="0"/>
    <n v="481765"/>
    <n v="741833"/>
    <x v="0"/>
    <x v="1"/>
    <x v="0"/>
    <n v="-260068"/>
    <n v="-35.057485984042231"/>
    <s v="Work in progress"/>
  </r>
  <r>
    <s v="P2988"/>
    <s v="Project-255"/>
    <x v="4"/>
    <x v="7"/>
    <x v="105"/>
    <x v="710"/>
    <x v="0"/>
    <n v="889528"/>
    <n v="213195"/>
    <x v="1"/>
    <x v="0"/>
    <x v="0"/>
    <n v="676333"/>
    <n v="317.23680198878958"/>
    <s v="Work in progress"/>
  </r>
  <r>
    <s v="P2989"/>
    <s v="Project-289"/>
    <x v="0"/>
    <x v="6"/>
    <x v="382"/>
    <x v="597"/>
    <x v="3"/>
    <n v="760938"/>
    <n v="340404"/>
    <x v="3"/>
    <x v="3"/>
    <x v="0"/>
    <n v="420534"/>
    <n v="123.53967638453132"/>
    <s v="Project cancelled"/>
  </r>
  <r>
    <s v="P2990"/>
    <s v="Project-593"/>
    <x v="4"/>
    <x v="3"/>
    <x v="479"/>
    <x v="99"/>
    <x v="2"/>
    <n v="489268"/>
    <n v="75938"/>
    <x v="2"/>
    <x v="3"/>
    <x v="0"/>
    <n v="413330"/>
    <n v="544.29929679475356"/>
    <s v="Project delivered successfully"/>
  </r>
  <r>
    <s v="P2991"/>
    <s v="Project-982"/>
    <x v="0"/>
    <x v="7"/>
    <x v="357"/>
    <x v="127"/>
    <x v="0"/>
    <n v="879599"/>
    <n v="219001"/>
    <x v="4"/>
    <x v="1"/>
    <x v="2"/>
    <n v="660598"/>
    <n v="301.64154501577622"/>
    <s v="Work in progress"/>
  </r>
  <r>
    <s v="P2992"/>
    <s v="Project-362"/>
    <x v="4"/>
    <x v="2"/>
    <x v="308"/>
    <x v="683"/>
    <x v="2"/>
    <n v="497803"/>
    <n v="1163841"/>
    <x v="4"/>
    <x v="1"/>
    <x v="1"/>
    <n v="-666038"/>
    <n v="-57.227576619142994"/>
    <s v="Project delivered successfully"/>
  </r>
  <r>
    <s v="P2993"/>
    <s v="Project-179"/>
    <x v="7"/>
    <x v="3"/>
    <x v="154"/>
    <x v="537"/>
    <x v="2"/>
    <n v="897724"/>
    <n v="198444"/>
    <x v="1"/>
    <x v="0"/>
    <x v="0"/>
    <n v="699280"/>
    <n v="352.38152829009698"/>
    <s v="Project delivered successfully"/>
  </r>
  <r>
    <s v="P2994"/>
    <s v="Project-499"/>
    <x v="6"/>
    <x v="2"/>
    <x v="321"/>
    <x v="422"/>
    <x v="2"/>
    <n v="387563"/>
    <n v="738612"/>
    <x v="2"/>
    <x v="0"/>
    <x v="2"/>
    <n v="-351049"/>
    <n v="-47.528201545601753"/>
    <s v="Project delivered successfully"/>
  </r>
  <r>
    <s v="P2995"/>
    <s v="Project-863"/>
    <x v="5"/>
    <x v="3"/>
    <x v="12"/>
    <x v="454"/>
    <x v="0"/>
    <n v="747499"/>
    <n v="306772"/>
    <x v="4"/>
    <x v="1"/>
    <x v="0"/>
    <n v="440727"/>
    <n v="143.66597994601855"/>
    <s v="Work in progress"/>
  </r>
  <r>
    <s v="P2996"/>
    <s v="Project-708"/>
    <x v="7"/>
    <x v="1"/>
    <x v="302"/>
    <x v="567"/>
    <x v="0"/>
    <n v="560839"/>
    <n v="415383"/>
    <x v="4"/>
    <x v="2"/>
    <x v="2"/>
    <n v="145456"/>
    <n v="35.017321363657153"/>
    <s v="Work in progress"/>
  </r>
  <r>
    <s v="P2997"/>
    <s v="Project-359"/>
    <x v="4"/>
    <x v="0"/>
    <x v="112"/>
    <x v="674"/>
    <x v="0"/>
    <n v="924185"/>
    <n v="672453"/>
    <x v="0"/>
    <x v="1"/>
    <x v="1"/>
    <n v="251732"/>
    <n v="37.434883924973192"/>
    <s v="Work in progress"/>
  </r>
  <r>
    <s v="P2998"/>
    <s v="Project-871"/>
    <x v="5"/>
    <x v="4"/>
    <x v="318"/>
    <x v="569"/>
    <x v="1"/>
    <n v="716067"/>
    <n v="905792"/>
    <x v="2"/>
    <x v="2"/>
    <x v="2"/>
    <n v="-189725"/>
    <n v="-20.945757966508868"/>
    <s v="Timeline extended"/>
  </r>
  <r>
    <s v="P2999"/>
    <s v="Project-714"/>
    <x v="5"/>
    <x v="6"/>
    <x v="243"/>
    <x v="90"/>
    <x v="2"/>
    <n v="811752"/>
    <n v="360492"/>
    <x v="4"/>
    <x v="2"/>
    <x v="2"/>
    <n v="451260"/>
    <n v="125.17892213974235"/>
    <s v="Project delivered successfully"/>
  </r>
  <r>
    <s v="P3000"/>
    <s v="Project-651"/>
    <x v="2"/>
    <x v="4"/>
    <x v="200"/>
    <x v="500"/>
    <x v="0"/>
    <n v="980644"/>
    <n v="390492"/>
    <x v="0"/>
    <x v="1"/>
    <x v="1"/>
    <n v="590152"/>
    <n v="151.13036886799219"/>
    <s v="Work in progre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9358C1-DF76-476E-819C-1F7E8F4AA2D8}" name="PivotTable2" cacheId="0" applyNumberFormats="0" applyBorderFormats="0" applyFontFormats="0" applyPatternFormats="0" applyAlignmentFormats="0" applyWidthHeightFormats="1" dataCaption="Values" updatedVersion="7" minRefreshableVersion="3" enableDrill="0" useAutoFormatting="1" itemPrintTitles="1" createdVersion="7" indent="0" outline="1" outlineData="1" multipleFieldFilters="0" chartFormat="8" rowHeaderCaption="Department" colHeaderCaption="Status">
  <location ref="B19:G29" firstHeaderRow="1" firstDataRow="2" firstDataCol="1" rowPageCount="1" colPageCount="1"/>
  <pivotFields count="15">
    <pivotField dataField="1" showAll="0"/>
    <pivotField showAll="0"/>
    <pivotField axis="axisRow" showAll="0">
      <items count="9">
        <item x="0"/>
        <item x="5"/>
        <item x="3"/>
        <item x="7"/>
        <item x="1"/>
        <item x="6"/>
        <item x="4"/>
        <item x="2"/>
        <item t="default"/>
      </items>
    </pivotField>
    <pivotField axis="axisPage" showAll="0">
      <items count="9">
        <item x="6"/>
        <item x="2"/>
        <item x="3"/>
        <item x="7"/>
        <item x="1"/>
        <item x="5"/>
        <item x="4"/>
        <item x="0"/>
        <item t="default"/>
      </items>
    </pivotField>
    <pivotField numFmtId="14" showAll="0"/>
    <pivotField numFmtId="14" showAll="0"/>
    <pivotField axis="axisCol" showAll="0">
      <items count="5">
        <item x="3"/>
        <item x="2"/>
        <item x="1"/>
        <item x="0"/>
        <item t="default"/>
      </items>
    </pivotField>
    <pivotField showAll="0"/>
    <pivotField showAll="0"/>
    <pivotField showAll="0">
      <items count="6">
        <item x="3"/>
        <item x="2"/>
        <item x="4"/>
        <item x="0"/>
        <item x="1"/>
        <item t="default"/>
      </items>
    </pivotField>
    <pivotField showAll="0">
      <items count="5">
        <item x="1"/>
        <item x="2"/>
        <item x="0"/>
        <item x="3"/>
        <item t="default"/>
      </items>
    </pivotField>
    <pivotField showAll="0">
      <items count="4">
        <item x="0"/>
        <item x="1"/>
        <item x="2"/>
        <item t="default"/>
      </items>
    </pivotField>
    <pivotField showAll="0"/>
    <pivotField showAll="0"/>
    <pivotField showAll="0"/>
  </pivotFields>
  <rowFields count="1">
    <field x="2"/>
  </rowFields>
  <rowItems count="9">
    <i>
      <x/>
    </i>
    <i>
      <x v="1"/>
    </i>
    <i>
      <x v="2"/>
    </i>
    <i>
      <x v="3"/>
    </i>
    <i>
      <x v="4"/>
    </i>
    <i>
      <x v="5"/>
    </i>
    <i>
      <x v="6"/>
    </i>
    <i>
      <x v="7"/>
    </i>
    <i t="grand">
      <x/>
    </i>
  </rowItems>
  <colFields count="1">
    <field x="6"/>
  </colFields>
  <colItems count="5">
    <i>
      <x/>
    </i>
    <i>
      <x v="1"/>
    </i>
    <i>
      <x v="2"/>
    </i>
    <i>
      <x v="3"/>
    </i>
    <i t="grand">
      <x/>
    </i>
  </colItems>
  <pageFields count="1">
    <pageField fld="3" hier="-1"/>
  </pageFields>
  <dataFields count="1">
    <dataField name="Count of Project ID" fld="0" subtotal="count" baseField="0" baseItem="0"/>
  </dataFields>
  <formats count="13">
    <format dxfId="45">
      <pivotArea collapsedLevelsAreSubtotals="1" fieldPosition="0">
        <references count="1">
          <reference field="2" count="0"/>
        </references>
      </pivotArea>
    </format>
    <format dxfId="44">
      <pivotArea dataOnly="0" labelOnly="1" fieldPosition="0">
        <references count="1">
          <reference field="2" count="0"/>
        </references>
      </pivotArea>
    </format>
    <format dxfId="43">
      <pivotArea field="2" type="button" dataOnly="0" labelOnly="1" outline="0" axis="axisRow" fieldPosition="0"/>
    </format>
    <format dxfId="42">
      <pivotArea dataOnly="0" labelOnly="1" fieldPosition="0">
        <references count="1">
          <reference field="6" count="0"/>
        </references>
      </pivotArea>
    </format>
    <format dxfId="41">
      <pivotArea dataOnly="0" labelOnly="1" grandCol="1" outline="0" fieldPosition="0"/>
    </format>
    <format dxfId="40">
      <pivotArea dataOnly="0" labelOnly="1" fieldPosition="0">
        <references count="1">
          <reference field="2" count="0"/>
        </references>
      </pivotArea>
    </format>
    <format dxfId="39">
      <pivotArea type="origin" dataOnly="0" labelOnly="1" outline="0" fieldPosition="0"/>
    </format>
    <format dxfId="38">
      <pivotArea field="6" type="button" dataOnly="0" labelOnly="1" outline="0" axis="axisCol" fieldPosition="0"/>
    </format>
    <format dxfId="37">
      <pivotArea field="2" type="button" dataOnly="0" labelOnly="1" outline="0" axis="axisRow" fieldPosition="0"/>
    </format>
    <format dxfId="36">
      <pivotArea dataOnly="0" labelOnly="1" fieldPosition="0">
        <references count="1">
          <reference field="6" count="0"/>
        </references>
      </pivotArea>
    </format>
    <format dxfId="35">
      <pivotArea dataOnly="0" labelOnly="1" grandCol="1" outline="0" fieldPosition="0"/>
    </format>
    <format dxfId="34">
      <pivotArea grandRow="1" outline="0" collapsedLevelsAreSubtotals="1" fieldPosition="0"/>
    </format>
    <format dxfId="33">
      <pivotArea dataOnly="0" labelOnly="1" grandRow="1" outline="0" fieldPosition="0"/>
    </format>
  </formats>
  <chartFormats count="8">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3"/>
          </reference>
        </references>
      </pivotArea>
    </chartFormat>
    <chartFormat chart="7" format="8" series="1">
      <pivotArea type="data" outline="0" fieldPosition="0">
        <references count="2">
          <reference field="4294967294" count="1" selected="0">
            <x v="0"/>
          </reference>
          <reference field="6" count="1" selected="0">
            <x v="0"/>
          </reference>
        </references>
      </pivotArea>
    </chartFormat>
    <chartFormat chart="7" format="9" series="1">
      <pivotArea type="data" outline="0" fieldPosition="0">
        <references count="2">
          <reference field="4294967294" count="1" selected="0">
            <x v="0"/>
          </reference>
          <reference field="6" count="1" selected="0">
            <x v="1"/>
          </reference>
        </references>
      </pivotArea>
    </chartFormat>
    <chartFormat chart="7" format="10" series="1">
      <pivotArea type="data" outline="0" fieldPosition="0">
        <references count="2">
          <reference field="4294967294" count="1" selected="0">
            <x v="0"/>
          </reference>
          <reference field="6" count="1" selected="0">
            <x v="2"/>
          </reference>
        </references>
      </pivotArea>
    </chartFormat>
    <chartFormat chart="7" format="11" series="1">
      <pivotArea type="data" outline="0" fieldPosition="0">
        <references count="2">
          <reference field="4294967294" count="1" selected="0">
            <x v="0"/>
          </reference>
          <reference field="6" count="1" selected="0">
            <x v="3"/>
          </reference>
        </references>
      </pivotArea>
    </chartFormat>
  </chart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CDE6FA-90A3-46A5-9EDF-01C9BDA07589}" name="PivotTable1" cacheId="0" applyNumberFormats="0" applyBorderFormats="0" applyFontFormats="0" applyPatternFormats="0" applyAlignmentFormats="0" applyWidthHeightFormats="1" dataCaption="Values" updatedVersion="7" minRefreshableVersion="5" enableDrill="0" useAutoFormatting="1" itemPrintTitles="1" createdVersion="7" indent="0" outline="1" outlineData="1" multipleFieldFilters="0" chartFormat="7" rowHeaderCaption="Department">
  <location ref="B3:E7" firstHeaderRow="0" firstDataRow="1" firstDataCol="1"/>
  <pivotFields count="15">
    <pivotField showAll="0"/>
    <pivotField showAll="0"/>
    <pivotField axis="axisRow" showAll="0" measureFilter="1">
      <items count="9">
        <item x="0"/>
        <item x="5"/>
        <item x="3"/>
        <item x="7"/>
        <item x="1"/>
        <item x="6"/>
        <item x="4"/>
        <item x="2"/>
        <item t="default"/>
      </items>
    </pivotField>
    <pivotField showAll="0"/>
    <pivotField numFmtId="14" showAll="0">
      <items count="715">
        <item x="173"/>
        <item x="130"/>
        <item x="580"/>
        <item x="439"/>
        <item x="394"/>
        <item x="619"/>
        <item x="464"/>
        <item x="350"/>
        <item x="322"/>
        <item x="131"/>
        <item x="414"/>
        <item x="339"/>
        <item x="33"/>
        <item x="235"/>
        <item x="683"/>
        <item x="127"/>
        <item x="508"/>
        <item x="35"/>
        <item x="309"/>
        <item x="357"/>
        <item x="584"/>
        <item x="691"/>
        <item x="699"/>
        <item x="659"/>
        <item x="370"/>
        <item x="415"/>
        <item x="148"/>
        <item x="445"/>
        <item x="582"/>
        <item x="477"/>
        <item x="604"/>
        <item x="168"/>
        <item x="658"/>
        <item x="704"/>
        <item x="630"/>
        <item x="459"/>
        <item x="530"/>
        <item x="369"/>
        <item x="411"/>
        <item x="211"/>
        <item x="390"/>
        <item x="171"/>
        <item x="147"/>
        <item x="143"/>
        <item x="263"/>
        <item x="526"/>
        <item x="713"/>
        <item x="257"/>
        <item x="656"/>
        <item x="307"/>
        <item x="58"/>
        <item x="678"/>
        <item x="112"/>
        <item x="470"/>
        <item x="31"/>
        <item x="367"/>
        <item x="141"/>
        <item x="18"/>
        <item x="668"/>
        <item x="111"/>
        <item x="462"/>
        <item x="443"/>
        <item x="581"/>
        <item x="71"/>
        <item x="559"/>
        <item x="618"/>
        <item x="56"/>
        <item x="153"/>
        <item x="366"/>
        <item x="48"/>
        <item x="654"/>
        <item x="234"/>
        <item x="183"/>
        <item x="431"/>
        <item x="524"/>
        <item x="706"/>
        <item x="297"/>
        <item x="43"/>
        <item x="452"/>
        <item x="133"/>
        <item x="15"/>
        <item x="76"/>
        <item x="310"/>
        <item x="335"/>
        <item x="360"/>
        <item x="287"/>
        <item x="380"/>
        <item x="179"/>
        <item x="568"/>
        <item x="250"/>
        <item x="323"/>
        <item x="223"/>
        <item x="486"/>
        <item x="528"/>
        <item x="9"/>
        <item x="639"/>
        <item x="427"/>
        <item x="633"/>
        <item x="206"/>
        <item x="585"/>
        <item x="178"/>
        <item x="657"/>
        <item x="23"/>
        <item x="22"/>
        <item x="241"/>
        <item x="122"/>
        <item x="500"/>
        <item x="99"/>
        <item x="587"/>
        <item x="91"/>
        <item x="37"/>
        <item x="103"/>
        <item x="627"/>
        <item x="564"/>
        <item x="209"/>
        <item x="268"/>
        <item x="330"/>
        <item x="216"/>
        <item x="276"/>
        <item x="93"/>
        <item x="304"/>
        <item x="14"/>
        <item x="84"/>
        <item x="489"/>
        <item x="68"/>
        <item x="138"/>
        <item x="154"/>
        <item x="252"/>
        <item x="12"/>
        <item x="542"/>
        <item x="272"/>
        <item x="358"/>
        <item x="694"/>
        <item x="676"/>
        <item x="550"/>
        <item x="384"/>
        <item x="281"/>
        <item x="558"/>
        <item x="317"/>
        <item x="269"/>
        <item x="458"/>
        <item x="50"/>
        <item x="481"/>
        <item x="273"/>
        <item x="325"/>
        <item x="136"/>
        <item x="404"/>
        <item x="228"/>
        <item x="499"/>
        <item x="158"/>
        <item x="245"/>
        <item x="492"/>
        <item x="3"/>
        <item x="90"/>
        <item x="538"/>
        <item x="20"/>
        <item x="123"/>
        <item x="575"/>
        <item x="388"/>
        <item x="457"/>
        <item x="210"/>
        <item x="447"/>
        <item x="224"/>
        <item x="162"/>
        <item x="448"/>
        <item x="39"/>
        <item x="635"/>
        <item x="563"/>
        <item x="599"/>
        <item x="207"/>
        <item x="255"/>
        <item x="408"/>
        <item x="107"/>
        <item x="176"/>
        <item x="432"/>
        <item x="45"/>
        <item x="294"/>
        <item x="501"/>
        <item x="152"/>
        <item x="386"/>
        <item x="192"/>
        <item x="405"/>
        <item x="41"/>
        <item x="687"/>
        <item x="185"/>
        <item x="301"/>
        <item x="55"/>
        <item x="385"/>
        <item x="662"/>
        <item x="514"/>
        <item x="337"/>
        <item x="67"/>
        <item x="197"/>
        <item x="270"/>
        <item x="504"/>
        <item x="672"/>
        <item x="583"/>
        <item x="403"/>
        <item x="244"/>
        <item x="125"/>
        <item x="98"/>
        <item x="598"/>
        <item x="182"/>
        <item x="391"/>
        <item x="142"/>
        <item x="83"/>
        <item x="376"/>
        <item x="336"/>
        <item x="200"/>
        <item x="11"/>
        <item x="540"/>
        <item x="387"/>
        <item x="108"/>
        <item x="615"/>
        <item x="417"/>
        <item x="674"/>
        <item x="698"/>
        <item x="578"/>
        <item x="574"/>
        <item x="180"/>
        <item x="496"/>
        <item x="24"/>
        <item x="38"/>
        <item x="590"/>
        <item x="472"/>
        <item x="371"/>
        <item x="275"/>
        <item x="640"/>
        <item x="536"/>
        <item x="353"/>
        <item x="418"/>
        <item x="300"/>
        <item x="449"/>
        <item x="690"/>
        <item x="72"/>
        <item x="364"/>
        <item x="626"/>
        <item x="679"/>
        <item x="305"/>
        <item x="246"/>
        <item x="49"/>
        <item x="605"/>
        <item x="399"/>
        <item x="5"/>
        <item x="521"/>
        <item x="352"/>
        <item x="288"/>
        <item x="400"/>
        <item x="424"/>
        <item x="597"/>
        <item x="377"/>
        <item x="396"/>
        <item x="13"/>
        <item x="595"/>
        <item x="487"/>
        <item x="603"/>
        <item x="243"/>
        <item x="267"/>
        <item x="326"/>
        <item x="295"/>
        <item x="549"/>
        <item x="175"/>
        <item x="198"/>
        <item x="675"/>
        <item x="94"/>
        <item x="229"/>
        <item x="392"/>
        <item x="292"/>
        <item x="495"/>
        <item x="0"/>
        <item x="144"/>
        <item x="666"/>
        <item x="440"/>
        <item x="284"/>
        <item x="16"/>
        <item x="21"/>
        <item x="515"/>
        <item x="80"/>
        <item x="169"/>
        <item x="520"/>
        <item x="375"/>
        <item x="685"/>
        <item x="589"/>
        <item x="196"/>
        <item x="321"/>
        <item x="95"/>
        <item x="40"/>
        <item x="52"/>
        <item x="471"/>
        <item x="63"/>
        <item x="628"/>
        <item x="422"/>
        <item x="277"/>
        <item x="264"/>
        <item x="703"/>
        <item x="289"/>
        <item x="667"/>
        <item x="354"/>
        <item x="343"/>
        <item x="261"/>
        <item x="348"/>
        <item x="393"/>
        <item x="455"/>
        <item x="426"/>
        <item x="638"/>
        <item x="167"/>
        <item x="507"/>
        <item x="710"/>
        <item x="665"/>
        <item x="27"/>
        <item x="709"/>
        <item x="636"/>
        <item x="106"/>
        <item x="296"/>
        <item x="498"/>
        <item x="556"/>
        <item x="469"/>
        <item x="544"/>
        <item x="8"/>
        <item x="652"/>
        <item x="406"/>
        <item x="340"/>
        <item x="621"/>
        <item x="546"/>
        <item x="460"/>
        <item x="157"/>
        <item x="519"/>
        <item x="274"/>
        <item x="221"/>
        <item x="237"/>
        <item x="298"/>
        <item x="137"/>
        <item x="225"/>
        <item x="609"/>
        <item x="372"/>
        <item x="213"/>
        <item x="697"/>
        <item x="594"/>
        <item x="664"/>
        <item x="560"/>
        <item x="579"/>
        <item x="576"/>
        <item x="541"/>
        <item x="219"/>
        <item x="425"/>
        <item x="647"/>
        <item x="259"/>
        <item x="302"/>
        <item x="313"/>
        <item x="475"/>
        <item x="670"/>
        <item x="695"/>
        <item x="410"/>
        <item x="59"/>
        <item x="329"/>
        <item x="429"/>
        <item x="215"/>
        <item x="450"/>
        <item x="222"/>
        <item x="73"/>
        <item x="502"/>
        <item x="490"/>
        <item x="306"/>
        <item x="571"/>
        <item x="361"/>
        <item x="239"/>
        <item x="434"/>
        <item x="319"/>
        <item x="527"/>
        <item x="290"/>
        <item x="649"/>
        <item x="368"/>
        <item x="645"/>
        <item x="75"/>
        <item x="696"/>
        <item x="642"/>
        <item x="318"/>
        <item x="512"/>
        <item x="534"/>
        <item x="363"/>
        <item x="120"/>
        <item x="341"/>
        <item x="532"/>
        <item x="474"/>
        <item x="567"/>
        <item x="438"/>
        <item x="334"/>
        <item x="96"/>
        <item x="436"/>
        <item x="673"/>
        <item x="669"/>
        <item x="92"/>
        <item x="461"/>
        <item x="238"/>
        <item x="324"/>
        <item x="660"/>
        <item x="610"/>
        <item x="265"/>
        <item x="421"/>
        <item x="145"/>
        <item x="70"/>
        <item x="535"/>
        <item x="85"/>
        <item x="395"/>
        <item x="456"/>
        <item x="412"/>
        <item x="543"/>
        <item x="522"/>
        <item x="441"/>
        <item x="416"/>
        <item x="4"/>
        <item x="509"/>
        <item x="214"/>
        <item x="86"/>
        <item x="42"/>
        <item x="208"/>
        <item x="465"/>
        <item x="212"/>
        <item x="643"/>
        <item x="62"/>
        <item x="612"/>
        <item x="236"/>
        <item x="132"/>
        <item x="64"/>
        <item x="279"/>
        <item x="663"/>
        <item x="139"/>
        <item x="2"/>
        <item x="34"/>
        <item x="344"/>
        <item x="194"/>
        <item x="315"/>
        <item x="201"/>
        <item x="480"/>
        <item x="362"/>
        <item x="203"/>
        <item x="602"/>
        <item x="622"/>
        <item x="253"/>
        <item x="124"/>
        <item x="473"/>
        <item x="646"/>
        <item x="374"/>
        <item x="600"/>
        <item x="286"/>
        <item x="623"/>
        <item x="82"/>
        <item x="351"/>
        <item x="146"/>
        <item x="634"/>
        <item x="539"/>
        <item x="28"/>
        <item x="510"/>
        <item x="677"/>
        <item x="463"/>
        <item x="349"/>
        <item x="53"/>
        <item x="97"/>
        <item x="30"/>
        <item x="557"/>
        <item x="60"/>
        <item x="686"/>
        <item x="688"/>
        <item x="104"/>
        <item x="355"/>
        <item x="479"/>
        <item x="251"/>
        <item x="708"/>
        <item x="102"/>
        <item x="555"/>
        <item x="482"/>
        <item x="134"/>
        <item x="491"/>
        <item x="271"/>
        <item x="650"/>
        <item x="702"/>
        <item x="689"/>
        <item x="648"/>
        <item x="110"/>
        <item x="561"/>
        <item x="57"/>
        <item x="593"/>
        <item x="230"/>
        <item x="503"/>
        <item x="193"/>
        <item x="46"/>
        <item x="693"/>
        <item x="140"/>
        <item x="592"/>
        <item x="328"/>
        <item x="505"/>
        <item x="613"/>
        <item x="54"/>
        <item x="467"/>
        <item x="529"/>
        <item x="299"/>
        <item x="442"/>
        <item x="531"/>
        <item x="202"/>
        <item x="10"/>
        <item x="280"/>
        <item x="166"/>
        <item x="333"/>
        <item x="407"/>
        <item x="177"/>
        <item x="548"/>
        <item x="345"/>
        <item x="61"/>
        <item x="331"/>
        <item x="316"/>
        <item x="303"/>
        <item x="389"/>
        <item x="327"/>
        <item x="189"/>
        <item x="109"/>
        <item x="233"/>
        <item x="7"/>
        <item x="247"/>
        <item x="69"/>
        <item x="488"/>
        <item x="81"/>
        <item x="119"/>
        <item x="74"/>
        <item x="205"/>
        <item x="114"/>
        <item x="453"/>
        <item x="624"/>
        <item x="614"/>
        <item x="382"/>
        <item x="89"/>
        <item x="19"/>
        <item x="433"/>
        <item x="161"/>
        <item x="159"/>
        <item x="149"/>
        <item x="608"/>
        <item x="577"/>
        <item x="511"/>
        <item x="497"/>
        <item x="188"/>
        <item x="87"/>
        <item x="485"/>
        <item x="283"/>
        <item x="232"/>
        <item x="293"/>
        <item x="240"/>
        <item x="308"/>
        <item x="266"/>
        <item x="681"/>
        <item x="365"/>
        <item x="711"/>
        <item x="311"/>
        <item x="712"/>
        <item x="151"/>
        <item x="100"/>
        <item x="101"/>
        <item x="430"/>
        <item x="625"/>
        <item x="174"/>
        <item x="79"/>
        <item x="278"/>
        <item x="373"/>
        <item x="413"/>
        <item x="285"/>
        <item x="160"/>
        <item x="466"/>
        <item x="320"/>
        <item x="26"/>
        <item x="165"/>
        <item x="381"/>
        <item x="701"/>
        <item x="116"/>
        <item x="565"/>
        <item x="254"/>
        <item x="402"/>
        <item x="126"/>
        <item x="573"/>
        <item x="607"/>
        <item x="705"/>
        <item x="170"/>
        <item x="437"/>
        <item x="291"/>
        <item x="632"/>
        <item x="700"/>
        <item x="29"/>
        <item x="551"/>
        <item x="199"/>
        <item x="423"/>
        <item x="586"/>
        <item x="476"/>
        <item x="494"/>
        <item x="606"/>
        <item x="128"/>
        <item x="6"/>
        <item x="88"/>
        <item x="78"/>
        <item x="115"/>
        <item x="671"/>
        <item x="611"/>
        <item x="428"/>
        <item x="397"/>
        <item x="172"/>
        <item x="51"/>
        <item x="312"/>
        <item x="242"/>
        <item x="150"/>
        <item x="379"/>
        <item x="692"/>
        <item x="32"/>
        <item x="570"/>
        <item x="184"/>
        <item x="446"/>
        <item x="601"/>
        <item x="262"/>
        <item x="155"/>
        <item x="493"/>
        <item x="444"/>
        <item x="332"/>
        <item x="419"/>
        <item x="347"/>
        <item x="342"/>
        <item x="641"/>
        <item x="195"/>
        <item x="562"/>
        <item x="518"/>
        <item x="338"/>
        <item x="256"/>
        <item x="629"/>
        <item x="655"/>
        <item x="552"/>
        <item x="314"/>
        <item x="680"/>
        <item x="220"/>
        <item x="572"/>
        <item x="346"/>
        <item x="135"/>
        <item x="484"/>
        <item x="684"/>
        <item x="409"/>
        <item x="596"/>
        <item x="217"/>
        <item x="44"/>
        <item x="129"/>
        <item x="525"/>
        <item x="226"/>
        <item x="620"/>
        <item x="164"/>
        <item x="516"/>
        <item x="617"/>
        <item x="258"/>
        <item x="190"/>
        <item x="401"/>
        <item x="707"/>
        <item x="181"/>
        <item x="420"/>
        <item x="661"/>
        <item x="483"/>
        <item x="1"/>
        <item x="644"/>
        <item x="591"/>
        <item x="569"/>
        <item x="435"/>
        <item x="356"/>
        <item x="113"/>
        <item x="163"/>
        <item x="186"/>
        <item x="17"/>
        <item x="383"/>
        <item x="249"/>
        <item x="378"/>
        <item x="547"/>
        <item x="451"/>
        <item x="545"/>
        <item x="66"/>
        <item x="631"/>
        <item x="121"/>
        <item x="36"/>
        <item x="227"/>
        <item x="65"/>
        <item x="77"/>
        <item x="398"/>
        <item x="118"/>
        <item x="25"/>
        <item x="359"/>
        <item x="653"/>
        <item x="506"/>
        <item x="117"/>
        <item x="588"/>
        <item x="468"/>
        <item x="454"/>
        <item x="47"/>
        <item x="513"/>
        <item x="105"/>
        <item x="566"/>
        <item x="260"/>
        <item x="533"/>
        <item x="682"/>
        <item x="204"/>
        <item x="187"/>
        <item x="554"/>
        <item x="537"/>
        <item x="651"/>
        <item x="156"/>
        <item x="191"/>
        <item x="637"/>
        <item x="517"/>
        <item x="231"/>
        <item x="478"/>
        <item x="523"/>
        <item x="616"/>
        <item x="218"/>
        <item x="248"/>
        <item x="282"/>
        <item x="553"/>
        <item t="default"/>
      </items>
    </pivotField>
    <pivotField numFmtId="14" showAll="0">
      <items count="718">
        <item x="11"/>
        <item x="417"/>
        <item x="114"/>
        <item x="128"/>
        <item x="685"/>
        <item x="404"/>
        <item x="488"/>
        <item x="578"/>
        <item x="242"/>
        <item x="218"/>
        <item x="272"/>
        <item x="463"/>
        <item x="243"/>
        <item x="279"/>
        <item x="317"/>
        <item x="175"/>
        <item x="321"/>
        <item x="615"/>
        <item x="110"/>
        <item x="101"/>
        <item x="565"/>
        <item x="608"/>
        <item x="62"/>
        <item x="612"/>
        <item x="440"/>
        <item x="640"/>
        <item x="607"/>
        <item x="319"/>
        <item x="592"/>
        <item x="353"/>
        <item x="105"/>
        <item x="465"/>
        <item x="201"/>
        <item x="672"/>
        <item x="664"/>
        <item x="646"/>
        <item x="572"/>
        <item x="439"/>
        <item x="552"/>
        <item x="618"/>
        <item x="236"/>
        <item x="559"/>
        <item x="2"/>
        <item x="384"/>
        <item x="691"/>
        <item x="408"/>
        <item x="63"/>
        <item x="445"/>
        <item x="219"/>
        <item x="249"/>
        <item x="244"/>
        <item x="16"/>
        <item x="330"/>
        <item x="204"/>
        <item x="342"/>
        <item x="227"/>
        <item x="333"/>
        <item x="177"/>
        <item x="415"/>
        <item x="205"/>
        <item x="557"/>
        <item x="179"/>
        <item x="193"/>
        <item x="423"/>
        <item x="199"/>
        <item x="339"/>
        <item x="36"/>
        <item x="446"/>
        <item x="432"/>
        <item x="662"/>
        <item x="293"/>
        <item x="139"/>
        <item x="295"/>
        <item x="51"/>
        <item x="141"/>
        <item x="142"/>
        <item x="710"/>
        <item x="460"/>
        <item x="479"/>
        <item x="382"/>
        <item x="226"/>
        <item x="158"/>
        <item x="71"/>
        <item x="355"/>
        <item x="556"/>
        <item x="147"/>
        <item x="276"/>
        <item x="506"/>
        <item x="421"/>
        <item x="343"/>
        <item x="304"/>
        <item x="131"/>
        <item x="584"/>
        <item x="79"/>
        <item x="547"/>
        <item x="709"/>
        <item x="390"/>
        <item x="520"/>
        <item x="341"/>
        <item x="211"/>
        <item x="307"/>
        <item x="50"/>
        <item x="84"/>
        <item x="9"/>
        <item x="368"/>
        <item x="689"/>
        <item x="344"/>
        <item x="125"/>
        <item x="231"/>
        <item x="77"/>
        <item x="548"/>
        <item x="21"/>
        <item x="33"/>
        <item x="690"/>
        <item x="475"/>
        <item x="364"/>
        <item x="698"/>
        <item x="540"/>
        <item x="549"/>
        <item x="235"/>
        <item x="386"/>
        <item x="413"/>
        <item x="595"/>
        <item x="274"/>
        <item x="643"/>
        <item x="52"/>
        <item x="515"/>
        <item x="5"/>
        <item x="210"/>
        <item x="87"/>
        <item x="203"/>
        <item x="500"/>
        <item x="332"/>
        <item x="112"/>
        <item x="611"/>
        <item x="89"/>
        <item x="25"/>
        <item x="683"/>
        <item x="429"/>
        <item x="156"/>
        <item x="159"/>
        <item x="66"/>
        <item x="43"/>
        <item x="393"/>
        <item x="22"/>
        <item x="263"/>
        <item x="377"/>
        <item x="649"/>
        <item x="162"/>
        <item x="49"/>
        <item x="31"/>
        <item x="626"/>
        <item x="82"/>
        <item x="196"/>
        <item x="163"/>
        <item x="58"/>
        <item x="466"/>
        <item x="554"/>
        <item x="661"/>
        <item x="360"/>
        <item x="503"/>
        <item x="420"/>
        <item x="23"/>
        <item x="237"/>
        <item x="345"/>
        <item x="398"/>
        <item x="456"/>
        <item x="508"/>
        <item x="289"/>
        <item x="571"/>
        <item x="614"/>
        <item x="624"/>
        <item x="207"/>
        <item x="178"/>
        <item x="29"/>
        <item x="46"/>
        <item x="358"/>
        <item x="468"/>
        <item x="682"/>
        <item x="291"/>
        <item x="514"/>
        <item x="700"/>
        <item x="107"/>
        <item x="315"/>
        <item x="610"/>
        <item x="394"/>
        <item x="653"/>
        <item x="248"/>
        <item x="309"/>
        <item x="704"/>
        <item x="311"/>
        <item x="486"/>
        <item x="255"/>
        <item x="550"/>
        <item x="434"/>
        <item x="191"/>
        <item x="555"/>
        <item x="32"/>
        <item x="638"/>
        <item x="405"/>
        <item x="328"/>
        <item x="137"/>
        <item x="288"/>
        <item x="411"/>
        <item x="245"/>
        <item x="108"/>
        <item x="378"/>
        <item x="658"/>
        <item x="133"/>
        <item x="461"/>
        <item x="308"/>
        <item x="504"/>
        <item x="416"/>
        <item x="347"/>
        <item x="462"/>
        <item x="707"/>
        <item x="290"/>
        <item x="348"/>
        <item x="113"/>
        <item x="170"/>
        <item x="362"/>
        <item x="435"/>
        <item x="529"/>
        <item x="117"/>
        <item x="268"/>
        <item x="78"/>
        <item x="585"/>
        <item x="509"/>
        <item x="525"/>
        <item x="356"/>
        <item x="502"/>
        <item x="115"/>
        <item x="467"/>
        <item x="381"/>
        <item x="102"/>
        <item x="395"/>
        <item x="522"/>
        <item x="492"/>
        <item x="644"/>
        <item x="370"/>
        <item x="151"/>
        <item x="182"/>
        <item x="457"/>
        <item x="538"/>
        <item x="194"/>
        <item x="631"/>
        <item x="679"/>
        <item x="677"/>
        <item x="98"/>
        <item x="596"/>
        <item x="185"/>
        <item x="632"/>
        <item x="280"/>
        <item x="567"/>
        <item x="601"/>
        <item x="512"/>
        <item x="399"/>
        <item x="598"/>
        <item x="663"/>
        <item x="171"/>
        <item x="430"/>
        <item x="334"/>
        <item x="530"/>
        <item x="173"/>
        <item x="357"/>
        <item x="90"/>
        <item x="192"/>
        <item x="206"/>
        <item x="383"/>
        <item x="100"/>
        <item x="44"/>
        <item x="28"/>
        <item x="528"/>
        <item x="4"/>
        <item x="239"/>
        <item x="379"/>
        <item x="109"/>
        <item x="422"/>
        <item x="294"/>
        <item x="641"/>
        <item x="99"/>
        <item x="544"/>
        <item x="400"/>
        <item x="354"/>
        <item x="183"/>
        <item x="123"/>
        <item x="212"/>
        <item x="455"/>
        <item x="326"/>
        <item x="336"/>
        <item x="403"/>
        <item x="76"/>
        <item x="634"/>
        <item x="27"/>
        <item x="253"/>
        <item x="620"/>
        <item x="166"/>
        <item x="681"/>
        <item x="14"/>
        <item x="181"/>
        <item x="622"/>
        <item x="373"/>
        <item x="104"/>
        <item x="507"/>
        <item x="546"/>
        <item x="198"/>
        <item x="706"/>
        <item x="715"/>
        <item x="450"/>
        <item x="209"/>
        <item x="630"/>
        <item x="666"/>
        <item x="273"/>
        <item x="221"/>
        <item x="481"/>
        <item x="388"/>
        <item x="305"/>
        <item x="20"/>
        <item x="38"/>
        <item x="406"/>
        <item x="298"/>
        <item x="234"/>
        <item x="18"/>
        <item x="97"/>
        <item x="184"/>
        <item x="535"/>
        <item x="176"/>
        <item x="331"/>
        <item x="478"/>
        <item x="425"/>
        <item x="216"/>
        <item x="397"/>
        <item x="667"/>
        <item x="469"/>
        <item x="407"/>
        <item x="202"/>
        <item x="573"/>
        <item x="56"/>
        <item x="286"/>
        <item x="688"/>
        <item x="625"/>
        <item x="229"/>
        <item x="6"/>
        <item x="322"/>
        <item x="160"/>
        <item x="361"/>
        <item x="30"/>
        <item x="277"/>
        <item x="262"/>
        <item x="443"/>
        <item x="42"/>
        <item x="674"/>
        <item x="215"/>
        <item x="303"/>
        <item x="701"/>
        <item x="265"/>
        <item x="264"/>
        <item x="452"/>
        <item x="651"/>
        <item x="157"/>
        <item x="639"/>
        <item x="692"/>
        <item x="695"/>
        <item x="302"/>
        <item x="459"/>
        <item x="329"/>
        <item x="228"/>
        <item x="590"/>
        <item x="81"/>
        <item x="24"/>
        <item x="312"/>
        <item x="138"/>
        <item x="88"/>
        <item x="444"/>
        <item x="306"/>
        <item x="433"/>
        <item x="285"/>
        <item x="523"/>
        <item x="521"/>
        <item x="282"/>
        <item x="369"/>
        <item x="495"/>
        <item x="714"/>
        <item x="250"/>
        <item x="656"/>
        <item x="424"/>
        <item x="92"/>
        <item x="438"/>
        <item x="669"/>
        <item x="292"/>
        <item x="241"/>
        <item x="629"/>
        <item x="247"/>
        <item x="313"/>
        <item x="694"/>
        <item x="271"/>
        <item x="474"/>
        <item x="671"/>
        <item x="562"/>
        <item x="387"/>
        <item x="143"/>
        <item x="318"/>
        <item x="363"/>
        <item x="451"/>
        <item x="48"/>
        <item x="464"/>
        <item x="72"/>
        <item x="256"/>
        <item x="103"/>
        <item x="70"/>
        <item x="258"/>
        <item x="83"/>
        <item x="536"/>
        <item x="680"/>
        <item x="586"/>
        <item x="60"/>
        <item x="480"/>
        <item x="323"/>
        <item x="645"/>
        <item x="325"/>
        <item x="13"/>
        <item x="389"/>
        <item x="284"/>
        <item x="346"/>
        <item x="134"/>
        <item x="587"/>
        <item x="581"/>
        <item x="86"/>
        <item x="569"/>
        <item x="617"/>
        <item x="149"/>
        <item x="281"/>
        <item x="453"/>
        <item x="37"/>
        <item x="164"/>
        <item x="301"/>
        <item x="566"/>
        <item x="448"/>
        <item x="96"/>
        <item x="532"/>
        <item x="527"/>
        <item x="703"/>
        <item x="623"/>
        <item x="600"/>
        <item x="75"/>
        <item x="563"/>
        <item x="1"/>
        <item x="431"/>
        <item x="0"/>
        <item x="441"/>
        <item x="493"/>
        <item x="190"/>
        <item x="94"/>
        <item x="116"/>
        <item x="352"/>
        <item x="519"/>
        <item x="371"/>
        <item x="240"/>
        <item x="542"/>
        <item x="524"/>
        <item x="402"/>
        <item x="471"/>
        <item x="499"/>
        <item x="576"/>
        <item x="146"/>
        <item x="47"/>
        <item x="606"/>
        <item x="517"/>
        <item x="359"/>
        <item x="561"/>
        <item x="74"/>
        <item x="230"/>
        <item x="654"/>
        <item x="604"/>
        <item x="473"/>
        <item x="220"/>
        <item x="599"/>
        <item x="591"/>
        <item x="449"/>
        <item x="635"/>
        <item x="267"/>
        <item x="472"/>
        <item x="497"/>
        <item x="214"/>
        <item x="335"/>
        <item x="297"/>
        <item x="437"/>
        <item x="119"/>
        <item x="558"/>
        <item x="516"/>
        <item x="533"/>
        <item x="396"/>
        <item x="409"/>
        <item x="660"/>
        <item x="510"/>
        <item x="668"/>
        <item x="135"/>
        <item x="45"/>
        <item x="187"/>
        <item x="275"/>
        <item x="553"/>
        <item x="518"/>
        <item x="657"/>
        <item x="621"/>
        <item x="140"/>
        <item x="580"/>
        <item x="579"/>
        <item x="619"/>
        <item x="17"/>
        <item x="120"/>
        <item x="261"/>
        <item x="494"/>
        <item x="713"/>
        <item x="64"/>
        <item x="670"/>
        <item x="15"/>
        <item x="350"/>
        <item x="568"/>
        <item x="627"/>
        <item x="57"/>
        <item x="232"/>
        <item x="428"/>
        <item x="711"/>
        <item x="299"/>
        <item x="418"/>
        <item x="270"/>
        <item x="59"/>
        <item x="391"/>
        <item x="150"/>
        <item x="531"/>
        <item x="597"/>
        <item x="414"/>
        <item x="8"/>
        <item x="161"/>
        <item x="678"/>
        <item x="476"/>
        <item x="337"/>
        <item x="91"/>
        <item x="145"/>
        <item x="609"/>
        <item x="537"/>
        <item x="35"/>
        <item x="410"/>
        <item x="716"/>
        <item x="93"/>
        <item x="19"/>
        <item x="684"/>
        <item x="132"/>
        <item x="180"/>
        <item x="454"/>
        <item x="675"/>
        <item x="197"/>
        <item x="693"/>
        <item x="489"/>
        <item x="616"/>
        <item x="55"/>
        <item x="223"/>
        <item x="154"/>
        <item x="442"/>
        <item x="697"/>
        <item x="385"/>
        <item x="351"/>
        <item x="269"/>
        <item x="589"/>
        <item x="320"/>
        <item x="152"/>
        <item x="217"/>
        <item x="300"/>
        <item x="539"/>
        <item x="327"/>
        <item x="225"/>
        <item x="12"/>
        <item x="67"/>
        <item x="3"/>
        <item x="195"/>
        <item x="588"/>
        <item x="69"/>
        <item x="366"/>
        <item x="365"/>
        <item x="575"/>
        <item x="673"/>
        <item x="687"/>
        <item x="665"/>
        <item x="174"/>
        <item x="482"/>
        <item x="594"/>
        <item x="491"/>
        <item x="314"/>
        <item x="392"/>
        <item x="40"/>
        <item x="605"/>
        <item x="186"/>
        <item x="655"/>
        <item x="189"/>
        <item x="501"/>
        <item x="545"/>
        <item x="642"/>
        <item x="593"/>
        <item x="246"/>
        <item x="712"/>
        <item x="144"/>
        <item x="412"/>
        <item x="490"/>
        <item x="260"/>
        <item x="484"/>
        <item x="498"/>
        <item x="513"/>
        <item x="251"/>
        <item x="254"/>
        <item x="41"/>
        <item x="167"/>
        <item x="224"/>
        <item x="419"/>
        <item x="602"/>
        <item x="208"/>
        <item x="26"/>
        <item x="283"/>
        <item x="338"/>
        <item x="613"/>
        <item x="570"/>
        <item x="551"/>
        <item x="372"/>
        <item x="172"/>
        <item x="485"/>
        <item x="564"/>
        <item x="259"/>
        <item x="647"/>
        <item x="238"/>
        <item x="233"/>
        <item x="477"/>
        <item x="702"/>
        <item x="637"/>
        <item x="470"/>
        <item x="127"/>
        <item x="483"/>
        <item x="324"/>
        <item x="136"/>
        <item x="266"/>
        <item x="165"/>
        <item x="118"/>
        <item x="699"/>
        <item x="168"/>
        <item x="505"/>
        <item x="633"/>
        <item x="367"/>
        <item x="705"/>
        <item x="577"/>
        <item x="200"/>
        <item x="526"/>
        <item x="257"/>
        <item x="659"/>
        <item x="54"/>
        <item x="129"/>
        <item x="68"/>
        <item x="650"/>
        <item x="487"/>
        <item x="34"/>
        <item x="310"/>
        <item x="349"/>
        <item x="696"/>
        <item x="95"/>
        <item x="426"/>
        <item x="122"/>
        <item x="708"/>
        <item x="628"/>
        <item x="80"/>
        <item x="61"/>
        <item x="106"/>
        <item x="652"/>
        <item x="130"/>
        <item x="380"/>
        <item x="534"/>
        <item x="124"/>
        <item x="496"/>
        <item x="278"/>
        <item x="583"/>
        <item x="560"/>
        <item x="401"/>
        <item x="511"/>
        <item x="73"/>
        <item x="582"/>
        <item x="374"/>
        <item x="636"/>
        <item x="287"/>
        <item x="375"/>
        <item x="574"/>
        <item x="543"/>
        <item x="121"/>
        <item x="541"/>
        <item x="458"/>
        <item x="85"/>
        <item x="7"/>
        <item x="686"/>
        <item x="39"/>
        <item x="648"/>
        <item x="376"/>
        <item x="53"/>
        <item x="111"/>
        <item x="155"/>
        <item x="436"/>
        <item x="126"/>
        <item x="10"/>
        <item x="153"/>
        <item x="188"/>
        <item x="252"/>
        <item x="603"/>
        <item x="169"/>
        <item x="213"/>
        <item x="148"/>
        <item x="676"/>
        <item x="340"/>
        <item x="316"/>
        <item x="296"/>
        <item x="447"/>
        <item x="65"/>
        <item x="427"/>
        <item x="222"/>
        <item t="default"/>
      </items>
    </pivotField>
    <pivotField showAll="0">
      <items count="5">
        <item x="3"/>
        <item x="2"/>
        <item x="1"/>
        <item x="0"/>
        <item t="default"/>
      </items>
    </pivotField>
    <pivotField dataField="1" showAll="0"/>
    <pivotField dataField="1" showAll="0"/>
    <pivotField showAll="0">
      <items count="6">
        <item x="3"/>
        <item x="2"/>
        <item x="4"/>
        <item x="0"/>
        <item x="1"/>
        <item t="default"/>
      </items>
    </pivotField>
    <pivotField showAll="0">
      <items count="5">
        <item x="1"/>
        <item x="2"/>
        <item x="0"/>
        <item x="3"/>
        <item t="default"/>
      </items>
    </pivotField>
    <pivotField showAll="0">
      <items count="4">
        <item x="0"/>
        <item x="1"/>
        <item x="2"/>
        <item t="default"/>
      </items>
    </pivotField>
    <pivotField dataField="1" showAll="0"/>
    <pivotField showAll="0"/>
    <pivotField showAll="0"/>
  </pivotFields>
  <rowFields count="1">
    <field x="2"/>
  </rowFields>
  <rowItems count="4">
    <i>
      <x/>
    </i>
    <i>
      <x v="2"/>
    </i>
    <i>
      <x v="4"/>
    </i>
    <i t="grand">
      <x/>
    </i>
  </rowItems>
  <colFields count="1">
    <field x="-2"/>
  </colFields>
  <colItems count="3">
    <i>
      <x/>
    </i>
    <i i="1">
      <x v="1"/>
    </i>
    <i i="2">
      <x v="2"/>
    </i>
  </colItems>
  <dataFields count="3">
    <dataField name="Total Allocated Budget (USD)" fld="7" baseField="2" baseItem="0"/>
    <dataField name="Total Actual Spending (USD)" fld="8" baseField="2" baseItem="0"/>
    <dataField name="Sum of Variance (USD)" fld="12" baseField="0" baseItem="0"/>
  </dataFields>
  <formats count="11">
    <format dxfId="56">
      <pivotArea collapsedLevelsAreSubtotals="1" fieldPosition="0">
        <references count="1">
          <reference field="2" count="0"/>
        </references>
      </pivotArea>
    </format>
    <format dxfId="55">
      <pivotArea dataOnly="0" labelOnly="1" fieldPosition="0">
        <references count="1">
          <reference field="2" count="0"/>
        </references>
      </pivotArea>
    </format>
    <format dxfId="54">
      <pivotArea field="2" type="button" dataOnly="0" labelOnly="1" outline="0" axis="axisRow" fieldPosition="0"/>
    </format>
    <format dxfId="53">
      <pivotArea dataOnly="0" labelOnly="1" outline="0" fieldPosition="0">
        <references count="1">
          <reference field="4294967294" count="3">
            <x v="0"/>
            <x v="1"/>
            <x v="2"/>
          </reference>
        </references>
      </pivotArea>
    </format>
    <format dxfId="52">
      <pivotArea dataOnly="0" labelOnly="1" fieldPosition="0">
        <references count="1">
          <reference field="2" count="0"/>
        </references>
      </pivotArea>
    </format>
    <format dxfId="51">
      <pivotArea field="2" type="button" dataOnly="0" labelOnly="1" outline="0" axis="axisRow" fieldPosition="0"/>
    </format>
    <format dxfId="50">
      <pivotArea dataOnly="0" labelOnly="1" outline="0" fieldPosition="0">
        <references count="1">
          <reference field="4294967294" count="3">
            <x v="0"/>
            <x v="1"/>
            <x v="2"/>
          </reference>
        </references>
      </pivotArea>
    </format>
    <format dxfId="49">
      <pivotArea field="2" type="button" dataOnly="0" labelOnly="1" outline="0" axis="axisRow" fieldPosition="0"/>
    </format>
    <format dxfId="48">
      <pivotArea dataOnly="0" labelOnly="1" outline="0" fieldPosition="0">
        <references count="1">
          <reference field="4294967294" count="3">
            <x v="0"/>
            <x v="1"/>
            <x v="2"/>
          </reference>
        </references>
      </pivotArea>
    </format>
    <format dxfId="47">
      <pivotArea grandRow="1" outline="0" collapsedLevelsAreSubtotals="1" fieldPosition="0"/>
    </format>
    <format dxfId="46">
      <pivotArea dataOnly="0" labelOnly="1" grandRow="1" outline="0"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0" showRowHeaders="1" showColHeaders="1" showRowStripes="0" showColStripes="0" showLastColumn="1"/>
  <filters count="1">
    <filter fld="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E599B5-EF40-4F97-B728-202FFA24F319}" name="PivotTable5" cacheId="0" applyNumberFormats="0" applyBorderFormats="0" applyFontFormats="0" applyPatternFormats="0" applyAlignmentFormats="0" applyWidthHeightFormats="1" dataCaption="Values" updatedVersion="7" minRefreshableVersion="3" enableDrill="0" useAutoFormatting="1" itemPrintTitles="1" createdVersion="7" indent="0" outline="1" outlineData="1" multipleFieldFilters="0" chartFormat="8" rowHeaderCaption="Manager Name">
  <location ref="I17:J26" firstHeaderRow="1" firstDataRow="1" firstDataCol="1"/>
  <pivotFields count="15">
    <pivotField showAll="0"/>
    <pivotField showAll="0"/>
    <pivotField showAll="0">
      <items count="9">
        <item x="0"/>
        <item x="5"/>
        <item x="3"/>
        <item x="7"/>
        <item x="1"/>
        <item x="6"/>
        <item x="4"/>
        <item x="2"/>
        <item t="default"/>
      </items>
    </pivotField>
    <pivotField axis="axisRow" showAll="0">
      <items count="9">
        <item x="6"/>
        <item x="2"/>
        <item x="3"/>
        <item x="7"/>
        <item x="1"/>
        <item x="5"/>
        <item x="4"/>
        <item x="0"/>
        <item t="default"/>
      </items>
    </pivotField>
    <pivotField numFmtId="14" showAll="0"/>
    <pivotField numFmtId="14" showAll="0"/>
    <pivotField showAll="0">
      <items count="5">
        <item x="3"/>
        <item x="2"/>
        <item x="1"/>
        <item x="0"/>
        <item t="default"/>
      </items>
    </pivotField>
    <pivotField showAll="0"/>
    <pivotField showAll="0"/>
    <pivotField showAll="0">
      <items count="6">
        <item x="3"/>
        <item x="2"/>
        <item x="4"/>
        <item x="0"/>
        <item x="1"/>
        <item t="default"/>
      </items>
    </pivotField>
    <pivotField showAll="0">
      <items count="5">
        <item x="1"/>
        <item x="2"/>
        <item x="0"/>
        <item x="3"/>
        <item t="default"/>
      </items>
    </pivotField>
    <pivotField showAll="0">
      <items count="4">
        <item x="0"/>
        <item x="1"/>
        <item x="2"/>
        <item t="default"/>
      </items>
    </pivotField>
    <pivotField dataField="1" showAll="0"/>
    <pivotField showAll="0"/>
    <pivotField showAll="0"/>
  </pivotFields>
  <rowFields count="1">
    <field x="3"/>
  </rowFields>
  <rowItems count="9">
    <i>
      <x/>
    </i>
    <i>
      <x v="1"/>
    </i>
    <i>
      <x v="2"/>
    </i>
    <i>
      <x v="3"/>
    </i>
    <i>
      <x v="4"/>
    </i>
    <i>
      <x v="5"/>
    </i>
    <i>
      <x v="6"/>
    </i>
    <i>
      <x v="7"/>
    </i>
    <i t="grand">
      <x/>
    </i>
  </rowItems>
  <colItems count="1">
    <i/>
  </colItems>
  <dataFields count="1">
    <dataField name="Sum of Variance (USD)" fld="12" baseField="0" baseItem="0"/>
  </dataFields>
  <formats count="21">
    <format dxfId="77">
      <pivotArea field="2" type="button" dataOnly="0" labelOnly="1" outline="0"/>
    </format>
    <format dxfId="76">
      <pivotArea dataOnly="0" labelOnly="1" outline="0" fieldPosition="0">
        <references count="1">
          <reference field="4294967294" count="1">
            <x v="0"/>
          </reference>
        </references>
      </pivotArea>
    </format>
    <format dxfId="75">
      <pivotArea field="2" type="button" dataOnly="0" labelOnly="1" outline="0"/>
    </format>
    <format dxfId="74">
      <pivotArea dataOnly="0" labelOnly="1" outline="0" fieldPosition="0">
        <references count="1">
          <reference field="4294967294" count="1">
            <x v="0"/>
          </reference>
        </references>
      </pivotArea>
    </format>
    <format dxfId="73">
      <pivotArea field="2" type="button" dataOnly="0" labelOnly="1" outline="0"/>
    </format>
    <format dxfId="72">
      <pivotArea dataOnly="0" labelOnly="1" outline="0" fieldPosition="0">
        <references count="1">
          <reference field="4294967294" count="1">
            <x v="0"/>
          </reference>
        </references>
      </pivotArea>
    </format>
    <format dxfId="71">
      <pivotArea grandRow="1" outline="0" collapsedLevelsAreSubtotals="1" fieldPosition="0"/>
    </format>
    <format dxfId="70">
      <pivotArea dataOnly="0" labelOnly="1" grandRow="1" outline="0" fieldPosition="0"/>
    </format>
    <format dxfId="69">
      <pivotArea type="all" dataOnly="0" outline="0" fieldPosition="0"/>
    </format>
    <format dxfId="68">
      <pivotArea outline="0" collapsedLevelsAreSubtotals="1" fieldPosition="0"/>
    </format>
    <format dxfId="67">
      <pivotArea field="3" type="button" dataOnly="0" labelOnly="1" outline="0" axis="axisRow" fieldPosition="0"/>
    </format>
    <format dxfId="66">
      <pivotArea dataOnly="0" labelOnly="1" fieldPosition="0">
        <references count="1">
          <reference field="3" count="0"/>
        </references>
      </pivotArea>
    </format>
    <format dxfId="65">
      <pivotArea dataOnly="0" labelOnly="1" grandRow="1" outline="0" fieldPosition="0"/>
    </format>
    <format dxfId="64">
      <pivotArea dataOnly="0" labelOnly="1" outline="0" axis="axisValues" fieldPosition="0"/>
    </format>
    <format dxfId="63">
      <pivotArea field="3" type="button" dataOnly="0" labelOnly="1" outline="0" axis="axisRow" fieldPosition="0"/>
    </format>
    <format dxfId="62">
      <pivotArea dataOnly="0" labelOnly="1" outline="0" axis="axisValues" fieldPosition="0"/>
    </format>
    <format dxfId="61">
      <pivotArea field="3" type="button" dataOnly="0" labelOnly="1" outline="0" axis="axisRow" fieldPosition="0"/>
    </format>
    <format dxfId="60">
      <pivotArea dataOnly="0" labelOnly="1" outline="0" axis="axisValues" fieldPosition="0"/>
    </format>
    <format dxfId="59">
      <pivotArea dataOnly="0" labelOnly="1" fieldPosition="0">
        <references count="1">
          <reference field="3" count="0"/>
        </references>
      </pivotArea>
    </format>
    <format dxfId="58">
      <pivotArea grandRow="1" outline="0" collapsedLevelsAreSubtotals="1" fieldPosition="0"/>
    </format>
    <format dxfId="57">
      <pivotArea dataOnly="0" labelOnly="1" grandRow="1" outline="0" fieldPosition="0"/>
    </format>
  </formats>
  <chartFormats count="19">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 chart="7" format="13">
      <pivotArea type="data" outline="0" fieldPosition="0">
        <references count="2">
          <reference field="4294967294" count="1" selected="0">
            <x v="0"/>
          </reference>
          <reference field="3" count="1" selected="0">
            <x v="2"/>
          </reference>
        </references>
      </pivotArea>
    </chartFormat>
    <chartFormat chart="7" format="14">
      <pivotArea type="data" outline="0" fieldPosition="0">
        <references count="2">
          <reference field="4294967294" count="1" selected="0">
            <x v="0"/>
          </reference>
          <reference field="3" count="1" selected="0">
            <x v="3"/>
          </reference>
        </references>
      </pivotArea>
    </chartFormat>
    <chartFormat chart="7" format="15">
      <pivotArea type="data" outline="0" fieldPosition="0">
        <references count="2">
          <reference field="4294967294" count="1" selected="0">
            <x v="0"/>
          </reference>
          <reference field="3" count="1" selected="0">
            <x v="4"/>
          </reference>
        </references>
      </pivotArea>
    </chartFormat>
    <chartFormat chart="7" format="16">
      <pivotArea type="data" outline="0" fieldPosition="0">
        <references count="2">
          <reference field="4294967294" count="1" selected="0">
            <x v="0"/>
          </reference>
          <reference field="3" count="1" selected="0">
            <x v="5"/>
          </reference>
        </references>
      </pivotArea>
    </chartFormat>
    <chartFormat chart="7" format="17">
      <pivotArea type="data" outline="0" fieldPosition="0">
        <references count="2">
          <reference field="4294967294" count="1" selected="0">
            <x v="0"/>
          </reference>
          <reference field="3" count="1" selected="0">
            <x v="6"/>
          </reference>
        </references>
      </pivotArea>
    </chartFormat>
    <chartFormat chart="7" format="18">
      <pivotArea type="data" outline="0" fieldPosition="0">
        <references count="2">
          <reference field="4294967294" count="1" selected="0">
            <x v="0"/>
          </reference>
          <reference field="3" count="1" selected="0">
            <x v="7"/>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5" format="4">
      <pivotArea type="data" outline="0" fieldPosition="0">
        <references count="2">
          <reference field="4294967294" count="1" selected="0">
            <x v="0"/>
          </reference>
          <reference field="3" count="1" selected="0">
            <x v="3"/>
          </reference>
        </references>
      </pivotArea>
    </chartFormat>
    <chartFormat chart="5" format="5">
      <pivotArea type="data" outline="0" fieldPosition="0">
        <references count="2">
          <reference field="4294967294" count="1" selected="0">
            <x v="0"/>
          </reference>
          <reference field="3" count="1" selected="0">
            <x v="4"/>
          </reference>
        </references>
      </pivotArea>
    </chartFormat>
    <chartFormat chart="5" format="6">
      <pivotArea type="data" outline="0" fieldPosition="0">
        <references count="2">
          <reference field="4294967294" count="1" selected="0">
            <x v="0"/>
          </reference>
          <reference field="3" count="1" selected="0">
            <x v="5"/>
          </reference>
        </references>
      </pivotArea>
    </chartFormat>
    <chartFormat chart="5" format="7">
      <pivotArea type="data" outline="0" fieldPosition="0">
        <references count="2">
          <reference field="4294967294" count="1" selected="0">
            <x v="0"/>
          </reference>
          <reference field="3" count="1" selected="0">
            <x v="6"/>
          </reference>
        </references>
      </pivotArea>
    </chartFormat>
    <chartFormat chart="5" format="8">
      <pivotArea type="data" outline="0" fieldPosition="0">
        <references count="2">
          <reference field="4294967294" count="1" selected="0">
            <x v="0"/>
          </reference>
          <reference field="3" count="1" selected="0">
            <x v="7"/>
          </reference>
        </references>
      </pivotArea>
    </chartFormat>
  </chartFormats>
  <pivotTableStyleInfo name="PivotStyleLight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CD7E38-1F79-4D6A-8A5F-2554EE8325BB}" name="PivotTable4" cacheId="0" applyNumberFormats="0" applyBorderFormats="0" applyFontFormats="0" applyPatternFormats="0" applyAlignmentFormats="0" applyWidthHeightFormats="1" dataCaption="Values" updatedVersion="7" minRefreshableVersion="3" enableDrill="0" useAutoFormatting="1" itemPrintTitles="1" createdVersion="7" indent="0" outline="1" outlineData="1" multipleFieldFilters="0" chartFormat="7" rowHeaderCaption="Department" colHeaderCaption="Status">
  <location ref="H8:I13" firstHeaderRow="1" firstDataRow="1" firstDataCol="1"/>
  <pivotFields count="15">
    <pivotField showAll="0"/>
    <pivotField showAll="0"/>
    <pivotField showAll="0">
      <items count="9">
        <item x="0"/>
        <item x="5"/>
        <item x="3"/>
        <item x="7"/>
        <item x="1"/>
        <item x="6"/>
        <item x="4"/>
        <item x="2"/>
        <item t="default"/>
      </items>
    </pivotField>
    <pivotField showAll="0"/>
    <pivotField numFmtId="14" showAll="0"/>
    <pivotField numFmtId="14" showAll="0"/>
    <pivotField showAll="0">
      <items count="5">
        <item x="3"/>
        <item x="2"/>
        <item x="1"/>
        <item x="0"/>
        <item t="default"/>
      </items>
    </pivotField>
    <pivotField showAll="0"/>
    <pivotField showAll="0"/>
    <pivotField showAll="0">
      <items count="6">
        <item x="3"/>
        <item x="2"/>
        <item x="4"/>
        <item x="0"/>
        <item x="1"/>
        <item t="default"/>
      </items>
    </pivotField>
    <pivotField axis="axisRow" showAll="0">
      <items count="5">
        <item x="1"/>
        <item x="2"/>
        <item x="0"/>
        <item x="3"/>
        <item t="default"/>
      </items>
    </pivotField>
    <pivotField showAll="0">
      <items count="4">
        <item x="0"/>
        <item x="1"/>
        <item x="2"/>
        <item t="default"/>
      </items>
    </pivotField>
    <pivotField showAll="0"/>
    <pivotField dataField="1" showAll="0"/>
    <pivotField showAll="0"/>
  </pivotFields>
  <rowFields count="1">
    <field x="10"/>
  </rowFields>
  <rowItems count="5">
    <i>
      <x/>
    </i>
    <i>
      <x v="1"/>
    </i>
    <i>
      <x v="2"/>
    </i>
    <i>
      <x v="3"/>
    </i>
    <i t="grand">
      <x/>
    </i>
  </rowItems>
  <colItems count="1">
    <i/>
  </colItems>
  <dataFields count="1">
    <dataField name="Average of ROI (%)" fld="13" subtotal="average" baseField="10" baseItem="0"/>
  </dataFields>
  <formats count="18">
    <format dxfId="95">
      <pivotArea field="2" type="button" dataOnly="0" labelOnly="1" outline="0"/>
    </format>
    <format dxfId="94">
      <pivotArea dataOnly="0" labelOnly="1" grandCol="1" outline="0" fieldPosition="0"/>
    </format>
    <format dxfId="93">
      <pivotArea type="origin" dataOnly="0" labelOnly="1" outline="0" fieldPosition="0"/>
    </format>
    <format dxfId="92">
      <pivotArea field="6" type="button" dataOnly="0" labelOnly="1" outline="0"/>
    </format>
    <format dxfId="91">
      <pivotArea field="2" type="button" dataOnly="0" labelOnly="1" outline="0"/>
    </format>
    <format dxfId="90">
      <pivotArea dataOnly="0" labelOnly="1" grandCol="1" outline="0" fieldPosition="0"/>
    </format>
    <format dxfId="89">
      <pivotArea grandRow="1" outline="0" collapsedLevelsAreSubtotals="1" fieldPosition="0"/>
    </format>
    <format dxfId="88">
      <pivotArea dataOnly="0" labelOnly="1" grandRow="1" outline="0" fieldPosition="0"/>
    </format>
    <format dxfId="87">
      <pivotArea type="all" dataOnly="0" outline="0" fieldPosition="0"/>
    </format>
    <format dxfId="86">
      <pivotArea outline="0" collapsedLevelsAreSubtotals="1" fieldPosition="0"/>
    </format>
    <format dxfId="85">
      <pivotArea field="10" type="button" dataOnly="0" labelOnly="1" outline="0" axis="axisRow" fieldPosition="0"/>
    </format>
    <format dxfId="84">
      <pivotArea dataOnly="0" labelOnly="1" grandRow="1" outline="0" fieldPosition="0"/>
    </format>
    <format dxfId="83">
      <pivotArea dataOnly="0" labelOnly="1" outline="0" axis="axisValues" fieldPosition="0"/>
    </format>
    <format dxfId="82">
      <pivotArea field="10" type="button" dataOnly="0" labelOnly="1" outline="0" axis="axisRow" fieldPosition="0"/>
    </format>
    <format dxfId="81">
      <pivotArea field="10" type="button" dataOnly="0" labelOnly="1" outline="0" axis="axisRow" fieldPosition="0"/>
    </format>
    <format dxfId="80">
      <pivotArea dataOnly="0" labelOnly="1" outline="0" axis="axisValues" fieldPosition="0"/>
    </format>
    <format dxfId="79">
      <pivotArea grandRow="1" outline="0" collapsedLevelsAreSubtotals="1" fieldPosition="0"/>
    </format>
    <format dxfId="78">
      <pivotArea dataOnly="0" labelOnly="1" grandRow="1" outline="0" fieldPosition="0"/>
    </format>
  </formats>
  <chartFormats count="2">
    <chartFormat chart="6" format="5"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02DEA2-DEF9-41EB-B808-EB2DF725A5D0}" name="PivotTable3" cacheId="0" applyNumberFormats="0" applyBorderFormats="0" applyFontFormats="0" applyPatternFormats="0" applyAlignmentFormats="0" applyWidthHeightFormats="1" dataCaption="Values" updatedVersion="7" minRefreshableVersion="3" enableDrill="0" useAutoFormatting="1" itemPrintTitles="1" createdVersion="7" indent="0" outline="1" outlineData="1" multipleFieldFilters="0" chartFormat="3" rowHeaderCaption="Department">
  <location ref="G3:I4" firstHeaderRow="0" firstDataRow="1" firstDataCol="0"/>
  <pivotFields count="15">
    <pivotField showAll="0"/>
    <pivotField showAll="0"/>
    <pivotField showAll="0">
      <items count="9">
        <item x="0"/>
        <item x="5"/>
        <item x="3"/>
        <item x="7"/>
        <item x="1"/>
        <item x="6"/>
        <item x="4"/>
        <item x="2"/>
        <item t="default"/>
      </items>
    </pivotField>
    <pivotField showAll="0"/>
    <pivotField numFmtId="14" showAll="0"/>
    <pivotField numFmtId="14" showAll="0"/>
    <pivotField showAll="0">
      <items count="5">
        <item x="3"/>
        <item x="2"/>
        <item x="1"/>
        <item x="0"/>
        <item t="default"/>
      </items>
    </pivotField>
    <pivotField dataField="1" showAll="0"/>
    <pivotField dataField="1" showAll="0"/>
    <pivotField showAll="0">
      <items count="6">
        <item x="3"/>
        <item x="2"/>
        <item x="4"/>
        <item x="0"/>
        <item x="1"/>
        <item t="default"/>
      </items>
    </pivotField>
    <pivotField showAll="0">
      <items count="5">
        <item x="1"/>
        <item x="2"/>
        <item x="0"/>
        <item x="3"/>
        <item t="default"/>
      </items>
    </pivotField>
    <pivotField showAll="0">
      <items count="4">
        <item x="0"/>
        <item x="1"/>
        <item x="2"/>
        <item t="default"/>
      </items>
    </pivotField>
    <pivotField showAll="0"/>
    <pivotField dataField="1" showAll="0"/>
    <pivotField showAll="0"/>
  </pivotFields>
  <rowItems count="1">
    <i/>
  </rowItems>
  <colFields count="1">
    <field x="-2"/>
  </colFields>
  <colItems count="3">
    <i>
      <x/>
    </i>
    <i i="1">
      <x v="1"/>
    </i>
    <i i="2">
      <x v="2"/>
    </i>
  </colItems>
  <dataFields count="3">
    <dataField name="Total Allocated Budget (USD)" fld="7" baseField="2" baseItem="0"/>
    <dataField name="Total Actual Spending (USD)" fld="8" baseField="2" baseItem="0"/>
    <dataField name="Average of ROI (%)" fld="13" subtotal="average" baseField="0" baseItem="1"/>
  </dataFields>
  <formats count="18">
    <format dxfId="113">
      <pivotArea field="2" type="button" dataOnly="0" labelOnly="1" outline="0"/>
    </format>
    <format dxfId="112">
      <pivotArea dataOnly="0" labelOnly="1" outline="0" fieldPosition="0">
        <references count="1">
          <reference field="4294967294" count="2">
            <x v="0"/>
            <x v="1"/>
          </reference>
        </references>
      </pivotArea>
    </format>
    <format dxfId="111">
      <pivotArea field="2" type="button" dataOnly="0" labelOnly="1" outline="0"/>
    </format>
    <format dxfId="110">
      <pivotArea dataOnly="0" labelOnly="1" outline="0" fieldPosition="0">
        <references count="1">
          <reference field="4294967294" count="2">
            <x v="0"/>
            <x v="1"/>
          </reference>
        </references>
      </pivotArea>
    </format>
    <format dxfId="109">
      <pivotArea field="2" type="button" dataOnly="0" labelOnly="1" outline="0"/>
    </format>
    <format dxfId="108">
      <pivotArea dataOnly="0" labelOnly="1" outline="0" fieldPosition="0">
        <references count="1">
          <reference field="4294967294" count="2">
            <x v="0"/>
            <x v="1"/>
          </reference>
        </references>
      </pivotArea>
    </format>
    <format dxfId="107">
      <pivotArea grandRow="1" outline="0" collapsedLevelsAreSubtotals="1" fieldPosition="0"/>
    </format>
    <format dxfId="106">
      <pivotArea dataOnly="0" labelOnly="1" grandRow="1" outline="0" fieldPosition="0"/>
    </format>
    <format dxfId="105">
      <pivotArea type="all" dataOnly="0" outline="0" fieldPosition="0"/>
    </format>
    <format dxfId="104">
      <pivotArea outline="0" collapsedLevelsAreSubtotals="1" fieldPosition="0"/>
    </format>
    <format dxfId="103">
      <pivotArea dataOnly="0" labelOnly="1" outline="0" fieldPosition="0">
        <references count="1">
          <reference field="4294967294" count="2">
            <x v="0"/>
            <x v="1"/>
          </reference>
        </references>
      </pivotArea>
    </format>
    <format dxfId="102">
      <pivotArea outline="0" collapsedLevelsAreSubtotals="1" fieldPosition="0"/>
    </format>
    <format dxfId="101">
      <pivotArea outline="0" collapsedLevelsAreSubtotals="1" fieldPosition="0"/>
    </format>
    <format dxfId="100">
      <pivotArea dataOnly="0" labelOnly="1" outline="0" fieldPosition="0">
        <references count="1">
          <reference field="4294967294" count="2">
            <x v="0"/>
            <x v="1"/>
          </reference>
        </references>
      </pivotArea>
    </format>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dataOnly="0" labelOnly="1" outline="0" fieldPosition="0">
        <references count="1">
          <reference field="4294967294"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D33D152-00BF-465A-94AC-EF8529D0F4B8}" sourceName="Department">
  <pivotTables>
    <pivotTable tabId="2" name="PivotTable1"/>
    <pivotTable tabId="2" name="PivotTable2"/>
    <pivotTable tabId="2" name="PivotTable3"/>
    <pivotTable tabId="2" name="PivotTable4"/>
    <pivotTable tabId="2" name="PivotTable5"/>
  </pivotTables>
  <data>
    <tabular pivotCacheId="1613700846">
      <items count="8">
        <i x="0" s="1"/>
        <i x="5" s="1"/>
        <i x="3" s="1"/>
        <i x="7" s="1"/>
        <i x="1" s="1"/>
        <i x="6"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Status" xr10:uid="{3CF5221F-2D61-4221-970B-F15890FFC15C}" sourceName="Project Status">
  <pivotTables>
    <pivotTable tabId="2" name="PivotTable2"/>
    <pivotTable tabId="2" name="PivotTable1"/>
    <pivotTable tabId="2" name="PivotTable3"/>
    <pivotTable tabId="2" name="PivotTable4"/>
    <pivotTable tabId="2" name="PivotTable5"/>
  </pivotTables>
  <data>
    <tabular pivotCacheId="1613700846">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AFA3FE-DC35-4A37-9D12-44A481D6C878}" sourceName="Region">
  <pivotTables>
    <pivotTable tabId="2" name="PivotTable2"/>
    <pivotTable tabId="2" name="PivotTable1"/>
    <pivotTable tabId="2" name="PivotTable3"/>
    <pivotTable tabId="2" name="PivotTable4"/>
    <pivotTable tabId="2" name="PivotTable5"/>
  </pivotTables>
  <data>
    <tabular pivotCacheId="1613700846">
      <items count="5">
        <i x="3" s="1"/>
        <i x="2"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125A182B-09BF-40F6-9E03-C297A81314E4}" sourceName="Quarter">
  <pivotTables>
    <pivotTable tabId="2" name="PivotTable1"/>
    <pivotTable tabId="2" name="PivotTable2"/>
    <pivotTable tabId="2" name="PivotTable3"/>
    <pivotTable tabId="2" name="PivotTable4"/>
    <pivotTable tabId="2" name="PivotTable5"/>
  </pivotTables>
  <data>
    <tabular pivotCacheId="1613700846">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7FD1B0C-79DD-46C0-B384-8F60D3FF7AE8}" sourceName="Year">
  <pivotTables>
    <pivotTable tabId="2" name="PivotTable1"/>
    <pivotTable tabId="2" name="PivotTable2"/>
    <pivotTable tabId="2" name="PivotTable3"/>
    <pivotTable tabId="2" name="PivotTable4"/>
    <pivotTable tabId="2" name="PivotTable5"/>
  </pivotTables>
  <data>
    <tabular pivotCacheId="161370084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D913538-A3E1-4F1E-975E-FAEC706BA50B}" cache="Slicer_Department" caption="Department" style="SlicerStyleLight4" rowHeight="241300"/>
  <slicer name="Project Status" xr10:uid="{9FD269B6-0D80-443A-8C55-62F592B5CCF4}" cache="Slicer_Project_Status" caption="Project Status" style="SlicerStyleLight6" rowHeight="241300"/>
  <slicer name="Region" xr10:uid="{D54DEC3E-D920-4B8D-B9BD-87D0B656ABE2}" cache="Slicer_Region" caption="Region" rowHeight="241300"/>
  <slicer name="Quarter" xr10:uid="{3F37F2C1-215C-44BA-B04E-10F498B1B6C4}" cache="Slicer_Quarter1" caption="Quarter" rowHeight="241300"/>
  <slicer name="Year" xr10:uid="{F0156692-5F68-4BAF-8C0F-8E46709F44B6}"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7319349-2351-423F-87F3-3562F969E37C}" cache="Slicer_Department" caption="Department" style="SlicerStyleDark4" rowHeight="241300"/>
  <slicer name="Project Status 1" xr10:uid="{19D964DE-2B0A-4C80-878E-04B4BA35D2B1}" cache="Slicer_Project_Status" caption="Project Status" style="SlicerStyleDark2" rowHeight="241300"/>
  <slicer name="Region 1" xr10:uid="{CEEC484C-26EC-4DF3-BE42-93124F68DD40}" cache="Slicer_Region" caption="Region" columnCount="2" style="SlicerStyleDark6" rowHeight="241300"/>
  <slicer name="Quarter 2" xr10:uid="{1DE4A2C3-EFBC-47DC-AB20-1DC310268819}" cache="Slicer_Quarter1" caption="Quarter" columnCount="2" style="SlicerStyleDark5" rowHeight="241300"/>
  <slicer name="Year 1" xr10:uid="{78CE2C91-AED7-4DDA-A251-AF116DD5F8DB}" cache="Slicer_Year" caption="Year" columnCount="3"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702FAA-2EB9-40BF-93B2-B0A3D5E87685}" name="Table1" displayName="Table1" ref="A1:O3001" totalsRowShown="0" headerRowDxfId="132" headerRowBorderDxfId="131" tableBorderDxfId="130" totalsRowBorderDxfId="129">
  <autoFilter ref="A1:O3001" xr:uid="{63702FAA-2EB9-40BF-93B2-B0A3D5E87685}"/>
  <tableColumns count="15">
    <tableColumn id="1" xr3:uid="{F567FB3D-893E-4D38-AC5D-B80ADBCBB8E7}" name="Project ID" dataDxfId="128"/>
    <tableColumn id="2" xr3:uid="{CA65E4A4-E61E-4E30-AE10-DCDEE9403692}" name="Project Name" dataDxfId="127"/>
    <tableColumn id="3" xr3:uid="{9AF3EA49-814E-48F0-8B8A-7F97DA776152}" name="Department" dataDxfId="126"/>
    <tableColumn id="4" xr3:uid="{8911FA04-7210-4A78-B96C-4148D8BB3CF7}" name="Manager Name" dataDxfId="125"/>
    <tableColumn id="5" xr3:uid="{E2EC7D0A-AE32-4BAB-B682-479EA0CA362B}" name="Start Date" dataDxfId="124"/>
    <tableColumn id="6" xr3:uid="{DA5099DF-3AC2-4C5F-99AD-1842195BBA48}" name="End Date" dataDxfId="123"/>
    <tableColumn id="7" xr3:uid="{B0B02659-6C93-4AA8-BEA7-F9D4263B7B7A}" name="Project Status" dataDxfId="122"/>
    <tableColumn id="8" xr3:uid="{8379A57D-11AE-4782-BF2F-6C8A1F57092F}" name="Allocated Budget (USD)" dataDxfId="121"/>
    <tableColumn id="9" xr3:uid="{E61810DE-72F1-4E5C-9CD2-CC4C5E3B6B3B}" name="Actual Spending (USD)" dataDxfId="120"/>
    <tableColumn id="10" xr3:uid="{62D0C4C0-DCEA-4678-9435-D72FD0A63370}" name="Region" dataDxfId="119"/>
    <tableColumn id="11" xr3:uid="{7C8ECB86-F16B-4035-AF0A-8F15DA2F682E}" name="Quarter" dataDxfId="118"/>
    <tableColumn id="12" xr3:uid="{C08A5DB0-B6B4-44AF-9EFA-7D36FD76325C}" name="Year" dataDxfId="117"/>
    <tableColumn id="13" xr3:uid="{D02E2DEC-B5FD-41C2-AE6D-1722A4AF73B0}" name="Variance (USD)" dataDxfId="116"/>
    <tableColumn id="14" xr3:uid="{FD375185-D080-47DB-8001-15B5C5B636B7}" name="ROI (%)" dataDxfId="115">
      <calculatedColumnFormula xml:space="preserve"> (Table1[[#This Row],[Variance (USD)]] / Table1[[#This Row],[Actual Spending (USD)]]) * 100</calculatedColumnFormula>
    </tableColumn>
    <tableColumn id="15" xr3:uid="{346EE198-CE8A-4CBA-94A5-F9DCB1EE50AB}" name="Remarks / Notes" dataDxfId="114"/>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Date" xr10:uid="{776B7B08-0ED8-498C-BE97-B5AF92FFE01A}" sourceName="Start Date">
  <pivotTables>
    <pivotTable tabId="2" name="PivotTable1"/>
  </pivotTables>
  <state minimalRefreshVersion="6" lastRefreshVersion="6" pivotCacheId="1613700846" filterType="unknown">
    <bounds startDate="2023-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nd_Date" xr10:uid="{7B690D92-CB85-4328-8258-5180FD23F4FF}" sourceName="End Date">
  <pivotTables>
    <pivotTable tabId="2" name="PivotTable1"/>
  </pivotTables>
  <state minimalRefreshVersion="6" lastRefreshVersion="6" pivotCacheId="1613700846"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 Date" xr10:uid="{CBDED8A6-4ADA-4917-A17D-2B35A1663644}" cache="NativeTimeline_Start_Date" caption="Start Date" level="2" selectionLevel="2" scrollPosition="2025-06-07T00:00:00"/>
  <timeline name="End Date" xr10:uid="{E3D0E49E-6472-4267-9504-4F33FFD8B725}" cache="NativeTimeline_End_Date" caption="End Date" level="2" selectionLevel="2" scrollPosition="2026-06-07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01"/>
  <sheetViews>
    <sheetView topLeftCell="C1" workbookViewId="0">
      <selection activeCell="P1" sqref="P1"/>
    </sheetView>
  </sheetViews>
  <sheetFormatPr defaultRowHeight="15" x14ac:dyDescent="0.25"/>
  <cols>
    <col min="1" max="1" width="14.140625" bestFit="1" customWidth="1"/>
    <col min="2" max="2" width="17.7109375" bestFit="1" customWidth="1"/>
    <col min="3" max="3" width="16.28515625" bestFit="1" customWidth="1"/>
    <col min="4" max="4" width="19.28515625" bestFit="1" customWidth="1"/>
    <col min="5" max="6" width="18.28515625" style="1" bestFit="1" customWidth="1"/>
    <col min="7" max="7" width="17.85546875" bestFit="1" customWidth="1"/>
    <col min="8" max="8" width="26.7109375" bestFit="1" customWidth="1"/>
    <col min="9" max="9" width="25.7109375" bestFit="1" customWidth="1"/>
    <col min="10" max="10" width="11.7109375" bestFit="1" customWidth="1"/>
    <col min="11" max="11" width="12.42578125" bestFit="1" customWidth="1"/>
    <col min="12" max="12" width="9.5703125" bestFit="1" customWidth="1"/>
    <col min="13" max="13" width="19" bestFit="1" customWidth="1"/>
    <col min="14" max="14" width="12.140625" bestFit="1" customWidth="1"/>
    <col min="15" max="15" width="27.85546875" bestFit="1" customWidth="1"/>
  </cols>
  <sheetData>
    <row r="1" spans="1:15" x14ac:dyDescent="0.25">
      <c r="A1" s="6" t="s">
        <v>0</v>
      </c>
      <c r="B1" s="7" t="s">
        <v>1</v>
      </c>
      <c r="C1" s="7" t="s">
        <v>2</v>
      </c>
      <c r="D1" s="7" t="s">
        <v>3</v>
      </c>
      <c r="E1" s="8" t="s">
        <v>4</v>
      </c>
      <c r="F1" s="8" t="s">
        <v>5</v>
      </c>
      <c r="G1" s="7" t="s">
        <v>6</v>
      </c>
      <c r="H1" s="7" t="s">
        <v>7</v>
      </c>
      <c r="I1" s="7" t="s">
        <v>8</v>
      </c>
      <c r="J1" s="7" t="s">
        <v>9</v>
      </c>
      <c r="K1" s="7" t="s">
        <v>10</v>
      </c>
      <c r="L1" s="7" t="s">
        <v>11</v>
      </c>
      <c r="M1" s="7" t="s">
        <v>12</v>
      </c>
      <c r="N1" s="7" t="s">
        <v>13</v>
      </c>
      <c r="O1" s="9" t="s">
        <v>14</v>
      </c>
    </row>
    <row r="2" spans="1:15" x14ac:dyDescent="0.25">
      <c r="A2" s="4" t="s">
        <v>15</v>
      </c>
      <c r="B2" s="2" t="s">
        <v>3015</v>
      </c>
      <c r="C2" s="2" t="s">
        <v>3868</v>
      </c>
      <c r="D2" s="2" t="s">
        <v>3876</v>
      </c>
      <c r="E2" s="3">
        <v>45204</v>
      </c>
      <c r="F2" s="3">
        <v>45751</v>
      </c>
      <c r="G2" s="2" t="s">
        <v>3884</v>
      </c>
      <c r="H2" s="2">
        <v>779391</v>
      </c>
      <c r="I2" s="2">
        <v>538365</v>
      </c>
      <c r="J2" s="2" t="s">
        <v>3888</v>
      </c>
      <c r="K2" s="2" t="s">
        <v>3893</v>
      </c>
      <c r="L2" s="2">
        <v>2023</v>
      </c>
      <c r="M2" s="2">
        <v>241026</v>
      </c>
      <c r="N2" s="2">
        <f xml:space="preserve"> (Table1[[#This Row],[Variance (USD)]] / Table1[[#This Row],[Actual Spending (USD)]]) * 100</f>
        <v>44.769998049650326</v>
      </c>
      <c r="O2" s="5" t="s">
        <v>3897</v>
      </c>
    </row>
    <row r="3" spans="1:15" x14ac:dyDescent="0.25">
      <c r="A3" s="4" t="s">
        <v>16</v>
      </c>
      <c r="B3" s="2" t="s">
        <v>3016</v>
      </c>
      <c r="C3" s="2" t="s">
        <v>3869</v>
      </c>
      <c r="D3" s="2" t="s">
        <v>3877</v>
      </c>
      <c r="E3" s="3">
        <v>45600</v>
      </c>
      <c r="F3" s="3">
        <v>45749</v>
      </c>
      <c r="G3" s="2" t="s">
        <v>3884</v>
      </c>
      <c r="H3" s="2">
        <v>280461</v>
      </c>
      <c r="I3" s="2">
        <v>41093</v>
      </c>
      <c r="J3" s="2" t="s">
        <v>3889</v>
      </c>
      <c r="K3" s="2" t="s">
        <v>3894</v>
      </c>
      <c r="L3" s="2">
        <v>2023</v>
      </c>
      <c r="M3" s="2">
        <v>239368</v>
      </c>
      <c r="N3" s="2">
        <f xml:space="preserve"> (Table1[[#This Row],[Variance (USD)]] / Table1[[#This Row],[Actual Spending (USD)]]) * 100</f>
        <v>582.50310271822445</v>
      </c>
      <c r="O3" s="5" t="s">
        <v>3897</v>
      </c>
    </row>
    <row r="4" spans="1:15" x14ac:dyDescent="0.25">
      <c r="A4" s="4" t="s">
        <v>17</v>
      </c>
      <c r="B4" s="2" t="s">
        <v>3017</v>
      </c>
      <c r="C4" s="2" t="s">
        <v>3870</v>
      </c>
      <c r="D4" s="2" t="s">
        <v>3876</v>
      </c>
      <c r="E4" s="3">
        <v>45365</v>
      </c>
      <c r="F4" s="3">
        <v>45334</v>
      </c>
      <c r="G4" s="2" t="s">
        <v>3884</v>
      </c>
      <c r="H4" s="2">
        <v>638345</v>
      </c>
      <c r="I4" s="2">
        <v>1029540</v>
      </c>
      <c r="J4" s="2" t="s">
        <v>3890</v>
      </c>
      <c r="K4" s="2" t="s">
        <v>3895</v>
      </c>
      <c r="L4" s="2">
        <v>2024</v>
      </c>
      <c r="M4" s="2">
        <v>-391195</v>
      </c>
      <c r="N4" s="2">
        <f xml:space="preserve"> (Table1[[#This Row],[Variance (USD)]] / Table1[[#This Row],[Actual Spending (USD)]]) * 100</f>
        <v>-37.997066651125742</v>
      </c>
      <c r="O4" s="5" t="s">
        <v>3897</v>
      </c>
    </row>
    <row r="5" spans="1:15" x14ac:dyDescent="0.25">
      <c r="A5" s="4" t="s">
        <v>18</v>
      </c>
      <c r="B5" s="2" t="s">
        <v>3018</v>
      </c>
      <c r="C5" s="2" t="s">
        <v>3871</v>
      </c>
      <c r="D5" s="2" t="s">
        <v>3878</v>
      </c>
      <c r="E5" s="3">
        <v>45083</v>
      </c>
      <c r="F5" s="3">
        <v>45877</v>
      </c>
      <c r="G5" s="2" t="s">
        <v>3884</v>
      </c>
      <c r="H5" s="2">
        <v>915041</v>
      </c>
      <c r="I5" s="2">
        <v>102043</v>
      </c>
      <c r="J5" s="2" t="s">
        <v>3891</v>
      </c>
      <c r="K5" s="2" t="s">
        <v>3893</v>
      </c>
      <c r="L5" s="2">
        <v>2023</v>
      </c>
      <c r="M5" s="2">
        <v>812998</v>
      </c>
      <c r="N5" s="2">
        <f xml:space="preserve"> (Table1[[#This Row],[Variance (USD)]] / Table1[[#This Row],[Actual Spending (USD)]]) * 100</f>
        <v>796.7209901708103</v>
      </c>
      <c r="O5" s="5" t="s">
        <v>3897</v>
      </c>
    </row>
    <row r="6" spans="1:15" x14ac:dyDescent="0.25">
      <c r="A6" s="4" t="s">
        <v>19</v>
      </c>
      <c r="B6" s="2" t="s">
        <v>3019</v>
      </c>
      <c r="C6" s="2" t="s">
        <v>3871</v>
      </c>
      <c r="D6" s="2" t="s">
        <v>3879</v>
      </c>
      <c r="E6" s="3">
        <v>45348</v>
      </c>
      <c r="F6" s="3">
        <v>45569</v>
      </c>
      <c r="G6" s="2" t="s">
        <v>3885</v>
      </c>
      <c r="H6" s="2">
        <v>782267</v>
      </c>
      <c r="I6" s="2">
        <v>416678</v>
      </c>
      <c r="J6" s="2" t="s">
        <v>3888</v>
      </c>
      <c r="K6" s="2" t="s">
        <v>3896</v>
      </c>
      <c r="L6" s="2">
        <v>2023</v>
      </c>
      <c r="M6" s="2">
        <v>365589</v>
      </c>
      <c r="N6" s="2">
        <f xml:space="preserve"> (Table1[[#This Row],[Variance (USD)]] / Table1[[#This Row],[Actual Spending (USD)]]) * 100</f>
        <v>87.738973499920803</v>
      </c>
      <c r="O6" s="5" t="s">
        <v>3898</v>
      </c>
    </row>
    <row r="7" spans="1:15" x14ac:dyDescent="0.25">
      <c r="A7" s="4" t="s">
        <v>20</v>
      </c>
      <c r="B7" s="2" t="s">
        <v>3020</v>
      </c>
      <c r="C7" s="2" t="s">
        <v>3869</v>
      </c>
      <c r="D7" s="2" t="s">
        <v>3878</v>
      </c>
      <c r="E7" s="3">
        <v>45177</v>
      </c>
      <c r="F7" s="3">
        <v>45421</v>
      </c>
      <c r="G7" s="2" t="s">
        <v>3884</v>
      </c>
      <c r="H7" s="2">
        <v>264202</v>
      </c>
      <c r="I7" s="2">
        <v>919297</v>
      </c>
      <c r="J7" s="2" t="s">
        <v>3892</v>
      </c>
      <c r="K7" s="2" t="s">
        <v>3895</v>
      </c>
      <c r="L7" s="2">
        <v>2025</v>
      </c>
      <c r="M7" s="2">
        <v>-655095</v>
      </c>
      <c r="N7" s="2">
        <f xml:space="preserve"> (Table1[[#This Row],[Variance (USD)]] / Table1[[#This Row],[Actual Spending (USD)]]) * 100</f>
        <v>-71.260430524629143</v>
      </c>
      <c r="O7" s="5" t="s">
        <v>3897</v>
      </c>
    </row>
    <row r="8" spans="1:15" x14ac:dyDescent="0.25">
      <c r="A8" s="4" t="s">
        <v>21</v>
      </c>
      <c r="B8" s="2" t="s">
        <v>3021</v>
      </c>
      <c r="C8" s="2" t="s">
        <v>3871</v>
      </c>
      <c r="D8" s="2" t="s">
        <v>3876</v>
      </c>
      <c r="E8" s="3">
        <v>45535</v>
      </c>
      <c r="F8" s="3">
        <v>45641</v>
      </c>
      <c r="G8" s="2" t="s">
        <v>3886</v>
      </c>
      <c r="H8" s="2">
        <v>192298</v>
      </c>
      <c r="I8" s="2">
        <v>513263</v>
      </c>
      <c r="J8" s="2" t="s">
        <v>3891</v>
      </c>
      <c r="K8" s="2" t="s">
        <v>3894</v>
      </c>
      <c r="L8" s="2">
        <v>2025</v>
      </c>
      <c r="M8" s="2">
        <v>-320965</v>
      </c>
      <c r="N8" s="2">
        <f xml:space="preserve"> (Table1[[#This Row],[Variance (USD)]] / Table1[[#This Row],[Actual Spending (USD)]]) * 100</f>
        <v>-62.534217350559075</v>
      </c>
      <c r="O8" s="5" t="s">
        <v>3899</v>
      </c>
    </row>
    <row r="9" spans="1:15" x14ac:dyDescent="0.25">
      <c r="A9" s="4" t="s">
        <v>22</v>
      </c>
      <c r="B9" s="2" t="s">
        <v>3022</v>
      </c>
      <c r="C9" s="2" t="s">
        <v>3871</v>
      </c>
      <c r="D9" s="2" t="s">
        <v>3877</v>
      </c>
      <c r="E9" s="3">
        <v>45456</v>
      </c>
      <c r="F9" s="3">
        <v>45997</v>
      </c>
      <c r="G9" s="2" t="s">
        <v>3884</v>
      </c>
      <c r="H9" s="2">
        <v>697396</v>
      </c>
      <c r="I9" s="2">
        <v>587715</v>
      </c>
      <c r="J9" s="2" t="s">
        <v>3888</v>
      </c>
      <c r="K9" s="2" t="s">
        <v>3895</v>
      </c>
      <c r="L9" s="2">
        <v>2025</v>
      </c>
      <c r="M9" s="2">
        <v>109681</v>
      </c>
      <c r="N9" s="2">
        <f xml:space="preserve"> (Table1[[#This Row],[Variance (USD)]] / Table1[[#This Row],[Actual Spending (USD)]]) * 100</f>
        <v>18.662276783815283</v>
      </c>
      <c r="O9" s="5" t="s">
        <v>3897</v>
      </c>
    </row>
    <row r="10" spans="1:15" x14ac:dyDescent="0.25">
      <c r="A10" s="4" t="s">
        <v>23</v>
      </c>
      <c r="B10" s="2" t="s">
        <v>3023</v>
      </c>
      <c r="C10" s="2" t="s">
        <v>3871</v>
      </c>
      <c r="D10" s="2" t="s">
        <v>3880</v>
      </c>
      <c r="E10" s="3">
        <v>45253</v>
      </c>
      <c r="F10" s="3">
        <v>45835</v>
      </c>
      <c r="G10" s="2" t="s">
        <v>3884</v>
      </c>
      <c r="H10" s="2">
        <v>846478</v>
      </c>
      <c r="I10" s="2">
        <v>946281</v>
      </c>
      <c r="J10" s="2" t="s">
        <v>3892</v>
      </c>
      <c r="K10" s="2" t="s">
        <v>3893</v>
      </c>
      <c r="L10" s="2">
        <v>2023</v>
      </c>
      <c r="M10" s="2">
        <v>-99803</v>
      </c>
      <c r="N10" s="2">
        <f xml:space="preserve"> (Table1[[#This Row],[Variance (USD)]] / Table1[[#This Row],[Actual Spending (USD)]]) * 100</f>
        <v>-10.546867156795919</v>
      </c>
      <c r="O10" s="5" t="s">
        <v>3897</v>
      </c>
    </row>
    <row r="11" spans="1:15" x14ac:dyDescent="0.25">
      <c r="A11" s="4" t="s">
        <v>24</v>
      </c>
      <c r="B11" s="2" t="s">
        <v>3024</v>
      </c>
      <c r="C11" s="2" t="s">
        <v>3872</v>
      </c>
      <c r="D11" s="2" t="s">
        <v>3881</v>
      </c>
      <c r="E11" s="3">
        <v>45023</v>
      </c>
      <c r="F11" s="3">
        <v>45397</v>
      </c>
      <c r="G11" s="2" t="s">
        <v>3886</v>
      </c>
      <c r="H11" s="2">
        <v>296027</v>
      </c>
      <c r="I11" s="2">
        <v>401983</v>
      </c>
      <c r="J11" s="2" t="s">
        <v>3889</v>
      </c>
      <c r="K11" s="2" t="s">
        <v>3895</v>
      </c>
      <c r="L11" s="2">
        <v>2023</v>
      </c>
      <c r="M11" s="2">
        <v>-105956</v>
      </c>
      <c r="N11" s="2">
        <f xml:space="preserve"> (Table1[[#This Row],[Variance (USD)]] / Table1[[#This Row],[Actual Spending (USD)]]) * 100</f>
        <v>-26.358328586034734</v>
      </c>
      <c r="O11" s="5" t="s">
        <v>3899</v>
      </c>
    </row>
    <row r="12" spans="1:15" x14ac:dyDescent="0.25">
      <c r="A12" s="4" t="s">
        <v>25</v>
      </c>
      <c r="B12" s="2" t="s">
        <v>3025</v>
      </c>
      <c r="C12" s="2" t="s">
        <v>3870</v>
      </c>
      <c r="D12" s="2" t="s">
        <v>3881</v>
      </c>
      <c r="E12" s="3">
        <v>45439</v>
      </c>
      <c r="F12" s="3">
        <v>46007</v>
      </c>
      <c r="G12" s="2" t="s">
        <v>3885</v>
      </c>
      <c r="H12" s="2">
        <v>953894</v>
      </c>
      <c r="I12" s="2">
        <v>1068991</v>
      </c>
      <c r="J12" s="2" t="s">
        <v>3892</v>
      </c>
      <c r="K12" s="2" t="s">
        <v>3895</v>
      </c>
      <c r="L12" s="2">
        <v>2023</v>
      </c>
      <c r="M12" s="2">
        <v>-115097</v>
      </c>
      <c r="N12" s="2">
        <f xml:space="preserve"> (Table1[[#This Row],[Variance (USD)]] / Table1[[#This Row],[Actual Spending (USD)]]) * 100</f>
        <v>-10.76688204110231</v>
      </c>
      <c r="O12" s="5" t="s">
        <v>3898</v>
      </c>
    </row>
    <row r="13" spans="1:15" x14ac:dyDescent="0.25">
      <c r="A13" s="4" t="s">
        <v>26</v>
      </c>
      <c r="B13" s="2" t="s">
        <v>3026</v>
      </c>
      <c r="C13" s="2" t="s">
        <v>3873</v>
      </c>
      <c r="D13" s="2" t="s">
        <v>3881</v>
      </c>
      <c r="E13" s="3">
        <v>45142</v>
      </c>
      <c r="F13" s="3">
        <v>45292</v>
      </c>
      <c r="G13" s="2" t="s">
        <v>3884</v>
      </c>
      <c r="H13" s="2">
        <v>945777</v>
      </c>
      <c r="I13" s="2">
        <v>1061510</v>
      </c>
      <c r="J13" s="2" t="s">
        <v>3891</v>
      </c>
      <c r="K13" s="2" t="s">
        <v>3896</v>
      </c>
      <c r="L13" s="2">
        <v>2024</v>
      </c>
      <c r="M13" s="2">
        <v>-115733</v>
      </c>
      <c r="N13" s="2">
        <f xml:space="preserve"> (Table1[[#This Row],[Variance (USD)]] / Table1[[#This Row],[Actual Spending (USD)]]) * 100</f>
        <v>-10.902676376105735</v>
      </c>
      <c r="O13" s="5" t="s">
        <v>3897</v>
      </c>
    </row>
    <row r="14" spans="1:15" x14ac:dyDescent="0.25">
      <c r="A14" s="4" t="s">
        <v>27</v>
      </c>
      <c r="B14" s="2" t="s">
        <v>3027</v>
      </c>
      <c r="C14" s="2" t="s">
        <v>3870</v>
      </c>
      <c r="D14" s="2" t="s">
        <v>3880</v>
      </c>
      <c r="E14" s="3">
        <v>45058</v>
      </c>
      <c r="F14" s="3">
        <v>45875</v>
      </c>
      <c r="G14" s="2" t="s">
        <v>3886</v>
      </c>
      <c r="H14" s="2">
        <v>87117</v>
      </c>
      <c r="I14" s="2">
        <v>708731</v>
      </c>
      <c r="J14" s="2" t="s">
        <v>3890</v>
      </c>
      <c r="K14" s="2" t="s">
        <v>3895</v>
      </c>
      <c r="L14" s="2">
        <v>2024</v>
      </c>
      <c r="M14" s="2">
        <v>-621614</v>
      </c>
      <c r="N14" s="2">
        <f xml:space="preserve"> (Table1[[#This Row],[Variance (USD)]] / Table1[[#This Row],[Actual Spending (USD)]]) * 100</f>
        <v>-87.708030268183563</v>
      </c>
      <c r="O14" s="5" t="s">
        <v>3899</v>
      </c>
    </row>
    <row r="15" spans="1:15" x14ac:dyDescent="0.25">
      <c r="A15" s="4" t="s">
        <v>28</v>
      </c>
      <c r="B15" s="2" t="s">
        <v>3028</v>
      </c>
      <c r="C15" s="2" t="s">
        <v>3869</v>
      </c>
      <c r="D15" s="2" t="s">
        <v>3881</v>
      </c>
      <c r="E15" s="3">
        <v>45186</v>
      </c>
      <c r="F15" s="3">
        <v>45723</v>
      </c>
      <c r="G15" s="2" t="s">
        <v>3886</v>
      </c>
      <c r="H15" s="2">
        <v>179980</v>
      </c>
      <c r="I15" s="2">
        <v>1042986</v>
      </c>
      <c r="J15" s="2" t="s">
        <v>3892</v>
      </c>
      <c r="K15" s="2" t="s">
        <v>3894</v>
      </c>
      <c r="L15" s="2">
        <v>2025</v>
      </c>
      <c r="M15" s="2">
        <v>-863006</v>
      </c>
      <c r="N15" s="2">
        <f xml:space="preserve"> (Table1[[#This Row],[Variance (USD)]] / Table1[[#This Row],[Actual Spending (USD)]]) * 100</f>
        <v>-82.743776043014961</v>
      </c>
      <c r="O15" s="5" t="s">
        <v>3899</v>
      </c>
    </row>
    <row r="16" spans="1:15" x14ac:dyDescent="0.25">
      <c r="A16" s="4" t="s">
        <v>29</v>
      </c>
      <c r="B16" s="2" t="s">
        <v>3029</v>
      </c>
      <c r="C16" s="2" t="s">
        <v>3871</v>
      </c>
      <c r="D16" s="2" t="s">
        <v>3877</v>
      </c>
      <c r="E16" s="3">
        <v>45051</v>
      </c>
      <c r="F16" s="3">
        <v>45597</v>
      </c>
      <c r="G16" s="2" t="s">
        <v>3884</v>
      </c>
      <c r="H16" s="2">
        <v>972469</v>
      </c>
      <c r="I16" s="2">
        <v>250967</v>
      </c>
      <c r="J16" s="2" t="s">
        <v>3890</v>
      </c>
      <c r="K16" s="2" t="s">
        <v>3895</v>
      </c>
      <c r="L16" s="2">
        <v>2024</v>
      </c>
      <c r="M16" s="2">
        <v>721502</v>
      </c>
      <c r="N16" s="2">
        <f xml:space="preserve"> (Table1[[#This Row],[Variance (USD)]] / Table1[[#This Row],[Actual Spending (USD)]]) * 100</f>
        <v>287.48879334733249</v>
      </c>
      <c r="O16" s="5" t="s">
        <v>3897</v>
      </c>
    </row>
    <row r="17" spans="1:15" x14ac:dyDescent="0.25">
      <c r="A17" s="4" t="s">
        <v>30</v>
      </c>
      <c r="B17" s="2" t="s">
        <v>3030</v>
      </c>
      <c r="C17" s="2" t="s">
        <v>3870</v>
      </c>
      <c r="D17" s="2" t="s">
        <v>3880</v>
      </c>
      <c r="E17" s="3">
        <v>45008</v>
      </c>
      <c r="F17" s="3">
        <v>45818</v>
      </c>
      <c r="G17" s="2" t="s">
        <v>3884</v>
      </c>
      <c r="H17" s="2">
        <v>259944</v>
      </c>
      <c r="I17" s="2">
        <v>264625</v>
      </c>
      <c r="J17" s="2" t="s">
        <v>3890</v>
      </c>
      <c r="K17" s="2" t="s">
        <v>3896</v>
      </c>
      <c r="L17" s="2">
        <v>2024</v>
      </c>
      <c r="M17" s="2">
        <v>-4681</v>
      </c>
      <c r="N17" s="2">
        <f xml:space="preserve"> (Table1[[#This Row],[Variance (USD)]] / Table1[[#This Row],[Actual Spending (USD)]]) * 100</f>
        <v>-1.7689182805857344</v>
      </c>
      <c r="O17" s="5" t="s">
        <v>3897</v>
      </c>
    </row>
    <row r="18" spans="1:15" x14ac:dyDescent="0.25">
      <c r="A18" s="4" t="s">
        <v>31</v>
      </c>
      <c r="B18" s="2" t="s">
        <v>3031</v>
      </c>
      <c r="C18" s="2" t="s">
        <v>3872</v>
      </c>
      <c r="D18" s="2" t="s">
        <v>3881</v>
      </c>
      <c r="E18" s="3">
        <v>45209</v>
      </c>
      <c r="F18" s="3">
        <v>45344</v>
      </c>
      <c r="G18" s="2" t="s">
        <v>3887</v>
      </c>
      <c r="H18" s="2">
        <v>238349</v>
      </c>
      <c r="I18" s="2">
        <v>140949</v>
      </c>
      <c r="J18" s="2" t="s">
        <v>3892</v>
      </c>
      <c r="K18" s="2" t="s">
        <v>3893</v>
      </c>
      <c r="L18" s="2">
        <v>2024</v>
      </c>
      <c r="M18" s="2">
        <v>97400</v>
      </c>
      <c r="N18" s="2">
        <f xml:space="preserve"> (Table1[[#This Row],[Variance (USD)]] / Table1[[#This Row],[Actual Spending (USD)]]) * 100</f>
        <v>69.103008889740252</v>
      </c>
      <c r="O18" s="5" t="s">
        <v>3900</v>
      </c>
    </row>
    <row r="19" spans="1:15" x14ac:dyDescent="0.25">
      <c r="A19" s="4" t="s">
        <v>32</v>
      </c>
      <c r="B19" s="2" t="s">
        <v>3032</v>
      </c>
      <c r="C19" s="2" t="s">
        <v>3874</v>
      </c>
      <c r="D19" s="2" t="s">
        <v>3880</v>
      </c>
      <c r="E19" s="3">
        <v>45609</v>
      </c>
      <c r="F19" s="3">
        <v>45811</v>
      </c>
      <c r="G19" s="2" t="s">
        <v>3884</v>
      </c>
      <c r="H19" s="2">
        <v>790739</v>
      </c>
      <c r="I19" s="2">
        <v>319459</v>
      </c>
      <c r="J19" s="2" t="s">
        <v>3889</v>
      </c>
      <c r="K19" s="2" t="s">
        <v>3895</v>
      </c>
      <c r="L19" s="2">
        <v>2025</v>
      </c>
      <c r="M19" s="2">
        <v>471280</v>
      </c>
      <c r="N19" s="2">
        <f xml:space="preserve"> (Table1[[#This Row],[Variance (USD)]] / Table1[[#This Row],[Actual Spending (USD)]]) * 100</f>
        <v>147.52440845304091</v>
      </c>
      <c r="O19" s="5" t="s">
        <v>3897</v>
      </c>
    </row>
    <row r="20" spans="1:15" x14ac:dyDescent="0.25">
      <c r="A20" s="4" t="s">
        <v>33</v>
      </c>
      <c r="B20" s="2" t="s">
        <v>3033</v>
      </c>
      <c r="C20" s="2" t="s">
        <v>3869</v>
      </c>
      <c r="D20" s="2" t="s">
        <v>3876</v>
      </c>
      <c r="E20" s="3">
        <v>44985</v>
      </c>
      <c r="F20" s="3">
        <v>45621</v>
      </c>
      <c r="G20" s="2" t="s">
        <v>3884</v>
      </c>
      <c r="H20" s="2">
        <v>502829</v>
      </c>
      <c r="I20" s="2">
        <v>113804</v>
      </c>
      <c r="J20" s="2" t="s">
        <v>3892</v>
      </c>
      <c r="K20" s="2" t="s">
        <v>3895</v>
      </c>
      <c r="L20" s="2">
        <v>2025</v>
      </c>
      <c r="M20" s="2">
        <v>389025</v>
      </c>
      <c r="N20" s="2">
        <f xml:space="preserve"> (Table1[[#This Row],[Variance (USD)]] / Table1[[#This Row],[Actual Spending (USD)]]) * 100</f>
        <v>341.83772099398965</v>
      </c>
      <c r="O20" s="5" t="s">
        <v>3897</v>
      </c>
    </row>
    <row r="21" spans="1:15" x14ac:dyDescent="0.25">
      <c r="A21" s="4" t="s">
        <v>34</v>
      </c>
      <c r="B21" s="2" t="s">
        <v>3034</v>
      </c>
      <c r="C21" s="2" t="s">
        <v>3875</v>
      </c>
      <c r="D21" s="2" t="s">
        <v>3882</v>
      </c>
      <c r="E21" s="3">
        <v>45470</v>
      </c>
      <c r="F21" s="3">
        <v>45849</v>
      </c>
      <c r="G21" s="2" t="s">
        <v>3884</v>
      </c>
      <c r="H21" s="2">
        <v>591661</v>
      </c>
      <c r="I21" s="2">
        <v>730897</v>
      </c>
      <c r="J21" s="2" t="s">
        <v>3888</v>
      </c>
      <c r="K21" s="2" t="s">
        <v>3896</v>
      </c>
      <c r="L21" s="2">
        <v>2024</v>
      </c>
      <c r="M21" s="2">
        <v>-139236</v>
      </c>
      <c r="N21" s="2">
        <f xml:space="preserve"> (Table1[[#This Row],[Variance (USD)]] / Table1[[#This Row],[Actual Spending (USD)]]) * 100</f>
        <v>-19.05001662340932</v>
      </c>
      <c r="O21" s="5" t="s">
        <v>3897</v>
      </c>
    </row>
    <row r="22" spans="1:15" x14ac:dyDescent="0.25">
      <c r="A22" s="4" t="s">
        <v>35</v>
      </c>
      <c r="B22" s="2" t="s">
        <v>3035</v>
      </c>
      <c r="C22" s="2" t="s">
        <v>3870</v>
      </c>
      <c r="D22" s="2" t="s">
        <v>3882</v>
      </c>
      <c r="E22" s="3">
        <v>45087</v>
      </c>
      <c r="F22" s="3">
        <v>45616</v>
      </c>
      <c r="G22" s="2" t="s">
        <v>3886</v>
      </c>
      <c r="H22" s="2">
        <v>95452</v>
      </c>
      <c r="I22" s="2">
        <v>502913</v>
      </c>
      <c r="J22" s="2" t="s">
        <v>3890</v>
      </c>
      <c r="K22" s="2" t="s">
        <v>3896</v>
      </c>
      <c r="L22" s="2">
        <v>2023</v>
      </c>
      <c r="M22" s="2">
        <v>-407461</v>
      </c>
      <c r="N22" s="2">
        <f xml:space="preserve"> (Table1[[#This Row],[Variance (USD)]] / Table1[[#This Row],[Actual Spending (USD)]]) * 100</f>
        <v>-81.020176451990693</v>
      </c>
      <c r="O22" s="5" t="s">
        <v>3899</v>
      </c>
    </row>
    <row r="23" spans="1:15" x14ac:dyDescent="0.25">
      <c r="A23" s="4" t="s">
        <v>36</v>
      </c>
      <c r="B23" s="2" t="s">
        <v>3036</v>
      </c>
      <c r="C23" s="2" t="s">
        <v>3875</v>
      </c>
      <c r="D23" s="2" t="s">
        <v>3877</v>
      </c>
      <c r="E23" s="3">
        <v>45210</v>
      </c>
      <c r="F23" s="3">
        <v>45405</v>
      </c>
      <c r="G23" s="2" t="s">
        <v>3886</v>
      </c>
      <c r="H23" s="2">
        <v>231161</v>
      </c>
      <c r="I23" s="2">
        <v>651645</v>
      </c>
      <c r="J23" s="2" t="s">
        <v>3891</v>
      </c>
      <c r="K23" s="2" t="s">
        <v>3896</v>
      </c>
      <c r="L23" s="2">
        <v>2025</v>
      </c>
      <c r="M23" s="2">
        <v>-420484</v>
      </c>
      <c r="N23" s="2">
        <f xml:space="preserve"> (Table1[[#This Row],[Variance (USD)]] / Table1[[#This Row],[Actual Spending (USD)]]) * 100</f>
        <v>-64.52654436080995</v>
      </c>
      <c r="O23" s="5" t="s">
        <v>3899</v>
      </c>
    </row>
    <row r="24" spans="1:15" x14ac:dyDescent="0.25">
      <c r="A24" s="4" t="s">
        <v>37</v>
      </c>
      <c r="B24" s="2" t="s">
        <v>3037</v>
      </c>
      <c r="C24" s="2" t="s">
        <v>3871</v>
      </c>
      <c r="D24" s="2" t="s">
        <v>3883</v>
      </c>
      <c r="E24" s="3">
        <v>45032</v>
      </c>
      <c r="F24" s="3">
        <v>45438</v>
      </c>
      <c r="G24" s="2" t="s">
        <v>3886</v>
      </c>
      <c r="H24" s="2">
        <v>56654</v>
      </c>
      <c r="I24" s="2">
        <v>236337</v>
      </c>
      <c r="J24" s="2" t="s">
        <v>3890</v>
      </c>
      <c r="K24" s="2" t="s">
        <v>3895</v>
      </c>
      <c r="L24" s="2">
        <v>2024</v>
      </c>
      <c r="M24" s="2">
        <v>-179683</v>
      </c>
      <c r="N24" s="2">
        <f xml:space="preserve"> (Table1[[#This Row],[Variance (USD)]] / Table1[[#This Row],[Actual Spending (USD)]]) * 100</f>
        <v>-76.028298573646964</v>
      </c>
      <c r="O24" s="5" t="s">
        <v>3899</v>
      </c>
    </row>
    <row r="25" spans="1:15" x14ac:dyDescent="0.25">
      <c r="A25" s="4" t="s">
        <v>38</v>
      </c>
      <c r="B25" s="2" t="s">
        <v>3038</v>
      </c>
      <c r="C25" s="2" t="s">
        <v>3872</v>
      </c>
      <c r="D25" s="2" t="s">
        <v>3879</v>
      </c>
      <c r="E25" s="3">
        <v>45031</v>
      </c>
      <c r="F25" s="3">
        <v>45457</v>
      </c>
      <c r="G25" s="2" t="s">
        <v>3884</v>
      </c>
      <c r="H25" s="2">
        <v>998784</v>
      </c>
      <c r="I25" s="2">
        <v>878677</v>
      </c>
      <c r="J25" s="2" t="s">
        <v>3891</v>
      </c>
      <c r="K25" s="2" t="s">
        <v>3894</v>
      </c>
      <c r="L25" s="2">
        <v>2023</v>
      </c>
      <c r="M25" s="2">
        <v>120107</v>
      </c>
      <c r="N25" s="2">
        <f xml:space="preserve"> (Table1[[#This Row],[Variance (USD)]] / Table1[[#This Row],[Actual Spending (USD)]]) * 100</f>
        <v>13.669072935788693</v>
      </c>
      <c r="O25" s="5" t="s">
        <v>3897</v>
      </c>
    </row>
    <row r="26" spans="1:15" x14ac:dyDescent="0.25">
      <c r="A26" s="4" t="s">
        <v>39</v>
      </c>
      <c r="B26" s="2" t="s">
        <v>3039</v>
      </c>
      <c r="C26" s="2" t="s">
        <v>3872</v>
      </c>
      <c r="D26" s="2" t="s">
        <v>3881</v>
      </c>
      <c r="E26" s="3">
        <v>45365</v>
      </c>
      <c r="F26" s="3">
        <v>45670</v>
      </c>
      <c r="G26" s="2" t="s">
        <v>3885</v>
      </c>
      <c r="H26" s="2">
        <v>237213</v>
      </c>
      <c r="I26" s="2">
        <v>740827</v>
      </c>
      <c r="J26" s="2" t="s">
        <v>3888</v>
      </c>
      <c r="K26" s="2" t="s">
        <v>3896</v>
      </c>
      <c r="L26" s="2">
        <v>2023</v>
      </c>
      <c r="M26" s="2">
        <v>-503614</v>
      </c>
      <c r="N26" s="2">
        <f xml:space="preserve"> (Table1[[#This Row],[Variance (USD)]] / Table1[[#This Row],[Actual Spending (USD)]]) * 100</f>
        <v>-67.979973732058909</v>
      </c>
      <c r="O26" s="5" t="s">
        <v>3898</v>
      </c>
    </row>
    <row r="27" spans="1:15" x14ac:dyDescent="0.25">
      <c r="A27" s="4" t="s">
        <v>40</v>
      </c>
      <c r="B27" s="2" t="s">
        <v>3040</v>
      </c>
      <c r="C27" s="2" t="s">
        <v>3870</v>
      </c>
      <c r="D27" s="2" t="s">
        <v>3879</v>
      </c>
      <c r="E27" s="3">
        <v>45154</v>
      </c>
      <c r="F27" s="3">
        <v>45430</v>
      </c>
      <c r="G27" s="2" t="s">
        <v>3884</v>
      </c>
      <c r="H27" s="2">
        <v>173319</v>
      </c>
      <c r="I27" s="2">
        <v>589421</v>
      </c>
      <c r="J27" s="2" t="s">
        <v>3888</v>
      </c>
      <c r="K27" s="2" t="s">
        <v>3893</v>
      </c>
      <c r="L27" s="2">
        <v>2025</v>
      </c>
      <c r="M27" s="2">
        <v>-416102</v>
      </c>
      <c r="N27" s="2">
        <f xml:space="preserve"> (Table1[[#This Row],[Variance (USD)]] / Table1[[#This Row],[Actual Spending (USD)]]) * 100</f>
        <v>-70.595041574697888</v>
      </c>
      <c r="O27" s="5" t="s">
        <v>3897</v>
      </c>
    </row>
    <row r="28" spans="1:15" x14ac:dyDescent="0.25">
      <c r="A28" s="4" t="s">
        <v>41</v>
      </c>
      <c r="B28" s="2" t="s">
        <v>3041</v>
      </c>
      <c r="C28" s="2" t="s">
        <v>3869</v>
      </c>
      <c r="D28" s="2" t="s">
        <v>3880</v>
      </c>
      <c r="E28" s="3">
        <v>45626</v>
      </c>
      <c r="F28" s="3">
        <v>45920</v>
      </c>
      <c r="G28" s="2" t="s">
        <v>3884</v>
      </c>
      <c r="H28" s="2">
        <v>942078</v>
      </c>
      <c r="I28" s="2">
        <v>598286</v>
      </c>
      <c r="J28" s="2" t="s">
        <v>3888</v>
      </c>
      <c r="K28" s="2" t="s">
        <v>3895</v>
      </c>
      <c r="L28" s="2">
        <v>2023</v>
      </c>
      <c r="M28" s="2">
        <v>343792</v>
      </c>
      <c r="N28" s="2">
        <f xml:space="preserve"> (Table1[[#This Row],[Variance (USD)]] / Table1[[#This Row],[Actual Spending (USD)]]) * 100</f>
        <v>57.462818785664382</v>
      </c>
      <c r="O28" s="5" t="s">
        <v>3897</v>
      </c>
    </row>
    <row r="29" spans="1:15" x14ac:dyDescent="0.25">
      <c r="A29" s="4" t="s">
        <v>42</v>
      </c>
      <c r="B29" s="2" t="s">
        <v>3042</v>
      </c>
      <c r="C29" s="2" t="s">
        <v>3869</v>
      </c>
      <c r="D29" s="2" t="s">
        <v>3879</v>
      </c>
      <c r="E29" s="3">
        <v>45508</v>
      </c>
      <c r="F29" s="3">
        <v>45590</v>
      </c>
      <c r="G29" s="2" t="s">
        <v>3884</v>
      </c>
      <c r="H29" s="2">
        <v>269015</v>
      </c>
      <c r="I29" s="2">
        <v>1126821</v>
      </c>
      <c r="J29" s="2" t="s">
        <v>3892</v>
      </c>
      <c r="K29" s="2" t="s">
        <v>3893</v>
      </c>
      <c r="L29" s="2">
        <v>2025</v>
      </c>
      <c r="M29" s="2">
        <v>-857806</v>
      </c>
      <c r="N29" s="2">
        <f xml:space="preserve"> (Table1[[#This Row],[Variance (USD)]] / Table1[[#This Row],[Actual Spending (USD)]]) * 100</f>
        <v>-76.126199280986057</v>
      </c>
      <c r="O29" s="5" t="s">
        <v>3897</v>
      </c>
    </row>
    <row r="30" spans="1:15" x14ac:dyDescent="0.25">
      <c r="A30" s="4" t="s">
        <v>43</v>
      </c>
      <c r="B30" s="2" t="s">
        <v>3043</v>
      </c>
      <c r="C30" s="2" t="s">
        <v>3872</v>
      </c>
      <c r="D30" s="2" t="s">
        <v>3877</v>
      </c>
      <c r="E30" s="3">
        <v>45244</v>
      </c>
      <c r="F30" s="3">
        <v>45567</v>
      </c>
      <c r="G30" s="2" t="s">
        <v>3884</v>
      </c>
      <c r="H30" s="2">
        <v>511110</v>
      </c>
      <c r="I30" s="2">
        <v>257810</v>
      </c>
      <c r="J30" s="2" t="s">
        <v>3890</v>
      </c>
      <c r="K30" s="2" t="s">
        <v>3893</v>
      </c>
      <c r="L30" s="2">
        <v>2024</v>
      </c>
      <c r="M30" s="2">
        <v>253300</v>
      </c>
      <c r="N30" s="2">
        <f xml:space="preserve"> (Table1[[#This Row],[Variance (USD)]] / Table1[[#This Row],[Actual Spending (USD)]]) * 100</f>
        <v>98.250649703269858</v>
      </c>
      <c r="O30" s="5" t="s">
        <v>3897</v>
      </c>
    </row>
    <row r="31" spans="1:15" x14ac:dyDescent="0.25">
      <c r="A31" s="4" t="s">
        <v>44</v>
      </c>
      <c r="B31" s="2" t="s">
        <v>3044</v>
      </c>
      <c r="C31" s="2" t="s">
        <v>3869</v>
      </c>
      <c r="D31" s="2" t="s">
        <v>3877</v>
      </c>
      <c r="E31" s="3">
        <v>45390</v>
      </c>
      <c r="F31" s="3">
        <v>45469</v>
      </c>
      <c r="G31" s="2" t="s">
        <v>3885</v>
      </c>
      <c r="H31" s="2">
        <v>863015</v>
      </c>
      <c r="I31" s="2">
        <v>1143650</v>
      </c>
      <c r="J31" s="2" t="s">
        <v>3891</v>
      </c>
      <c r="K31" s="2" t="s">
        <v>3894</v>
      </c>
      <c r="L31" s="2">
        <v>2025</v>
      </c>
      <c r="M31" s="2">
        <v>-280635</v>
      </c>
      <c r="N31" s="2">
        <f xml:space="preserve"> (Table1[[#This Row],[Variance (USD)]] / Table1[[#This Row],[Actual Spending (USD)]]) * 100</f>
        <v>-24.538538888646002</v>
      </c>
      <c r="O31" s="5" t="s">
        <v>3898</v>
      </c>
    </row>
    <row r="32" spans="1:15" x14ac:dyDescent="0.25">
      <c r="A32" s="4" t="s">
        <v>45</v>
      </c>
      <c r="B32" s="2" t="s">
        <v>3045</v>
      </c>
      <c r="C32" s="2" t="s">
        <v>3872</v>
      </c>
      <c r="D32" s="2" t="s">
        <v>3878</v>
      </c>
      <c r="E32" s="3">
        <v>45525</v>
      </c>
      <c r="F32" s="3">
        <v>45645</v>
      </c>
      <c r="G32" s="2" t="s">
        <v>3885</v>
      </c>
      <c r="H32" s="2">
        <v>823393</v>
      </c>
      <c r="I32" s="2">
        <v>88204</v>
      </c>
      <c r="J32" s="2" t="s">
        <v>3888</v>
      </c>
      <c r="K32" s="2" t="s">
        <v>3893</v>
      </c>
      <c r="L32" s="2">
        <v>2023</v>
      </c>
      <c r="M32" s="2">
        <v>735189</v>
      </c>
      <c r="N32" s="2">
        <f xml:space="preserve"> (Table1[[#This Row],[Variance (USD)]] / Table1[[#This Row],[Actual Spending (USD)]]) * 100</f>
        <v>833.50981814883676</v>
      </c>
      <c r="O32" s="5" t="s">
        <v>3898</v>
      </c>
    </row>
    <row r="33" spans="1:15" x14ac:dyDescent="0.25">
      <c r="A33" s="4" t="s">
        <v>46</v>
      </c>
      <c r="B33" s="2" t="s">
        <v>3046</v>
      </c>
      <c r="C33" s="2" t="s">
        <v>3870</v>
      </c>
      <c r="D33" s="2" t="s">
        <v>3882</v>
      </c>
      <c r="E33" s="3">
        <v>45398</v>
      </c>
      <c r="F33" s="3">
        <v>45445</v>
      </c>
      <c r="G33" s="2" t="s">
        <v>3884</v>
      </c>
      <c r="H33" s="2">
        <v>668530</v>
      </c>
      <c r="I33" s="2">
        <v>783957</v>
      </c>
      <c r="J33" s="2" t="s">
        <v>3888</v>
      </c>
      <c r="K33" s="2" t="s">
        <v>3896</v>
      </c>
      <c r="L33" s="2">
        <v>2025</v>
      </c>
      <c r="M33" s="2">
        <v>-115427</v>
      </c>
      <c r="N33" s="2">
        <f xml:space="preserve"> (Table1[[#This Row],[Variance (USD)]] / Table1[[#This Row],[Actual Spending (USD)]]) * 100</f>
        <v>-14.723639179189673</v>
      </c>
      <c r="O33" s="5" t="s">
        <v>3897</v>
      </c>
    </row>
    <row r="34" spans="1:15" x14ac:dyDescent="0.25">
      <c r="A34" s="4" t="s">
        <v>47</v>
      </c>
      <c r="B34" s="2" t="s">
        <v>3047</v>
      </c>
      <c r="C34" s="2" t="s">
        <v>3873</v>
      </c>
      <c r="D34" s="2" t="s">
        <v>3881</v>
      </c>
      <c r="E34" s="3">
        <v>44982</v>
      </c>
      <c r="F34" s="3">
        <v>45492</v>
      </c>
      <c r="G34" s="2" t="s">
        <v>3885</v>
      </c>
      <c r="H34" s="2">
        <v>973864</v>
      </c>
      <c r="I34" s="2">
        <v>710935</v>
      </c>
      <c r="J34" s="2" t="s">
        <v>3891</v>
      </c>
      <c r="K34" s="2" t="s">
        <v>3896</v>
      </c>
      <c r="L34" s="2">
        <v>2025</v>
      </c>
      <c r="M34" s="2">
        <v>262929</v>
      </c>
      <c r="N34" s="2">
        <f xml:space="preserve"> (Table1[[#This Row],[Variance (USD)]] / Table1[[#This Row],[Actual Spending (USD)]]) * 100</f>
        <v>36.983549832263144</v>
      </c>
      <c r="O34" s="5" t="s">
        <v>3898</v>
      </c>
    </row>
    <row r="35" spans="1:15" x14ac:dyDescent="0.25">
      <c r="A35" s="4" t="s">
        <v>48</v>
      </c>
      <c r="B35" s="2" t="s">
        <v>3048</v>
      </c>
      <c r="C35" s="2" t="s">
        <v>3872</v>
      </c>
      <c r="D35" s="2" t="s">
        <v>3878</v>
      </c>
      <c r="E35" s="3">
        <v>45551</v>
      </c>
      <c r="F35" s="3">
        <v>45406</v>
      </c>
      <c r="G35" s="2" t="s">
        <v>3886</v>
      </c>
      <c r="H35" s="2">
        <v>628256</v>
      </c>
      <c r="I35" s="2">
        <v>503479</v>
      </c>
      <c r="J35" s="2" t="s">
        <v>3890</v>
      </c>
      <c r="K35" s="2" t="s">
        <v>3895</v>
      </c>
      <c r="L35" s="2">
        <v>2024</v>
      </c>
      <c r="M35" s="2">
        <v>124777</v>
      </c>
      <c r="N35" s="2">
        <f xml:space="preserve"> (Table1[[#This Row],[Variance (USD)]] / Table1[[#This Row],[Actual Spending (USD)]]) * 100</f>
        <v>24.782960163184562</v>
      </c>
      <c r="O35" s="5" t="s">
        <v>3899</v>
      </c>
    </row>
    <row r="36" spans="1:15" x14ac:dyDescent="0.25">
      <c r="A36" s="4" t="s">
        <v>49</v>
      </c>
      <c r="B36" s="2" t="s">
        <v>3049</v>
      </c>
      <c r="C36" s="2" t="s">
        <v>3875</v>
      </c>
      <c r="D36" s="2" t="s">
        <v>3879</v>
      </c>
      <c r="E36" s="3">
        <v>44939</v>
      </c>
      <c r="F36" s="3">
        <v>45962</v>
      </c>
      <c r="G36" s="2" t="s">
        <v>3885</v>
      </c>
      <c r="H36" s="2">
        <v>709103</v>
      </c>
      <c r="I36" s="2">
        <v>967573</v>
      </c>
      <c r="J36" s="2" t="s">
        <v>3890</v>
      </c>
      <c r="K36" s="2" t="s">
        <v>3894</v>
      </c>
      <c r="L36" s="2">
        <v>2023</v>
      </c>
      <c r="M36" s="2">
        <v>-258470</v>
      </c>
      <c r="N36" s="2">
        <f xml:space="preserve"> (Table1[[#This Row],[Variance (USD)]] / Table1[[#This Row],[Actual Spending (USD)]]) * 100</f>
        <v>-26.713229906167285</v>
      </c>
      <c r="O36" s="5" t="s">
        <v>3898</v>
      </c>
    </row>
    <row r="37" spans="1:15" x14ac:dyDescent="0.25">
      <c r="A37" s="4" t="s">
        <v>50</v>
      </c>
      <c r="B37" s="2" t="s">
        <v>3050</v>
      </c>
      <c r="C37" s="2" t="s">
        <v>3869</v>
      </c>
      <c r="D37" s="2" t="s">
        <v>3883</v>
      </c>
      <c r="E37" s="3">
        <v>45366</v>
      </c>
      <c r="F37" s="3">
        <v>45845</v>
      </c>
      <c r="G37" s="2" t="s">
        <v>3884</v>
      </c>
      <c r="H37" s="2">
        <v>450375</v>
      </c>
      <c r="I37" s="2">
        <v>971650</v>
      </c>
      <c r="J37" s="2" t="s">
        <v>3891</v>
      </c>
      <c r="K37" s="2" t="s">
        <v>3894</v>
      </c>
      <c r="L37" s="2">
        <v>2025</v>
      </c>
      <c r="M37" s="2">
        <v>-521275</v>
      </c>
      <c r="N37" s="2">
        <f xml:space="preserve"> (Table1[[#This Row],[Variance (USD)]] / Table1[[#This Row],[Actual Spending (USD)]]) * 100</f>
        <v>-53.648433077754333</v>
      </c>
      <c r="O37" s="5" t="s">
        <v>3897</v>
      </c>
    </row>
    <row r="38" spans="1:15" x14ac:dyDescent="0.25">
      <c r="A38" s="4" t="s">
        <v>51</v>
      </c>
      <c r="B38" s="2" t="s">
        <v>3051</v>
      </c>
      <c r="C38" s="2" t="s">
        <v>3872</v>
      </c>
      <c r="D38" s="2" t="s">
        <v>3878</v>
      </c>
      <c r="E38" s="3">
        <v>44944</v>
      </c>
      <c r="F38" s="3">
        <v>45359</v>
      </c>
      <c r="G38" s="2" t="s">
        <v>3886</v>
      </c>
      <c r="H38" s="2">
        <v>213223</v>
      </c>
      <c r="I38" s="2">
        <v>53694</v>
      </c>
      <c r="J38" s="2" t="s">
        <v>3889</v>
      </c>
      <c r="K38" s="2" t="s">
        <v>3893</v>
      </c>
      <c r="L38" s="2">
        <v>2024</v>
      </c>
      <c r="M38" s="2">
        <v>159529</v>
      </c>
      <c r="N38" s="2">
        <f xml:space="preserve"> (Table1[[#This Row],[Variance (USD)]] / Table1[[#This Row],[Actual Spending (USD)]]) * 100</f>
        <v>297.10768428502251</v>
      </c>
      <c r="O38" s="5" t="s">
        <v>3899</v>
      </c>
    </row>
    <row r="39" spans="1:15" x14ac:dyDescent="0.25">
      <c r="A39" s="4" t="s">
        <v>52</v>
      </c>
      <c r="B39" s="2" t="s">
        <v>3052</v>
      </c>
      <c r="C39" s="2" t="s">
        <v>3872</v>
      </c>
      <c r="D39" s="2" t="s">
        <v>3878</v>
      </c>
      <c r="E39" s="3">
        <v>45620</v>
      </c>
      <c r="F39" s="3">
        <v>45736</v>
      </c>
      <c r="G39" s="2" t="s">
        <v>3884</v>
      </c>
      <c r="H39" s="2">
        <v>181590</v>
      </c>
      <c r="I39" s="2">
        <v>996942</v>
      </c>
      <c r="J39" s="2" t="s">
        <v>3890</v>
      </c>
      <c r="K39" s="2" t="s">
        <v>3894</v>
      </c>
      <c r="L39" s="2">
        <v>2024</v>
      </c>
      <c r="M39" s="2">
        <v>-815352</v>
      </c>
      <c r="N39" s="2">
        <f xml:space="preserve"> (Table1[[#This Row],[Variance (USD)]] / Table1[[#This Row],[Actual Spending (USD)]]) * 100</f>
        <v>-81.785299445704965</v>
      </c>
      <c r="O39" s="5" t="s">
        <v>3897</v>
      </c>
    </row>
    <row r="40" spans="1:15" x14ac:dyDescent="0.25">
      <c r="A40" s="4" t="s">
        <v>53</v>
      </c>
      <c r="B40" s="2" t="s">
        <v>3053</v>
      </c>
      <c r="C40" s="2" t="s">
        <v>3870</v>
      </c>
      <c r="D40" s="2" t="s">
        <v>3877</v>
      </c>
      <c r="E40" s="3">
        <v>45039</v>
      </c>
      <c r="F40" s="3">
        <v>45736</v>
      </c>
      <c r="G40" s="2" t="s">
        <v>3885</v>
      </c>
      <c r="H40" s="2">
        <v>328796</v>
      </c>
      <c r="I40" s="2">
        <v>618162</v>
      </c>
      <c r="J40" s="2" t="s">
        <v>3891</v>
      </c>
      <c r="K40" s="2" t="s">
        <v>3893</v>
      </c>
      <c r="L40" s="2">
        <v>2024</v>
      </c>
      <c r="M40" s="2">
        <v>-289366</v>
      </c>
      <c r="N40" s="2">
        <f xml:space="preserve"> (Table1[[#This Row],[Variance (USD)]] / Table1[[#This Row],[Actual Spending (USD)]]) * 100</f>
        <v>-46.810706578534429</v>
      </c>
      <c r="O40" s="5" t="s">
        <v>3898</v>
      </c>
    </row>
    <row r="41" spans="1:15" x14ac:dyDescent="0.25">
      <c r="A41" s="4" t="s">
        <v>54</v>
      </c>
      <c r="B41" s="2" t="s">
        <v>3054</v>
      </c>
      <c r="C41" s="2" t="s">
        <v>3869</v>
      </c>
      <c r="D41" s="2" t="s">
        <v>3883</v>
      </c>
      <c r="E41" s="3">
        <v>45155</v>
      </c>
      <c r="F41" s="3">
        <v>45617</v>
      </c>
      <c r="G41" s="2" t="s">
        <v>3884</v>
      </c>
      <c r="H41" s="2">
        <v>521677</v>
      </c>
      <c r="I41" s="2">
        <v>1176237</v>
      </c>
      <c r="J41" s="2" t="s">
        <v>3891</v>
      </c>
      <c r="K41" s="2" t="s">
        <v>3893</v>
      </c>
      <c r="L41" s="2">
        <v>2024</v>
      </c>
      <c r="M41" s="2">
        <v>-654560</v>
      </c>
      <c r="N41" s="2">
        <f xml:space="preserve"> (Table1[[#This Row],[Variance (USD)]] / Table1[[#This Row],[Actual Spending (USD)]]) * 100</f>
        <v>-55.648649039266751</v>
      </c>
      <c r="O41" s="5" t="s">
        <v>3897</v>
      </c>
    </row>
    <row r="42" spans="1:15" x14ac:dyDescent="0.25">
      <c r="A42" s="4" t="s">
        <v>55</v>
      </c>
      <c r="B42" s="2" t="s">
        <v>3055</v>
      </c>
      <c r="C42" s="2" t="s">
        <v>3873</v>
      </c>
      <c r="D42" s="2" t="s">
        <v>3880</v>
      </c>
      <c r="E42" s="3">
        <v>45097</v>
      </c>
      <c r="F42" s="3">
        <v>45999</v>
      </c>
      <c r="G42" s="2" t="s">
        <v>3886</v>
      </c>
      <c r="H42" s="2">
        <v>687402</v>
      </c>
      <c r="I42" s="2">
        <v>745042</v>
      </c>
      <c r="J42" s="2" t="s">
        <v>3888</v>
      </c>
      <c r="K42" s="2" t="s">
        <v>3894</v>
      </c>
      <c r="L42" s="2">
        <v>2024</v>
      </c>
      <c r="M42" s="2">
        <v>-57640</v>
      </c>
      <c r="N42" s="2">
        <f xml:space="preserve"> (Table1[[#This Row],[Variance (USD)]] / Table1[[#This Row],[Actual Spending (USD)]]) * 100</f>
        <v>-7.7364766013191204</v>
      </c>
      <c r="O42" s="5" t="s">
        <v>3899</v>
      </c>
    </row>
    <row r="43" spans="1:15" x14ac:dyDescent="0.25">
      <c r="A43" s="4" t="s">
        <v>56</v>
      </c>
      <c r="B43" s="2" t="s">
        <v>3056</v>
      </c>
      <c r="C43" s="2" t="s">
        <v>3870</v>
      </c>
      <c r="D43" s="2" t="s">
        <v>3879</v>
      </c>
      <c r="E43" s="3">
        <v>45221</v>
      </c>
      <c r="F43" s="3">
        <v>45893</v>
      </c>
      <c r="G43" s="2" t="s">
        <v>3884</v>
      </c>
      <c r="H43" s="2">
        <v>295615</v>
      </c>
      <c r="I43" s="2">
        <v>729560</v>
      </c>
      <c r="J43" s="2" t="s">
        <v>3891</v>
      </c>
      <c r="K43" s="2" t="s">
        <v>3895</v>
      </c>
      <c r="L43" s="2">
        <v>2025</v>
      </c>
      <c r="M43" s="2">
        <v>-433945</v>
      </c>
      <c r="N43" s="2">
        <f xml:space="preserve"> (Table1[[#This Row],[Variance (USD)]] / Table1[[#This Row],[Actual Spending (USD)]]) * 100</f>
        <v>-59.480371730906299</v>
      </c>
      <c r="O43" s="5" t="s">
        <v>3897</v>
      </c>
    </row>
    <row r="44" spans="1:15" x14ac:dyDescent="0.25">
      <c r="A44" s="4" t="s">
        <v>57</v>
      </c>
      <c r="B44" s="2" t="s">
        <v>3057</v>
      </c>
      <c r="C44" s="2" t="s">
        <v>3873</v>
      </c>
      <c r="D44" s="2" t="s">
        <v>3878</v>
      </c>
      <c r="E44" s="3">
        <v>45115</v>
      </c>
      <c r="F44" s="3">
        <v>45914</v>
      </c>
      <c r="G44" s="2" t="s">
        <v>3884</v>
      </c>
      <c r="H44" s="2">
        <v>825492</v>
      </c>
      <c r="I44" s="2">
        <v>52970</v>
      </c>
      <c r="J44" s="2" t="s">
        <v>3892</v>
      </c>
      <c r="K44" s="2" t="s">
        <v>3893</v>
      </c>
      <c r="L44" s="2">
        <v>2025</v>
      </c>
      <c r="M44" s="2">
        <v>772522</v>
      </c>
      <c r="N44" s="2">
        <f xml:space="preserve"> (Table1[[#This Row],[Variance (USD)]] / Table1[[#This Row],[Actual Spending (USD)]]) * 100</f>
        <v>1458.4141967151218</v>
      </c>
      <c r="O44" s="5" t="s">
        <v>3897</v>
      </c>
    </row>
    <row r="45" spans="1:15" x14ac:dyDescent="0.25">
      <c r="A45" s="4" t="s">
        <v>58</v>
      </c>
      <c r="B45" s="2" t="s">
        <v>3058</v>
      </c>
      <c r="C45" s="2" t="s">
        <v>3874</v>
      </c>
      <c r="D45" s="2" t="s">
        <v>3883</v>
      </c>
      <c r="E45" s="3">
        <v>45352</v>
      </c>
      <c r="F45" s="3">
        <v>45650</v>
      </c>
      <c r="G45" s="2" t="s">
        <v>3886</v>
      </c>
      <c r="H45" s="2">
        <v>414633</v>
      </c>
      <c r="I45" s="2">
        <v>958399</v>
      </c>
      <c r="J45" s="2" t="s">
        <v>3888</v>
      </c>
      <c r="K45" s="2" t="s">
        <v>3896</v>
      </c>
      <c r="L45" s="2">
        <v>2023</v>
      </c>
      <c r="M45" s="2">
        <v>-543766</v>
      </c>
      <c r="N45" s="2">
        <f xml:space="preserve"> (Table1[[#This Row],[Variance (USD)]] / Table1[[#This Row],[Actual Spending (USD)]]) * 100</f>
        <v>-56.73691228809713</v>
      </c>
      <c r="O45" s="5" t="s">
        <v>3899</v>
      </c>
    </row>
    <row r="46" spans="1:15" x14ac:dyDescent="0.25">
      <c r="A46" s="4" t="s">
        <v>59</v>
      </c>
      <c r="B46" s="2" t="s">
        <v>3059</v>
      </c>
      <c r="C46" s="2" t="s">
        <v>3870</v>
      </c>
      <c r="D46" s="2" t="s">
        <v>3882</v>
      </c>
      <c r="E46" s="3">
        <v>45005</v>
      </c>
      <c r="F46" s="3">
        <v>45436</v>
      </c>
      <c r="G46" s="2" t="s">
        <v>3885</v>
      </c>
      <c r="H46" s="2">
        <v>284537</v>
      </c>
      <c r="I46" s="2">
        <v>445474</v>
      </c>
      <c r="J46" s="2" t="s">
        <v>3888</v>
      </c>
      <c r="K46" s="2" t="s">
        <v>3896</v>
      </c>
      <c r="L46" s="2">
        <v>2025</v>
      </c>
      <c r="M46" s="2">
        <v>-160937</v>
      </c>
      <c r="N46" s="2">
        <f xml:space="preserve"> (Table1[[#This Row],[Variance (USD)]] / Table1[[#This Row],[Actual Spending (USD)]]) * 100</f>
        <v>-36.127136488324794</v>
      </c>
      <c r="O46" s="5" t="s">
        <v>3898</v>
      </c>
    </row>
    <row r="47" spans="1:15" x14ac:dyDescent="0.25">
      <c r="A47" s="4" t="s">
        <v>60</v>
      </c>
      <c r="B47" s="2" t="s">
        <v>3060</v>
      </c>
      <c r="C47" s="2" t="s">
        <v>3869</v>
      </c>
      <c r="D47" s="2" t="s">
        <v>3881</v>
      </c>
      <c r="E47" s="3">
        <v>45584</v>
      </c>
      <c r="F47" s="3">
        <v>45566</v>
      </c>
      <c r="G47" s="2" t="s">
        <v>3886</v>
      </c>
      <c r="H47" s="2">
        <v>223420</v>
      </c>
      <c r="I47" s="2">
        <v>1135876</v>
      </c>
      <c r="J47" s="2" t="s">
        <v>3890</v>
      </c>
      <c r="K47" s="2" t="s">
        <v>3894</v>
      </c>
      <c r="L47" s="2">
        <v>2023</v>
      </c>
      <c r="M47" s="2">
        <v>-912456</v>
      </c>
      <c r="N47" s="2">
        <f xml:space="preserve"> (Table1[[#This Row],[Variance (USD)]] / Table1[[#This Row],[Actual Spending (USD)]]) * 100</f>
        <v>-80.330599466843211</v>
      </c>
      <c r="O47" s="5" t="s">
        <v>3899</v>
      </c>
    </row>
    <row r="48" spans="1:15" x14ac:dyDescent="0.25">
      <c r="A48" s="4" t="s">
        <v>61</v>
      </c>
      <c r="B48" s="2" t="s">
        <v>3061</v>
      </c>
      <c r="C48" s="2" t="s">
        <v>3868</v>
      </c>
      <c r="D48" s="2" t="s">
        <v>3883</v>
      </c>
      <c r="E48" s="3">
        <v>45108</v>
      </c>
      <c r="F48" s="3">
        <v>45800</v>
      </c>
      <c r="G48" s="2" t="s">
        <v>3885</v>
      </c>
      <c r="H48" s="2">
        <v>780782</v>
      </c>
      <c r="I48" s="2">
        <v>91915</v>
      </c>
      <c r="J48" s="2" t="s">
        <v>3889</v>
      </c>
      <c r="K48" s="2" t="s">
        <v>3894</v>
      </c>
      <c r="L48" s="2">
        <v>2023</v>
      </c>
      <c r="M48" s="2">
        <v>688867</v>
      </c>
      <c r="N48" s="2">
        <f xml:space="preserve"> (Table1[[#This Row],[Variance (USD)]] / Table1[[#This Row],[Actual Spending (USD)]]) * 100</f>
        <v>749.46091497579289</v>
      </c>
      <c r="O48" s="5" t="s">
        <v>3898</v>
      </c>
    </row>
    <row r="49" spans="1:15" x14ac:dyDescent="0.25">
      <c r="A49" s="4" t="s">
        <v>62</v>
      </c>
      <c r="B49" s="2" t="s">
        <v>3062</v>
      </c>
      <c r="C49" s="2" t="s">
        <v>3869</v>
      </c>
      <c r="D49" s="2" t="s">
        <v>3882</v>
      </c>
      <c r="E49" s="3">
        <v>45425</v>
      </c>
      <c r="F49" s="3">
        <v>45470</v>
      </c>
      <c r="G49" s="2" t="s">
        <v>3884</v>
      </c>
      <c r="H49" s="2">
        <v>127001</v>
      </c>
      <c r="I49" s="2">
        <v>629435</v>
      </c>
      <c r="J49" s="2" t="s">
        <v>3890</v>
      </c>
      <c r="K49" s="2" t="s">
        <v>3893</v>
      </c>
      <c r="L49" s="2">
        <v>2023</v>
      </c>
      <c r="M49" s="2">
        <v>-502434</v>
      </c>
      <c r="N49" s="2">
        <f xml:space="preserve"> (Table1[[#This Row],[Variance (USD)]] / Table1[[#This Row],[Actual Spending (USD)]]) * 100</f>
        <v>-79.823015879320351</v>
      </c>
      <c r="O49" s="5" t="s">
        <v>3897</v>
      </c>
    </row>
    <row r="50" spans="1:15" x14ac:dyDescent="0.25">
      <c r="A50" s="4" t="s">
        <v>63</v>
      </c>
      <c r="B50" s="2" t="s">
        <v>3063</v>
      </c>
      <c r="C50" s="2" t="s">
        <v>3869</v>
      </c>
      <c r="D50" s="2" t="s">
        <v>3879</v>
      </c>
      <c r="E50" s="3">
        <v>45634</v>
      </c>
      <c r="F50" s="3">
        <v>45768</v>
      </c>
      <c r="G50" s="2" t="s">
        <v>3884</v>
      </c>
      <c r="H50" s="2">
        <v>960701</v>
      </c>
      <c r="I50" s="2">
        <v>96535</v>
      </c>
      <c r="J50" s="2" t="s">
        <v>3892</v>
      </c>
      <c r="K50" s="2" t="s">
        <v>3893</v>
      </c>
      <c r="L50" s="2">
        <v>2025</v>
      </c>
      <c r="M50" s="2">
        <v>864166</v>
      </c>
      <c r="N50" s="2">
        <f xml:space="preserve"> (Table1[[#This Row],[Variance (USD)]] / Table1[[#This Row],[Actual Spending (USD)]]) * 100</f>
        <v>895.18413010825077</v>
      </c>
      <c r="O50" s="5" t="s">
        <v>3897</v>
      </c>
    </row>
    <row r="51" spans="1:15" x14ac:dyDescent="0.25">
      <c r="A51" s="4" t="s">
        <v>64</v>
      </c>
      <c r="B51" s="2" t="s">
        <v>3064</v>
      </c>
      <c r="C51" s="2" t="s">
        <v>3873</v>
      </c>
      <c r="D51" s="2" t="s">
        <v>3883</v>
      </c>
      <c r="E51" s="3">
        <v>44997</v>
      </c>
      <c r="F51" s="3">
        <v>45705</v>
      </c>
      <c r="G51" s="2" t="s">
        <v>3884</v>
      </c>
      <c r="H51" s="2">
        <v>561769</v>
      </c>
      <c r="I51" s="2">
        <v>722244</v>
      </c>
      <c r="J51" s="2" t="s">
        <v>3888</v>
      </c>
      <c r="K51" s="2" t="s">
        <v>3896</v>
      </c>
      <c r="L51" s="2">
        <v>2024</v>
      </c>
      <c r="M51" s="2">
        <v>-160475</v>
      </c>
      <c r="N51" s="2">
        <f xml:space="preserve"> (Table1[[#This Row],[Variance (USD)]] / Table1[[#This Row],[Actual Spending (USD)]]) * 100</f>
        <v>-22.218945397954155</v>
      </c>
      <c r="O51" s="5" t="s">
        <v>3897</v>
      </c>
    </row>
    <row r="52" spans="1:15" x14ac:dyDescent="0.25">
      <c r="A52" s="4" t="s">
        <v>65</v>
      </c>
      <c r="B52" s="2" t="s">
        <v>3065</v>
      </c>
      <c r="C52" s="2" t="s">
        <v>3873</v>
      </c>
      <c r="D52" s="2" t="s">
        <v>3882</v>
      </c>
      <c r="E52" s="3">
        <v>45174</v>
      </c>
      <c r="F52" s="3">
        <v>45444</v>
      </c>
      <c r="G52" s="2" t="s">
        <v>3884</v>
      </c>
      <c r="H52" s="2">
        <v>126757</v>
      </c>
      <c r="I52" s="2">
        <v>919147</v>
      </c>
      <c r="J52" s="2" t="s">
        <v>3888</v>
      </c>
      <c r="K52" s="2" t="s">
        <v>3893</v>
      </c>
      <c r="L52" s="2">
        <v>2023</v>
      </c>
      <c r="M52" s="2">
        <v>-792390</v>
      </c>
      <c r="N52" s="2">
        <f xml:space="preserve"> (Table1[[#This Row],[Variance (USD)]] / Table1[[#This Row],[Actual Spending (USD)]]) * 100</f>
        <v>-86.209278820471596</v>
      </c>
      <c r="O52" s="5" t="s">
        <v>3897</v>
      </c>
    </row>
    <row r="53" spans="1:15" x14ac:dyDescent="0.25">
      <c r="A53" s="4" t="s">
        <v>66</v>
      </c>
      <c r="B53" s="2" t="s">
        <v>3066</v>
      </c>
      <c r="C53" s="2" t="s">
        <v>3869</v>
      </c>
      <c r="D53" s="2" t="s">
        <v>3883</v>
      </c>
      <c r="E53" s="3">
        <v>45072</v>
      </c>
      <c r="F53" s="3">
        <v>45395</v>
      </c>
      <c r="G53" s="2" t="s">
        <v>3886</v>
      </c>
      <c r="H53" s="2">
        <v>598683</v>
      </c>
      <c r="I53" s="2">
        <v>215576</v>
      </c>
      <c r="J53" s="2" t="s">
        <v>3891</v>
      </c>
      <c r="K53" s="2" t="s">
        <v>3896</v>
      </c>
      <c r="L53" s="2">
        <v>2024</v>
      </c>
      <c r="M53" s="2">
        <v>383107</v>
      </c>
      <c r="N53" s="2">
        <f xml:space="preserve"> (Table1[[#This Row],[Variance (USD)]] / Table1[[#This Row],[Actual Spending (USD)]]) * 100</f>
        <v>177.71319627416781</v>
      </c>
      <c r="O53" s="5" t="s">
        <v>3899</v>
      </c>
    </row>
    <row r="54" spans="1:15" x14ac:dyDescent="0.25">
      <c r="A54" s="4" t="s">
        <v>67</v>
      </c>
      <c r="B54" s="2" t="s">
        <v>3067</v>
      </c>
      <c r="C54" s="2" t="s">
        <v>3869</v>
      </c>
      <c r="D54" s="2" t="s">
        <v>3883</v>
      </c>
      <c r="E54" s="3">
        <v>45544</v>
      </c>
      <c r="F54" s="3">
        <v>45366</v>
      </c>
      <c r="G54" s="2" t="s">
        <v>3886</v>
      </c>
      <c r="H54" s="2">
        <v>183407</v>
      </c>
      <c r="I54" s="2">
        <v>204953</v>
      </c>
      <c r="J54" s="2" t="s">
        <v>3889</v>
      </c>
      <c r="K54" s="2" t="s">
        <v>3893</v>
      </c>
      <c r="L54" s="2">
        <v>2023</v>
      </c>
      <c r="M54" s="2">
        <v>-21546</v>
      </c>
      <c r="N54" s="2">
        <f xml:space="preserve"> (Table1[[#This Row],[Variance (USD)]] / Table1[[#This Row],[Actual Spending (USD)]]) * 100</f>
        <v>-10.512654120700844</v>
      </c>
      <c r="O54" s="5" t="s">
        <v>3899</v>
      </c>
    </row>
    <row r="55" spans="1:15" x14ac:dyDescent="0.25">
      <c r="A55" s="4" t="s">
        <v>68</v>
      </c>
      <c r="B55" s="2" t="s">
        <v>3034</v>
      </c>
      <c r="C55" s="2" t="s">
        <v>3869</v>
      </c>
      <c r="D55" s="2" t="s">
        <v>3881</v>
      </c>
      <c r="E55" s="3">
        <v>45222</v>
      </c>
      <c r="F55" s="3">
        <v>45419</v>
      </c>
      <c r="G55" s="2" t="s">
        <v>3886</v>
      </c>
      <c r="H55" s="2">
        <v>676266</v>
      </c>
      <c r="I55" s="2">
        <v>474629</v>
      </c>
      <c r="J55" s="2" t="s">
        <v>3889</v>
      </c>
      <c r="K55" s="2" t="s">
        <v>3895</v>
      </c>
      <c r="L55" s="2">
        <v>2025</v>
      </c>
      <c r="M55" s="2">
        <v>201637</v>
      </c>
      <c r="N55" s="2">
        <f xml:space="preserve"> (Table1[[#This Row],[Variance (USD)]] / Table1[[#This Row],[Actual Spending (USD)]]) * 100</f>
        <v>42.483076255348919</v>
      </c>
      <c r="O55" s="5" t="s">
        <v>3899</v>
      </c>
    </row>
    <row r="56" spans="1:15" x14ac:dyDescent="0.25">
      <c r="A56" s="4" t="s">
        <v>69</v>
      </c>
      <c r="B56" s="2" t="s">
        <v>3068</v>
      </c>
      <c r="C56" s="2" t="s">
        <v>3873</v>
      </c>
      <c r="D56" s="2" t="s">
        <v>3882</v>
      </c>
      <c r="E56" s="3">
        <v>45508</v>
      </c>
      <c r="F56" s="3">
        <v>46002</v>
      </c>
      <c r="G56" s="2" t="s">
        <v>3886</v>
      </c>
      <c r="H56" s="2">
        <v>513328</v>
      </c>
      <c r="I56" s="2">
        <v>777417</v>
      </c>
      <c r="J56" s="2" t="s">
        <v>3891</v>
      </c>
      <c r="K56" s="2" t="s">
        <v>3895</v>
      </c>
      <c r="L56" s="2">
        <v>2023</v>
      </c>
      <c r="M56" s="2">
        <v>-264089</v>
      </c>
      <c r="N56" s="2">
        <f xml:space="preserve"> (Table1[[#This Row],[Variance (USD)]] / Table1[[#This Row],[Actual Spending (USD)]]) * 100</f>
        <v>-33.970057253700396</v>
      </c>
      <c r="O56" s="5" t="s">
        <v>3899</v>
      </c>
    </row>
    <row r="57" spans="1:15" x14ac:dyDescent="0.25">
      <c r="A57" s="4" t="s">
        <v>70</v>
      </c>
      <c r="B57" s="2" t="s">
        <v>3069</v>
      </c>
      <c r="C57" s="2" t="s">
        <v>3869</v>
      </c>
      <c r="D57" s="2" t="s">
        <v>3882</v>
      </c>
      <c r="E57" s="3">
        <v>45396</v>
      </c>
      <c r="F57" s="3">
        <v>45957</v>
      </c>
      <c r="G57" s="2" t="s">
        <v>3886</v>
      </c>
      <c r="H57" s="2">
        <v>294348</v>
      </c>
      <c r="I57" s="2">
        <v>977143</v>
      </c>
      <c r="J57" s="2" t="s">
        <v>3892</v>
      </c>
      <c r="K57" s="2" t="s">
        <v>3896</v>
      </c>
      <c r="L57" s="2">
        <v>2025</v>
      </c>
      <c r="M57" s="2">
        <v>-682795</v>
      </c>
      <c r="N57" s="2">
        <f xml:space="preserve"> (Table1[[#This Row],[Variance (USD)]] / Table1[[#This Row],[Actual Spending (USD)]]) * 100</f>
        <v>-69.876671070662127</v>
      </c>
      <c r="O57" s="5" t="s">
        <v>3899</v>
      </c>
    </row>
    <row r="58" spans="1:15" x14ac:dyDescent="0.25">
      <c r="A58" s="4" t="s">
        <v>71</v>
      </c>
      <c r="B58" s="2" t="s">
        <v>3070</v>
      </c>
      <c r="C58" s="2" t="s">
        <v>3869</v>
      </c>
      <c r="D58" s="2" t="s">
        <v>3878</v>
      </c>
      <c r="E58" s="3">
        <v>45432</v>
      </c>
      <c r="F58" s="3">
        <v>45859</v>
      </c>
      <c r="G58" s="2" t="s">
        <v>3884</v>
      </c>
      <c r="H58" s="2">
        <v>705860</v>
      </c>
      <c r="I58" s="2">
        <v>782345</v>
      </c>
      <c r="J58" s="2" t="s">
        <v>3889</v>
      </c>
      <c r="K58" s="2" t="s">
        <v>3895</v>
      </c>
      <c r="L58" s="2">
        <v>2024</v>
      </c>
      <c r="M58" s="2">
        <v>-76485</v>
      </c>
      <c r="N58" s="2">
        <f xml:space="preserve"> (Table1[[#This Row],[Variance (USD)]] / Table1[[#This Row],[Actual Spending (USD)]]) * 100</f>
        <v>-9.7763774293949606</v>
      </c>
      <c r="O58" s="5" t="s">
        <v>3897</v>
      </c>
    </row>
    <row r="59" spans="1:15" x14ac:dyDescent="0.25">
      <c r="A59" s="4" t="s">
        <v>72</v>
      </c>
      <c r="B59" s="2" t="s">
        <v>3022</v>
      </c>
      <c r="C59" s="2" t="s">
        <v>3874</v>
      </c>
      <c r="D59" s="2" t="s">
        <v>3879</v>
      </c>
      <c r="E59" s="3">
        <v>45119</v>
      </c>
      <c r="F59" s="3">
        <v>45636</v>
      </c>
      <c r="G59" s="2" t="s">
        <v>3884</v>
      </c>
      <c r="H59" s="2">
        <v>698829</v>
      </c>
      <c r="I59" s="2">
        <v>954399</v>
      </c>
      <c r="J59" s="2" t="s">
        <v>3888</v>
      </c>
      <c r="K59" s="2" t="s">
        <v>3895</v>
      </c>
      <c r="L59" s="2">
        <v>2025</v>
      </c>
      <c r="M59" s="2">
        <v>-255570</v>
      </c>
      <c r="N59" s="2">
        <f xml:space="preserve"> (Table1[[#This Row],[Variance (USD)]] / Table1[[#This Row],[Actual Spending (USD)]]) * 100</f>
        <v>-26.778108526936844</v>
      </c>
      <c r="O59" s="5" t="s">
        <v>3897</v>
      </c>
    </row>
    <row r="60" spans="1:15" x14ac:dyDescent="0.25">
      <c r="A60" s="4" t="s">
        <v>73</v>
      </c>
      <c r="B60" s="2" t="s">
        <v>3071</v>
      </c>
      <c r="C60" s="2" t="s">
        <v>3871</v>
      </c>
      <c r="D60" s="2" t="s">
        <v>3881</v>
      </c>
      <c r="E60" s="3">
        <v>44994</v>
      </c>
      <c r="F60" s="3">
        <v>45822</v>
      </c>
      <c r="G60" s="2" t="s">
        <v>3886</v>
      </c>
      <c r="H60" s="2">
        <v>273283</v>
      </c>
      <c r="I60" s="2">
        <v>909947</v>
      </c>
      <c r="J60" s="2" t="s">
        <v>3892</v>
      </c>
      <c r="K60" s="2" t="s">
        <v>3894</v>
      </c>
      <c r="L60" s="2">
        <v>2024</v>
      </c>
      <c r="M60" s="2">
        <v>-636664</v>
      </c>
      <c r="N60" s="2">
        <f xml:space="preserve"> (Table1[[#This Row],[Variance (USD)]] / Table1[[#This Row],[Actual Spending (USD)]]) * 100</f>
        <v>-69.967151933024667</v>
      </c>
      <c r="O60" s="5" t="s">
        <v>3899</v>
      </c>
    </row>
    <row r="61" spans="1:15" x14ac:dyDescent="0.25">
      <c r="A61" s="4" t="s">
        <v>74</v>
      </c>
      <c r="B61" s="2" t="s">
        <v>3072</v>
      </c>
      <c r="C61" s="2" t="s">
        <v>3868</v>
      </c>
      <c r="D61" s="2" t="s">
        <v>3883</v>
      </c>
      <c r="E61" s="3">
        <v>45420</v>
      </c>
      <c r="F61" s="3">
        <v>45450</v>
      </c>
      <c r="G61" s="2" t="s">
        <v>3884</v>
      </c>
      <c r="H61" s="2">
        <v>844515</v>
      </c>
      <c r="I61" s="2">
        <v>1130718</v>
      </c>
      <c r="J61" s="2" t="s">
        <v>3890</v>
      </c>
      <c r="K61" s="2" t="s">
        <v>3893</v>
      </c>
      <c r="L61" s="2">
        <v>2025</v>
      </c>
      <c r="M61" s="2">
        <v>-286203</v>
      </c>
      <c r="N61" s="2">
        <f xml:space="preserve"> (Table1[[#This Row],[Variance (USD)]] / Table1[[#This Row],[Actual Spending (USD)]]) * 100</f>
        <v>-25.311616158936179</v>
      </c>
      <c r="O61" s="5" t="s">
        <v>3897</v>
      </c>
    </row>
    <row r="62" spans="1:15" x14ac:dyDescent="0.25">
      <c r="A62" s="4" t="s">
        <v>75</v>
      </c>
      <c r="B62" s="2" t="s">
        <v>3073</v>
      </c>
      <c r="C62" s="2" t="s">
        <v>3875</v>
      </c>
      <c r="D62" s="2" t="s">
        <v>3883</v>
      </c>
      <c r="E62" s="3">
        <v>44978</v>
      </c>
      <c r="F62" s="3">
        <v>45829</v>
      </c>
      <c r="G62" s="2" t="s">
        <v>3884</v>
      </c>
      <c r="H62" s="2">
        <v>418742</v>
      </c>
      <c r="I62" s="2">
        <v>960056</v>
      </c>
      <c r="J62" s="2" t="s">
        <v>3890</v>
      </c>
      <c r="K62" s="2" t="s">
        <v>3894</v>
      </c>
      <c r="L62" s="2">
        <v>2023</v>
      </c>
      <c r="M62" s="2">
        <v>-541314</v>
      </c>
      <c r="N62" s="2">
        <f xml:space="preserve"> (Table1[[#This Row],[Variance (USD)]] / Table1[[#This Row],[Actual Spending (USD)]]) * 100</f>
        <v>-56.383585957485813</v>
      </c>
      <c r="O62" s="5" t="s">
        <v>3897</v>
      </c>
    </row>
    <row r="63" spans="1:15" x14ac:dyDescent="0.25">
      <c r="A63" s="4" t="s">
        <v>76</v>
      </c>
      <c r="B63" s="2" t="s">
        <v>3074</v>
      </c>
      <c r="C63" s="2" t="s">
        <v>3868</v>
      </c>
      <c r="D63" s="2" t="s">
        <v>3878</v>
      </c>
      <c r="E63" s="3">
        <v>45289</v>
      </c>
      <c r="F63" s="3">
        <v>45717</v>
      </c>
      <c r="G63" s="2" t="s">
        <v>3884</v>
      </c>
      <c r="H63" s="2">
        <v>262328</v>
      </c>
      <c r="I63" s="2">
        <v>1171506</v>
      </c>
      <c r="J63" s="2" t="s">
        <v>3892</v>
      </c>
      <c r="K63" s="2" t="s">
        <v>3896</v>
      </c>
      <c r="L63" s="2">
        <v>2023</v>
      </c>
      <c r="M63" s="2">
        <v>-909178</v>
      </c>
      <c r="N63" s="2">
        <f xml:space="preserve"> (Table1[[#This Row],[Variance (USD)]] / Table1[[#This Row],[Actual Spending (USD)]]) * 100</f>
        <v>-77.607626422741333</v>
      </c>
      <c r="O63" s="5" t="s">
        <v>3897</v>
      </c>
    </row>
    <row r="64" spans="1:15" x14ac:dyDescent="0.25">
      <c r="A64" s="4" t="s">
        <v>77</v>
      </c>
      <c r="B64" s="2" t="s">
        <v>3075</v>
      </c>
      <c r="C64" s="2" t="s">
        <v>3871</v>
      </c>
      <c r="D64" s="2" t="s">
        <v>3879</v>
      </c>
      <c r="E64" s="3">
        <v>45400</v>
      </c>
      <c r="F64" s="3">
        <v>45972</v>
      </c>
      <c r="G64" s="2" t="s">
        <v>3886</v>
      </c>
      <c r="H64" s="2">
        <v>448759</v>
      </c>
      <c r="I64" s="2">
        <v>127812</v>
      </c>
      <c r="J64" s="2" t="s">
        <v>3888</v>
      </c>
      <c r="K64" s="2" t="s">
        <v>3894</v>
      </c>
      <c r="L64" s="2">
        <v>2025</v>
      </c>
      <c r="M64" s="2">
        <v>320947</v>
      </c>
      <c r="N64" s="2">
        <f xml:space="preserve"> (Table1[[#This Row],[Variance (USD)]] / Table1[[#This Row],[Actual Spending (USD)]]) * 100</f>
        <v>251.10865959377838</v>
      </c>
      <c r="O64" s="5" t="s">
        <v>3899</v>
      </c>
    </row>
    <row r="65" spans="1:15" x14ac:dyDescent="0.25">
      <c r="A65" s="4" t="s">
        <v>78</v>
      </c>
      <c r="B65" s="2" t="s">
        <v>3076</v>
      </c>
      <c r="C65" s="2" t="s">
        <v>3875</v>
      </c>
      <c r="D65" s="2" t="s">
        <v>3877</v>
      </c>
      <c r="E65" s="3">
        <v>45447</v>
      </c>
      <c r="F65" s="3">
        <v>45314</v>
      </c>
      <c r="G65" s="2" t="s">
        <v>3884</v>
      </c>
      <c r="H65" s="2">
        <v>757597</v>
      </c>
      <c r="I65" s="2">
        <v>194702</v>
      </c>
      <c r="J65" s="2" t="s">
        <v>3890</v>
      </c>
      <c r="K65" s="2" t="s">
        <v>3896</v>
      </c>
      <c r="L65" s="2">
        <v>2024</v>
      </c>
      <c r="M65" s="2">
        <v>562895</v>
      </c>
      <c r="N65" s="2">
        <f xml:space="preserve"> (Table1[[#This Row],[Variance (USD)]] / Table1[[#This Row],[Actual Spending (USD)]]) * 100</f>
        <v>289.10591570708056</v>
      </c>
      <c r="O65" s="5" t="s">
        <v>3897</v>
      </c>
    </row>
    <row r="66" spans="1:15" x14ac:dyDescent="0.25">
      <c r="A66" s="4" t="s">
        <v>79</v>
      </c>
      <c r="B66" s="2" t="s">
        <v>3077</v>
      </c>
      <c r="C66" s="2" t="s">
        <v>3870</v>
      </c>
      <c r="D66" s="2" t="s">
        <v>3881</v>
      </c>
      <c r="E66" s="3">
        <v>45357</v>
      </c>
      <c r="F66" s="3">
        <v>45338</v>
      </c>
      <c r="G66" s="2" t="s">
        <v>3886</v>
      </c>
      <c r="H66" s="2">
        <v>408315</v>
      </c>
      <c r="I66" s="2">
        <v>1180675</v>
      </c>
      <c r="J66" s="2" t="s">
        <v>3888</v>
      </c>
      <c r="K66" s="2" t="s">
        <v>3895</v>
      </c>
      <c r="L66" s="2">
        <v>2024</v>
      </c>
      <c r="M66" s="2">
        <v>-772360</v>
      </c>
      <c r="N66" s="2">
        <f xml:space="preserve"> (Table1[[#This Row],[Variance (USD)]] / Table1[[#This Row],[Actual Spending (USD)]]) * 100</f>
        <v>-65.416816651491729</v>
      </c>
      <c r="O66" s="5" t="s">
        <v>3899</v>
      </c>
    </row>
    <row r="67" spans="1:15" x14ac:dyDescent="0.25">
      <c r="A67" s="4" t="s">
        <v>80</v>
      </c>
      <c r="B67" s="2" t="s">
        <v>3078</v>
      </c>
      <c r="C67" s="2" t="s">
        <v>3869</v>
      </c>
      <c r="D67" s="2" t="s">
        <v>3878</v>
      </c>
      <c r="E67" s="3">
        <v>45224</v>
      </c>
      <c r="F67" s="3">
        <v>45816</v>
      </c>
      <c r="G67" s="2" t="s">
        <v>3886</v>
      </c>
      <c r="H67" s="2">
        <v>694711</v>
      </c>
      <c r="I67" s="2">
        <v>730924</v>
      </c>
      <c r="J67" s="2" t="s">
        <v>3891</v>
      </c>
      <c r="K67" s="2" t="s">
        <v>3894</v>
      </c>
      <c r="L67" s="2">
        <v>2024</v>
      </c>
      <c r="M67" s="2">
        <v>-36213</v>
      </c>
      <c r="N67" s="2">
        <f xml:space="preserve"> (Table1[[#This Row],[Variance (USD)]] / Table1[[#This Row],[Actual Spending (USD)]]) * 100</f>
        <v>-4.9544138651898146</v>
      </c>
      <c r="O67" s="5" t="s">
        <v>3899</v>
      </c>
    </row>
    <row r="68" spans="1:15" x14ac:dyDescent="0.25">
      <c r="A68" s="4" t="s">
        <v>81</v>
      </c>
      <c r="B68" s="2" t="s">
        <v>3079</v>
      </c>
      <c r="C68" s="2" t="s">
        <v>3871</v>
      </c>
      <c r="D68" s="2" t="s">
        <v>3879</v>
      </c>
      <c r="E68" s="3">
        <v>45361</v>
      </c>
      <c r="F68" s="3">
        <v>46020</v>
      </c>
      <c r="G68" s="2" t="s">
        <v>3884</v>
      </c>
      <c r="H68" s="2">
        <v>795076</v>
      </c>
      <c r="I68" s="2">
        <v>229530</v>
      </c>
      <c r="J68" s="2" t="s">
        <v>3889</v>
      </c>
      <c r="K68" s="2" t="s">
        <v>3895</v>
      </c>
      <c r="L68" s="2">
        <v>2025</v>
      </c>
      <c r="M68" s="2">
        <v>565546</v>
      </c>
      <c r="N68" s="2">
        <f xml:space="preserve"> (Table1[[#This Row],[Variance (USD)]] / Table1[[#This Row],[Actual Spending (USD)]]) * 100</f>
        <v>246.39306408748314</v>
      </c>
      <c r="O68" s="5" t="s">
        <v>3897</v>
      </c>
    </row>
    <row r="69" spans="1:15" x14ac:dyDescent="0.25">
      <c r="A69" s="4" t="s">
        <v>82</v>
      </c>
      <c r="B69" s="2" t="s">
        <v>3080</v>
      </c>
      <c r="C69" s="2" t="s">
        <v>3874</v>
      </c>
      <c r="D69" s="2" t="s">
        <v>3881</v>
      </c>
      <c r="E69" s="3">
        <v>45622</v>
      </c>
      <c r="F69" s="3">
        <v>45997</v>
      </c>
      <c r="G69" s="2" t="s">
        <v>3886</v>
      </c>
      <c r="H69" s="2">
        <v>580901</v>
      </c>
      <c r="I69" s="2">
        <v>297993</v>
      </c>
      <c r="J69" s="2" t="s">
        <v>3892</v>
      </c>
      <c r="K69" s="2" t="s">
        <v>3893</v>
      </c>
      <c r="L69" s="2">
        <v>2025</v>
      </c>
      <c r="M69" s="2">
        <v>282908</v>
      </c>
      <c r="N69" s="2">
        <f xml:space="preserve"> (Table1[[#This Row],[Variance (USD)]] / Table1[[#This Row],[Actual Spending (USD)]]) * 100</f>
        <v>94.937800552361978</v>
      </c>
      <c r="O69" s="5" t="s">
        <v>3899</v>
      </c>
    </row>
    <row r="70" spans="1:15" x14ac:dyDescent="0.25">
      <c r="A70" s="4" t="s">
        <v>83</v>
      </c>
      <c r="B70" s="2" t="s">
        <v>3081</v>
      </c>
      <c r="C70" s="2" t="s">
        <v>3870</v>
      </c>
      <c r="D70" s="2" t="s">
        <v>3883</v>
      </c>
      <c r="E70" s="3">
        <v>45617</v>
      </c>
      <c r="F70" s="3">
        <v>45435</v>
      </c>
      <c r="G70" s="2" t="s">
        <v>3886</v>
      </c>
      <c r="H70" s="2">
        <v>946465</v>
      </c>
      <c r="I70" s="2">
        <v>1043340</v>
      </c>
      <c r="J70" s="2" t="s">
        <v>3889</v>
      </c>
      <c r="K70" s="2" t="s">
        <v>3895</v>
      </c>
      <c r="L70" s="2">
        <v>2025</v>
      </c>
      <c r="M70" s="2">
        <v>-96875</v>
      </c>
      <c r="N70" s="2">
        <f xml:space="preserve"> (Table1[[#This Row],[Variance (USD)]] / Table1[[#This Row],[Actual Spending (USD)]]) * 100</f>
        <v>-9.2850844403550141</v>
      </c>
      <c r="O70" s="5" t="s">
        <v>3899</v>
      </c>
    </row>
    <row r="71" spans="1:15" x14ac:dyDescent="0.25">
      <c r="A71" s="4" t="s">
        <v>84</v>
      </c>
      <c r="B71" s="2" t="s">
        <v>3082</v>
      </c>
      <c r="C71" s="2" t="s">
        <v>3869</v>
      </c>
      <c r="D71" s="2" t="s">
        <v>3879</v>
      </c>
      <c r="E71" s="3">
        <v>45124</v>
      </c>
      <c r="F71" s="3">
        <v>45876</v>
      </c>
      <c r="G71" s="2" t="s">
        <v>3886</v>
      </c>
      <c r="H71" s="2">
        <v>247935</v>
      </c>
      <c r="I71" s="2">
        <v>866746</v>
      </c>
      <c r="J71" s="2" t="s">
        <v>3891</v>
      </c>
      <c r="K71" s="2" t="s">
        <v>3893</v>
      </c>
      <c r="L71" s="2">
        <v>2025</v>
      </c>
      <c r="M71" s="2">
        <v>-618811</v>
      </c>
      <c r="N71" s="2">
        <f xml:space="preserve"> (Table1[[#This Row],[Variance (USD)]] / Table1[[#This Row],[Actual Spending (USD)]]) * 100</f>
        <v>-71.394733866669128</v>
      </c>
      <c r="O71" s="5" t="s">
        <v>3899</v>
      </c>
    </row>
    <row r="72" spans="1:15" x14ac:dyDescent="0.25">
      <c r="A72" s="4" t="s">
        <v>85</v>
      </c>
      <c r="B72" s="2" t="s">
        <v>3083</v>
      </c>
      <c r="C72" s="2" t="s">
        <v>3873</v>
      </c>
      <c r="D72" s="2" t="s">
        <v>3879</v>
      </c>
      <c r="E72" s="3">
        <v>45054</v>
      </c>
      <c r="F72" s="3">
        <v>45959</v>
      </c>
      <c r="G72" s="2" t="s">
        <v>3886</v>
      </c>
      <c r="H72" s="2">
        <v>912634</v>
      </c>
      <c r="I72" s="2">
        <v>206796</v>
      </c>
      <c r="J72" s="2" t="s">
        <v>3890</v>
      </c>
      <c r="K72" s="2" t="s">
        <v>3895</v>
      </c>
      <c r="L72" s="2">
        <v>2024</v>
      </c>
      <c r="M72" s="2">
        <v>705838</v>
      </c>
      <c r="N72" s="2">
        <f xml:space="preserve"> (Table1[[#This Row],[Variance (USD)]] / Table1[[#This Row],[Actual Spending (USD)]]) * 100</f>
        <v>341.32091529816825</v>
      </c>
      <c r="O72" s="5" t="s">
        <v>3899</v>
      </c>
    </row>
    <row r="73" spans="1:15" x14ac:dyDescent="0.25">
      <c r="A73" s="4" t="s">
        <v>86</v>
      </c>
      <c r="B73" s="2" t="s">
        <v>3084</v>
      </c>
      <c r="C73" s="2" t="s">
        <v>3872</v>
      </c>
      <c r="D73" s="2" t="s">
        <v>3880</v>
      </c>
      <c r="E73" s="3">
        <v>45458</v>
      </c>
      <c r="F73" s="3">
        <v>45880</v>
      </c>
      <c r="G73" s="2" t="s">
        <v>3884</v>
      </c>
      <c r="H73" s="2">
        <v>993759</v>
      </c>
      <c r="I73" s="2">
        <v>309374</v>
      </c>
      <c r="J73" s="2" t="s">
        <v>3888</v>
      </c>
      <c r="K73" s="2" t="s">
        <v>3894</v>
      </c>
      <c r="L73" s="2">
        <v>2024</v>
      </c>
      <c r="M73" s="2">
        <v>684385</v>
      </c>
      <c r="N73" s="2">
        <f xml:space="preserve"> (Table1[[#This Row],[Variance (USD)]] / Table1[[#This Row],[Actual Spending (USD)]]) * 100</f>
        <v>221.21606857719138</v>
      </c>
      <c r="O73" s="5" t="s">
        <v>3897</v>
      </c>
    </row>
    <row r="74" spans="1:15" x14ac:dyDescent="0.25">
      <c r="A74" s="4" t="s">
        <v>87</v>
      </c>
      <c r="B74" s="2" t="s">
        <v>3085</v>
      </c>
      <c r="C74" s="2" t="s">
        <v>3871</v>
      </c>
      <c r="D74" s="2" t="s">
        <v>3879</v>
      </c>
      <c r="E74" s="3">
        <v>45337</v>
      </c>
      <c r="F74" s="3">
        <v>45710</v>
      </c>
      <c r="G74" s="2" t="s">
        <v>3886</v>
      </c>
      <c r="H74" s="2">
        <v>572349</v>
      </c>
      <c r="I74" s="2">
        <v>364639</v>
      </c>
      <c r="J74" s="2" t="s">
        <v>3888</v>
      </c>
      <c r="K74" s="2" t="s">
        <v>3894</v>
      </c>
      <c r="L74" s="2">
        <v>2025</v>
      </c>
      <c r="M74" s="2">
        <v>207710</v>
      </c>
      <c r="N74" s="2">
        <f xml:space="preserve"> (Table1[[#This Row],[Variance (USD)]] / Table1[[#This Row],[Actual Spending (USD)]]) * 100</f>
        <v>56.963188249199895</v>
      </c>
      <c r="O74" s="5" t="s">
        <v>3899</v>
      </c>
    </row>
    <row r="75" spans="1:15" x14ac:dyDescent="0.25">
      <c r="A75" s="4" t="s">
        <v>88</v>
      </c>
      <c r="B75" s="2" t="s">
        <v>3086</v>
      </c>
      <c r="C75" s="2" t="s">
        <v>3873</v>
      </c>
      <c r="D75" s="2" t="s">
        <v>3877</v>
      </c>
      <c r="E75" s="3">
        <v>44991</v>
      </c>
      <c r="F75" s="3">
        <v>45972</v>
      </c>
      <c r="G75" s="2" t="s">
        <v>3884</v>
      </c>
      <c r="H75" s="2">
        <v>135666</v>
      </c>
      <c r="I75" s="2">
        <v>393534</v>
      </c>
      <c r="J75" s="2" t="s">
        <v>3891</v>
      </c>
      <c r="K75" s="2" t="s">
        <v>3895</v>
      </c>
      <c r="L75" s="2">
        <v>2025</v>
      </c>
      <c r="M75" s="2">
        <v>-257868</v>
      </c>
      <c r="N75" s="2">
        <f xml:space="preserve"> (Table1[[#This Row],[Variance (USD)]] / Table1[[#This Row],[Actual Spending (USD)]]) * 100</f>
        <v>-65.526231532726513</v>
      </c>
      <c r="O75" s="5" t="s">
        <v>3897</v>
      </c>
    </row>
    <row r="76" spans="1:15" x14ac:dyDescent="0.25">
      <c r="A76" s="4" t="s">
        <v>89</v>
      </c>
      <c r="B76" s="2" t="s">
        <v>3087</v>
      </c>
      <c r="C76" s="2" t="s">
        <v>3871</v>
      </c>
      <c r="D76" s="2" t="s">
        <v>3879</v>
      </c>
      <c r="E76" s="3">
        <v>45620</v>
      </c>
      <c r="F76" s="3">
        <v>45376</v>
      </c>
      <c r="G76" s="2" t="s">
        <v>3885</v>
      </c>
      <c r="H76" s="2">
        <v>596356</v>
      </c>
      <c r="I76" s="2">
        <v>930155</v>
      </c>
      <c r="J76" s="2" t="s">
        <v>3892</v>
      </c>
      <c r="K76" s="2" t="s">
        <v>3896</v>
      </c>
      <c r="L76" s="2">
        <v>2024</v>
      </c>
      <c r="M76" s="2">
        <v>-333799</v>
      </c>
      <c r="N76" s="2">
        <f xml:space="preserve"> (Table1[[#This Row],[Variance (USD)]] / Table1[[#This Row],[Actual Spending (USD)]]) * 100</f>
        <v>-35.886384527309964</v>
      </c>
      <c r="O76" s="5" t="s">
        <v>3898</v>
      </c>
    </row>
    <row r="77" spans="1:15" x14ac:dyDescent="0.25">
      <c r="A77" s="4" t="s">
        <v>90</v>
      </c>
      <c r="B77" s="2" t="s">
        <v>3088</v>
      </c>
      <c r="C77" s="2" t="s">
        <v>3874</v>
      </c>
      <c r="D77" s="2" t="s">
        <v>3877</v>
      </c>
      <c r="E77" s="3">
        <v>45167</v>
      </c>
      <c r="F77" s="3">
        <v>45707</v>
      </c>
      <c r="G77" s="2" t="s">
        <v>3885</v>
      </c>
      <c r="H77" s="2">
        <v>885489</v>
      </c>
      <c r="I77" s="2">
        <v>295467</v>
      </c>
      <c r="J77" s="2" t="s">
        <v>3889</v>
      </c>
      <c r="K77" s="2" t="s">
        <v>3896</v>
      </c>
      <c r="L77" s="2">
        <v>2024</v>
      </c>
      <c r="M77" s="2">
        <v>590022</v>
      </c>
      <c r="N77" s="2">
        <f xml:space="preserve"> (Table1[[#This Row],[Variance (USD)]] / Table1[[#This Row],[Actual Spending (USD)]]) * 100</f>
        <v>199.69133608829412</v>
      </c>
      <c r="O77" s="5" t="s">
        <v>3898</v>
      </c>
    </row>
    <row r="78" spans="1:15" x14ac:dyDescent="0.25">
      <c r="A78" s="4" t="s">
        <v>91</v>
      </c>
      <c r="B78" s="2" t="s">
        <v>3089</v>
      </c>
      <c r="C78" s="2" t="s">
        <v>3871</v>
      </c>
      <c r="D78" s="2" t="s">
        <v>3883</v>
      </c>
      <c r="E78" s="3">
        <v>45295</v>
      </c>
      <c r="F78" s="3">
        <v>45985</v>
      </c>
      <c r="G78" s="2" t="s">
        <v>3886</v>
      </c>
      <c r="H78" s="2">
        <v>855378</v>
      </c>
      <c r="I78" s="2">
        <v>695323</v>
      </c>
      <c r="J78" s="2" t="s">
        <v>3890</v>
      </c>
      <c r="K78" s="2" t="s">
        <v>3893</v>
      </c>
      <c r="L78" s="2">
        <v>2023</v>
      </c>
      <c r="M78" s="2">
        <v>160055</v>
      </c>
      <c r="N78" s="2">
        <f xml:space="preserve"> (Table1[[#This Row],[Variance (USD)]] / Table1[[#This Row],[Actual Spending (USD)]]) * 100</f>
        <v>23.018798457695201</v>
      </c>
      <c r="O78" s="5" t="s">
        <v>3899</v>
      </c>
    </row>
    <row r="79" spans="1:15" x14ac:dyDescent="0.25">
      <c r="A79" s="4" t="s">
        <v>92</v>
      </c>
      <c r="B79" s="2" t="s">
        <v>3090</v>
      </c>
      <c r="C79" s="2" t="s">
        <v>3873</v>
      </c>
      <c r="D79" s="2" t="s">
        <v>3877</v>
      </c>
      <c r="E79" s="3">
        <v>45462</v>
      </c>
      <c r="F79" s="3">
        <v>45773</v>
      </c>
      <c r="G79" s="2" t="s">
        <v>3884</v>
      </c>
      <c r="H79" s="2">
        <v>725907</v>
      </c>
      <c r="I79" s="2">
        <v>998015</v>
      </c>
      <c r="J79" s="2" t="s">
        <v>3892</v>
      </c>
      <c r="K79" s="2" t="s">
        <v>3893</v>
      </c>
      <c r="L79" s="2">
        <v>2025</v>
      </c>
      <c r="M79" s="2">
        <v>-272108</v>
      </c>
      <c r="N79" s="2">
        <f xml:space="preserve"> (Table1[[#This Row],[Variance (USD)]] / Table1[[#This Row],[Actual Spending (USD)]]) * 100</f>
        <v>-27.264920867922825</v>
      </c>
      <c r="O79" s="5" t="s">
        <v>3897</v>
      </c>
    </row>
    <row r="80" spans="1:15" x14ac:dyDescent="0.25">
      <c r="A80" s="4" t="s">
        <v>93</v>
      </c>
      <c r="B80" s="2" t="s">
        <v>3091</v>
      </c>
      <c r="C80" s="2" t="s">
        <v>3874</v>
      </c>
      <c r="D80" s="2" t="s">
        <v>3881</v>
      </c>
      <c r="E80" s="3">
        <v>45310</v>
      </c>
      <c r="F80" s="3">
        <v>45747</v>
      </c>
      <c r="G80" s="2" t="s">
        <v>3884</v>
      </c>
      <c r="H80" s="2">
        <v>659525</v>
      </c>
      <c r="I80" s="2">
        <v>1070402</v>
      </c>
      <c r="J80" s="2" t="s">
        <v>3891</v>
      </c>
      <c r="K80" s="2" t="s">
        <v>3895</v>
      </c>
      <c r="L80" s="2">
        <v>2023</v>
      </c>
      <c r="M80" s="2">
        <v>-410877</v>
      </c>
      <c r="N80" s="2">
        <f xml:space="preserve"> (Table1[[#This Row],[Variance (USD)]] / Table1[[#This Row],[Actual Spending (USD)]]) * 100</f>
        <v>-38.385298233747697</v>
      </c>
      <c r="O80" s="5" t="s">
        <v>3897</v>
      </c>
    </row>
    <row r="81" spans="1:15" x14ac:dyDescent="0.25">
      <c r="A81" s="4" t="s">
        <v>94</v>
      </c>
      <c r="B81" s="2" t="s">
        <v>3092</v>
      </c>
      <c r="C81" s="2" t="s">
        <v>3875</v>
      </c>
      <c r="D81" s="2" t="s">
        <v>3883</v>
      </c>
      <c r="E81" s="3">
        <v>45357</v>
      </c>
      <c r="F81" s="3">
        <v>45588</v>
      </c>
      <c r="G81" s="2" t="s">
        <v>3884</v>
      </c>
      <c r="H81" s="2">
        <v>317913</v>
      </c>
      <c r="I81" s="2">
        <v>937233</v>
      </c>
      <c r="J81" s="2" t="s">
        <v>3891</v>
      </c>
      <c r="K81" s="2" t="s">
        <v>3894</v>
      </c>
      <c r="L81" s="2">
        <v>2024</v>
      </c>
      <c r="M81" s="2">
        <v>-619320</v>
      </c>
      <c r="N81" s="2">
        <f xml:space="preserve"> (Table1[[#This Row],[Variance (USD)]] / Table1[[#This Row],[Actual Spending (USD)]]) * 100</f>
        <v>-66.079619475626657</v>
      </c>
      <c r="O81" s="5" t="s">
        <v>3897</v>
      </c>
    </row>
    <row r="82" spans="1:15" x14ac:dyDescent="0.25">
      <c r="A82" s="4" t="s">
        <v>95</v>
      </c>
      <c r="B82" s="2" t="s">
        <v>3093</v>
      </c>
      <c r="C82" s="2" t="s">
        <v>3868</v>
      </c>
      <c r="D82" s="2" t="s">
        <v>3883</v>
      </c>
      <c r="E82" s="3">
        <v>45009</v>
      </c>
      <c r="F82" s="3">
        <v>45403</v>
      </c>
      <c r="G82" s="2" t="s">
        <v>3884</v>
      </c>
      <c r="H82" s="2">
        <v>730243</v>
      </c>
      <c r="I82" s="2">
        <v>700797</v>
      </c>
      <c r="J82" s="2" t="s">
        <v>3888</v>
      </c>
      <c r="K82" s="2" t="s">
        <v>3893</v>
      </c>
      <c r="L82" s="2">
        <v>2024</v>
      </c>
      <c r="M82" s="2">
        <v>29446</v>
      </c>
      <c r="N82" s="2">
        <f xml:space="preserve"> (Table1[[#This Row],[Variance (USD)]] / Table1[[#This Row],[Actual Spending (USD)]]) * 100</f>
        <v>4.2017873934962617</v>
      </c>
      <c r="O82" s="5" t="s">
        <v>3897</v>
      </c>
    </row>
    <row r="83" spans="1:15" x14ac:dyDescent="0.25">
      <c r="A83" s="4" t="s">
        <v>96</v>
      </c>
      <c r="B83" s="2" t="s">
        <v>3032</v>
      </c>
      <c r="C83" s="2" t="s">
        <v>3869</v>
      </c>
      <c r="D83" s="2" t="s">
        <v>3877</v>
      </c>
      <c r="E83" s="3">
        <v>45623</v>
      </c>
      <c r="F83" s="3">
        <v>45521</v>
      </c>
      <c r="G83" s="2" t="s">
        <v>3884</v>
      </c>
      <c r="H83" s="2">
        <v>635628</v>
      </c>
      <c r="I83" s="2">
        <v>1160523</v>
      </c>
      <c r="J83" s="2" t="s">
        <v>3890</v>
      </c>
      <c r="K83" s="2" t="s">
        <v>3895</v>
      </c>
      <c r="L83" s="2">
        <v>2025</v>
      </c>
      <c r="M83" s="2">
        <v>-524895</v>
      </c>
      <c r="N83" s="2">
        <f xml:space="preserve"> (Table1[[#This Row],[Variance (USD)]] / Table1[[#This Row],[Actual Spending (USD)]]) * 100</f>
        <v>-45.229176845267176</v>
      </c>
      <c r="O83" s="5" t="s">
        <v>3897</v>
      </c>
    </row>
    <row r="84" spans="1:15" x14ac:dyDescent="0.25">
      <c r="A84" s="4" t="s">
        <v>97</v>
      </c>
      <c r="B84" s="2" t="s">
        <v>3074</v>
      </c>
      <c r="C84" s="2" t="s">
        <v>3871</v>
      </c>
      <c r="D84" s="2" t="s">
        <v>3882</v>
      </c>
      <c r="E84" s="3">
        <v>45537</v>
      </c>
      <c r="F84" s="3">
        <v>45387</v>
      </c>
      <c r="G84" s="2" t="s">
        <v>3884</v>
      </c>
      <c r="H84" s="2">
        <v>129199</v>
      </c>
      <c r="I84" s="2">
        <v>546655</v>
      </c>
      <c r="J84" s="2" t="s">
        <v>3892</v>
      </c>
      <c r="K84" s="2" t="s">
        <v>3893</v>
      </c>
      <c r="L84" s="2">
        <v>2023</v>
      </c>
      <c r="M84" s="2">
        <v>-417456</v>
      </c>
      <c r="N84" s="2">
        <f xml:space="preserve"> (Table1[[#This Row],[Variance (USD)]] / Table1[[#This Row],[Actual Spending (USD)]]) * 100</f>
        <v>-76.365532191235786</v>
      </c>
      <c r="O84" s="5" t="s">
        <v>3897</v>
      </c>
    </row>
    <row r="85" spans="1:15" x14ac:dyDescent="0.25">
      <c r="A85" s="4" t="s">
        <v>98</v>
      </c>
      <c r="B85" s="2" t="s">
        <v>3094</v>
      </c>
      <c r="C85" s="2" t="s">
        <v>3869</v>
      </c>
      <c r="D85" s="2" t="s">
        <v>3878</v>
      </c>
      <c r="E85" s="3">
        <v>45500</v>
      </c>
      <c r="F85" s="3">
        <v>45971</v>
      </c>
      <c r="G85" s="2" t="s">
        <v>3884</v>
      </c>
      <c r="H85" s="2">
        <v>154222</v>
      </c>
      <c r="I85" s="2">
        <v>305631</v>
      </c>
      <c r="J85" s="2" t="s">
        <v>3888</v>
      </c>
      <c r="K85" s="2" t="s">
        <v>3894</v>
      </c>
      <c r="L85" s="2">
        <v>2024</v>
      </c>
      <c r="M85" s="2">
        <v>-151409</v>
      </c>
      <c r="N85" s="2">
        <f xml:space="preserve"> (Table1[[#This Row],[Variance (USD)]] / Table1[[#This Row],[Actual Spending (USD)]]) * 100</f>
        <v>-49.539804535534685</v>
      </c>
      <c r="O85" s="5" t="s">
        <v>3897</v>
      </c>
    </row>
    <row r="86" spans="1:15" x14ac:dyDescent="0.25">
      <c r="A86" s="4" t="s">
        <v>99</v>
      </c>
      <c r="B86" s="2" t="s">
        <v>3095</v>
      </c>
      <c r="C86" s="2" t="s">
        <v>3872</v>
      </c>
      <c r="D86" s="2" t="s">
        <v>3876</v>
      </c>
      <c r="E86" s="3">
        <v>45212</v>
      </c>
      <c r="F86" s="3">
        <v>45669</v>
      </c>
      <c r="G86" s="2" t="s">
        <v>3887</v>
      </c>
      <c r="H86" s="2">
        <v>283931</v>
      </c>
      <c r="I86" s="2">
        <v>675148</v>
      </c>
      <c r="J86" s="2" t="s">
        <v>3890</v>
      </c>
      <c r="K86" s="2" t="s">
        <v>3893</v>
      </c>
      <c r="L86" s="2">
        <v>2023</v>
      </c>
      <c r="M86" s="2">
        <v>-391217</v>
      </c>
      <c r="N86" s="2">
        <f xml:space="preserve"> (Table1[[#This Row],[Variance (USD)]] / Table1[[#This Row],[Actual Spending (USD)]]) * 100</f>
        <v>-57.945369015386262</v>
      </c>
      <c r="O86" s="5" t="s">
        <v>3900</v>
      </c>
    </row>
    <row r="87" spans="1:15" x14ac:dyDescent="0.25">
      <c r="A87" s="4" t="s">
        <v>100</v>
      </c>
      <c r="B87" s="2" t="s">
        <v>3096</v>
      </c>
      <c r="C87" s="2" t="s">
        <v>3873</v>
      </c>
      <c r="D87" s="2" t="s">
        <v>3882</v>
      </c>
      <c r="E87" s="3">
        <v>45460</v>
      </c>
      <c r="F87" s="3">
        <v>45447</v>
      </c>
      <c r="G87" s="2" t="s">
        <v>3884</v>
      </c>
      <c r="H87" s="2">
        <v>216234</v>
      </c>
      <c r="I87" s="2">
        <v>949483</v>
      </c>
      <c r="J87" s="2" t="s">
        <v>3889</v>
      </c>
      <c r="K87" s="2" t="s">
        <v>3895</v>
      </c>
      <c r="L87" s="2">
        <v>2023</v>
      </c>
      <c r="M87" s="2">
        <v>-733249</v>
      </c>
      <c r="N87" s="2">
        <f xml:space="preserve"> (Table1[[#This Row],[Variance (USD)]] / Table1[[#This Row],[Actual Spending (USD)]]) * 100</f>
        <v>-77.226132537391408</v>
      </c>
      <c r="O87" s="5" t="s">
        <v>3897</v>
      </c>
    </row>
    <row r="88" spans="1:15" x14ac:dyDescent="0.25">
      <c r="A88" s="4" t="s">
        <v>101</v>
      </c>
      <c r="B88" s="2" t="s">
        <v>3097</v>
      </c>
      <c r="C88" s="2" t="s">
        <v>3869</v>
      </c>
      <c r="D88" s="2" t="s">
        <v>3879</v>
      </c>
      <c r="E88" s="3">
        <v>45385</v>
      </c>
      <c r="F88" s="3">
        <v>45712</v>
      </c>
      <c r="G88" s="2" t="s">
        <v>3885</v>
      </c>
      <c r="H88" s="2">
        <v>531604</v>
      </c>
      <c r="I88" s="2">
        <v>417740</v>
      </c>
      <c r="J88" s="2" t="s">
        <v>3889</v>
      </c>
      <c r="K88" s="2" t="s">
        <v>3893</v>
      </c>
      <c r="L88" s="2">
        <v>2023</v>
      </c>
      <c r="M88" s="2">
        <v>113864</v>
      </c>
      <c r="N88" s="2">
        <f xml:space="preserve"> (Table1[[#This Row],[Variance (USD)]] / Table1[[#This Row],[Actual Spending (USD)]]) * 100</f>
        <v>27.257145592952554</v>
      </c>
      <c r="O88" s="5" t="s">
        <v>3898</v>
      </c>
    </row>
    <row r="89" spans="1:15" x14ac:dyDescent="0.25">
      <c r="A89" s="4" t="s">
        <v>102</v>
      </c>
      <c r="B89" s="2" t="s">
        <v>3098</v>
      </c>
      <c r="C89" s="2" t="s">
        <v>3873</v>
      </c>
      <c r="D89" s="2" t="s">
        <v>3880</v>
      </c>
      <c r="E89" s="3">
        <v>45138</v>
      </c>
      <c r="F89" s="3">
        <v>45396</v>
      </c>
      <c r="G89" s="2" t="s">
        <v>3885</v>
      </c>
      <c r="H89" s="2">
        <v>83434</v>
      </c>
      <c r="I89" s="2">
        <v>628831</v>
      </c>
      <c r="J89" s="2" t="s">
        <v>3888</v>
      </c>
      <c r="K89" s="2" t="s">
        <v>3896</v>
      </c>
      <c r="L89" s="2">
        <v>2023</v>
      </c>
      <c r="M89" s="2">
        <v>-545397</v>
      </c>
      <c r="N89" s="2">
        <f xml:space="preserve"> (Table1[[#This Row],[Variance (USD)]] / Table1[[#This Row],[Actual Spending (USD)]]) * 100</f>
        <v>-86.731888217979076</v>
      </c>
      <c r="O89" s="5" t="s">
        <v>3898</v>
      </c>
    </row>
    <row r="90" spans="1:15" x14ac:dyDescent="0.25">
      <c r="A90" s="4" t="s">
        <v>103</v>
      </c>
      <c r="B90" s="2" t="s">
        <v>3099</v>
      </c>
      <c r="C90" s="2" t="s">
        <v>3869</v>
      </c>
      <c r="D90" s="2" t="s">
        <v>3876</v>
      </c>
      <c r="E90" s="3">
        <v>45052</v>
      </c>
      <c r="F90" s="3">
        <v>45996</v>
      </c>
      <c r="G90" s="2" t="s">
        <v>3884</v>
      </c>
      <c r="H90" s="2">
        <v>858534</v>
      </c>
      <c r="I90" s="2">
        <v>1113670</v>
      </c>
      <c r="J90" s="2" t="s">
        <v>3892</v>
      </c>
      <c r="K90" s="2" t="s">
        <v>3893</v>
      </c>
      <c r="L90" s="2">
        <v>2023</v>
      </c>
      <c r="M90" s="2">
        <v>-255136</v>
      </c>
      <c r="N90" s="2">
        <f xml:space="preserve"> (Table1[[#This Row],[Variance (USD)]] / Table1[[#This Row],[Actual Spending (USD)]]) * 100</f>
        <v>-22.909479468783392</v>
      </c>
      <c r="O90" s="5" t="s">
        <v>3897</v>
      </c>
    </row>
    <row r="91" spans="1:15" x14ac:dyDescent="0.25">
      <c r="A91" s="4" t="s">
        <v>104</v>
      </c>
      <c r="B91" s="2" t="s">
        <v>3100</v>
      </c>
      <c r="C91" s="2" t="s">
        <v>3868</v>
      </c>
      <c r="D91" s="2" t="s">
        <v>3879</v>
      </c>
      <c r="E91" s="3">
        <v>45339</v>
      </c>
      <c r="F91" s="3">
        <v>45621</v>
      </c>
      <c r="G91" s="2" t="s">
        <v>3886</v>
      </c>
      <c r="H91" s="2">
        <v>71536</v>
      </c>
      <c r="I91" s="2">
        <v>982602</v>
      </c>
      <c r="J91" s="2" t="s">
        <v>3890</v>
      </c>
      <c r="K91" s="2" t="s">
        <v>3894</v>
      </c>
      <c r="L91" s="2">
        <v>2025</v>
      </c>
      <c r="M91" s="2">
        <v>-911066</v>
      </c>
      <c r="N91" s="2">
        <f xml:space="preserve"> (Table1[[#This Row],[Variance (USD)]] / Table1[[#This Row],[Actual Spending (USD)]]) * 100</f>
        <v>-92.719738001754521</v>
      </c>
      <c r="O91" s="5" t="s">
        <v>3899</v>
      </c>
    </row>
    <row r="92" spans="1:15" x14ac:dyDescent="0.25">
      <c r="A92" s="4" t="s">
        <v>105</v>
      </c>
      <c r="B92" s="2" t="s">
        <v>3101</v>
      </c>
      <c r="C92" s="2" t="s">
        <v>3868</v>
      </c>
      <c r="D92" s="2" t="s">
        <v>3882</v>
      </c>
      <c r="E92" s="3">
        <v>45425</v>
      </c>
      <c r="F92" s="3">
        <v>45730</v>
      </c>
      <c r="G92" s="2" t="s">
        <v>3884</v>
      </c>
      <c r="H92" s="2">
        <v>783251</v>
      </c>
      <c r="I92" s="2">
        <v>757344</v>
      </c>
      <c r="J92" s="2" t="s">
        <v>3889</v>
      </c>
      <c r="K92" s="2" t="s">
        <v>3894</v>
      </c>
      <c r="L92" s="2">
        <v>2025</v>
      </c>
      <c r="M92" s="2">
        <v>25907</v>
      </c>
      <c r="N92" s="2">
        <f xml:space="preserve"> (Table1[[#This Row],[Variance (USD)]] / Table1[[#This Row],[Actual Spending (USD)]]) * 100</f>
        <v>3.420770482105886</v>
      </c>
      <c r="O92" s="5" t="s">
        <v>3897</v>
      </c>
    </row>
    <row r="93" spans="1:15" x14ac:dyDescent="0.25">
      <c r="A93" s="4" t="s">
        <v>106</v>
      </c>
      <c r="B93" s="2" t="s">
        <v>3102</v>
      </c>
      <c r="C93" s="2" t="s">
        <v>3874</v>
      </c>
      <c r="D93" s="2" t="s">
        <v>3882</v>
      </c>
      <c r="E93" s="3">
        <v>45351</v>
      </c>
      <c r="F93" s="3">
        <v>45423</v>
      </c>
      <c r="G93" s="2" t="s">
        <v>3886</v>
      </c>
      <c r="H93" s="2">
        <v>773130</v>
      </c>
      <c r="I93" s="2">
        <v>331749</v>
      </c>
      <c r="J93" s="2" t="s">
        <v>3889</v>
      </c>
      <c r="K93" s="2" t="s">
        <v>3894</v>
      </c>
      <c r="L93" s="2">
        <v>2023</v>
      </c>
      <c r="M93" s="2">
        <v>441381</v>
      </c>
      <c r="N93" s="2">
        <f xml:space="preserve"> (Table1[[#This Row],[Variance (USD)]] / Table1[[#This Row],[Actual Spending (USD)]]) * 100</f>
        <v>133.04667082643806</v>
      </c>
      <c r="O93" s="5" t="s">
        <v>3899</v>
      </c>
    </row>
    <row r="94" spans="1:15" x14ac:dyDescent="0.25">
      <c r="A94" s="4" t="s">
        <v>107</v>
      </c>
      <c r="B94" s="2" t="s">
        <v>3103</v>
      </c>
      <c r="C94" s="2" t="s">
        <v>3868</v>
      </c>
      <c r="D94" s="2" t="s">
        <v>3879</v>
      </c>
      <c r="E94" s="3">
        <v>45480</v>
      </c>
      <c r="F94" s="3">
        <v>45673</v>
      </c>
      <c r="G94" s="2" t="s">
        <v>3884</v>
      </c>
      <c r="H94" s="2">
        <v>154639</v>
      </c>
      <c r="I94" s="2">
        <v>107932</v>
      </c>
      <c r="J94" s="2" t="s">
        <v>3892</v>
      </c>
      <c r="K94" s="2" t="s">
        <v>3894</v>
      </c>
      <c r="L94" s="2">
        <v>2025</v>
      </c>
      <c r="M94" s="2">
        <v>46707</v>
      </c>
      <c r="N94" s="2">
        <f xml:space="preserve"> (Table1[[#This Row],[Variance (USD)]] / Table1[[#This Row],[Actual Spending (USD)]]) * 100</f>
        <v>43.274469110180483</v>
      </c>
      <c r="O94" s="5" t="s">
        <v>3897</v>
      </c>
    </row>
    <row r="95" spans="1:15" x14ac:dyDescent="0.25">
      <c r="A95" s="4" t="s">
        <v>108</v>
      </c>
      <c r="B95" s="2" t="s">
        <v>3104</v>
      </c>
      <c r="C95" s="2" t="s">
        <v>3874</v>
      </c>
      <c r="D95" s="2" t="s">
        <v>3883</v>
      </c>
      <c r="E95" s="3">
        <v>45536</v>
      </c>
      <c r="F95" s="3">
        <v>45429</v>
      </c>
      <c r="G95" s="2" t="s">
        <v>3884</v>
      </c>
      <c r="H95" s="2">
        <v>493604</v>
      </c>
      <c r="I95" s="2">
        <v>582169</v>
      </c>
      <c r="J95" s="2" t="s">
        <v>3888</v>
      </c>
      <c r="K95" s="2" t="s">
        <v>3895</v>
      </c>
      <c r="L95" s="2">
        <v>2024</v>
      </c>
      <c r="M95" s="2">
        <v>-88565</v>
      </c>
      <c r="N95" s="2">
        <f xml:space="preserve"> (Table1[[#This Row],[Variance (USD)]] / Table1[[#This Row],[Actual Spending (USD)]]) * 100</f>
        <v>-15.212936449725078</v>
      </c>
      <c r="O95" s="5" t="s">
        <v>3897</v>
      </c>
    </row>
    <row r="96" spans="1:15" x14ac:dyDescent="0.25">
      <c r="A96" s="4" t="s">
        <v>109</v>
      </c>
      <c r="B96" s="2" t="s">
        <v>3105</v>
      </c>
      <c r="C96" s="2" t="s">
        <v>3868</v>
      </c>
      <c r="D96" s="2" t="s">
        <v>3879</v>
      </c>
      <c r="E96" s="3">
        <v>45469</v>
      </c>
      <c r="F96" s="3">
        <v>45561</v>
      </c>
      <c r="G96" s="2" t="s">
        <v>3886</v>
      </c>
      <c r="H96" s="2">
        <v>625063</v>
      </c>
      <c r="I96" s="2">
        <v>224473</v>
      </c>
      <c r="J96" s="2" t="s">
        <v>3891</v>
      </c>
      <c r="K96" s="2" t="s">
        <v>3893</v>
      </c>
      <c r="L96" s="2">
        <v>2023</v>
      </c>
      <c r="M96" s="2">
        <v>400590</v>
      </c>
      <c r="N96" s="2">
        <f xml:space="preserve"> (Table1[[#This Row],[Variance (USD)]] / Table1[[#This Row],[Actual Spending (USD)]]) * 100</f>
        <v>178.45798826584937</v>
      </c>
      <c r="O96" s="5" t="s">
        <v>3899</v>
      </c>
    </row>
    <row r="97" spans="1:15" x14ac:dyDescent="0.25">
      <c r="A97" s="4" t="s">
        <v>110</v>
      </c>
      <c r="B97" s="2" t="s">
        <v>3106</v>
      </c>
      <c r="C97" s="2" t="s">
        <v>3868</v>
      </c>
      <c r="D97" s="2" t="s">
        <v>3880</v>
      </c>
      <c r="E97" s="3">
        <v>45084</v>
      </c>
      <c r="F97" s="3">
        <v>45841</v>
      </c>
      <c r="G97" s="2" t="s">
        <v>3884</v>
      </c>
      <c r="H97" s="2">
        <v>605435</v>
      </c>
      <c r="I97" s="2">
        <v>141513</v>
      </c>
      <c r="J97" s="2" t="s">
        <v>3890</v>
      </c>
      <c r="K97" s="2" t="s">
        <v>3893</v>
      </c>
      <c r="L97" s="2">
        <v>2025</v>
      </c>
      <c r="M97" s="2">
        <v>463922</v>
      </c>
      <c r="N97" s="2">
        <f xml:space="preserve"> (Table1[[#This Row],[Variance (USD)]] / Table1[[#This Row],[Actual Spending (USD)]]) * 100</f>
        <v>327.82995201854249</v>
      </c>
      <c r="O97" s="5" t="s">
        <v>3897</v>
      </c>
    </row>
    <row r="98" spans="1:15" x14ac:dyDescent="0.25">
      <c r="A98" s="4" t="s">
        <v>111</v>
      </c>
      <c r="B98" s="2" t="s">
        <v>3107</v>
      </c>
      <c r="C98" s="2" t="s">
        <v>3868</v>
      </c>
      <c r="D98" s="2" t="s">
        <v>3882</v>
      </c>
      <c r="E98" s="3">
        <v>45038</v>
      </c>
      <c r="F98" s="3">
        <v>45687</v>
      </c>
      <c r="G98" s="2" t="s">
        <v>3886</v>
      </c>
      <c r="H98" s="2">
        <v>362670</v>
      </c>
      <c r="I98" s="2">
        <v>1063622</v>
      </c>
      <c r="J98" s="2" t="s">
        <v>3889</v>
      </c>
      <c r="K98" s="2" t="s">
        <v>3893</v>
      </c>
      <c r="L98" s="2">
        <v>2025</v>
      </c>
      <c r="M98" s="2">
        <v>-700952</v>
      </c>
      <c r="N98" s="2">
        <f xml:space="preserve"> (Table1[[#This Row],[Variance (USD)]] / Table1[[#This Row],[Actual Spending (USD)]]) * 100</f>
        <v>-65.902360048964752</v>
      </c>
      <c r="O98" s="5" t="s">
        <v>3899</v>
      </c>
    </row>
    <row r="99" spans="1:15" x14ac:dyDescent="0.25">
      <c r="A99" s="4" t="s">
        <v>112</v>
      </c>
      <c r="B99" s="2" t="s">
        <v>3108</v>
      </c>
      <c r="C99" s="2" t="s">
        <v>3873</v>
      </c>
      <c r="D99" s="2" t="s">
        <v>3879</v>
      </c>
      <c r="E99" s="3">
        <v>45328</v>
      </c>
      <c r="F99" s="3">
        <v>45848</v>
      </c>
      <c r="G99" s="2" t="s">
        <v>3884</v>
      </c>
      <c r="H99" s="2">
        <v>204731</v>
      </c>
      <c r="I99" s="2">
        <v>66680</v>
      </c>
      <c r="J99" s="2" t="s">
        <v>3891</v>
      </c>
      <c r="K99" s="2" t="s">
        <v>3893</v>
      </c>
      <c r="L99" s="2">
        <v>2024</v>
      </c>
      <c r="M99" s="2">
        <v>138051</v>
      </c>
      <c r="N99" s="2">
        <f xml:space="preserve"> (Table1[[#This Row],[Variance (USD)]] / Table1[[#This Row],[Actual Spending (USD)]]) * 100</f>
        <v>207.03509298140372</v>
      </c>
      <c r="O99" s="5" t="s">
        <v>3897</v>
      </c>
    </row>
    <row r="100" spans="1:15" x14ac:dyDescent="0.25">
      <c r="A100" s="4" t="s">
        <v>113</v>
      </c>
      <c r="B100" s="2" t="s">
        <v>3109</v>
      </c>
      <c r="C100" s="2" t="s">
        <v>3871</v>
      </c>
      <c r="D100" s="2" t="s">
        <v>3877</v>
      </c>
      <c r="E100" s="3">
        <v>45048</v>
      </c>
      <c r="F100" s="3">
        <v>45755</v>
      </c>
      <c r="G100" s="2" t="s">
        <v>3884</v>
      </c>
      <c r="H100" s="2">
        <v>815167</v>
      </c>
      <c r="I100" s="2">
        <v>113452</v>
      </c>
      <c r="J100" s="2" t="s">
        <v>3892</v>
      </c>
      <c r="K100" s="2" t="s">
        <v>3895</v>
      </c>
      <c r="L100" s="2">
        <v>2024</v>
      </c>
      <c r="M100" s="2">
        <v>701715</v>
      </c>
      <c r="N100" s="2">
        <f xml:space="preserve"> (Table1[[#This Row],[Variance (USD)]] / Table1[[#This Row],[Actual Spending (USD)]]) * 100</f>
        <v>618.5126749638614</v>
      </c>
      <c r="O100" s="5" t="s">
        <v>3897</v>
      </c>
    </row>
    <row r="101" spans="1:15" x14ac:dyDescent="0.25">
      <c r="A101" s="4" t="s">
        <v>114</v>
      </c>
      <c r="B101" s="2" t="s">
        <v>3018</v>
      </c>
      <c r="C101" s="2" t="s">
        <v>3874</v>
      </c>
      <c r="D101" s="2" t="s">
        <v>3876</v>
      </c>
      <c r="E101" s="3">
        <v>45199</v>
      </c>
      <c r="F101" s="3">
        <v>45966</v>
      </c>
      <c r="G101" s="2" t="s">
        <v>3884</v>
      </c>
      <c r="H101" s="2">
        <v>154663</v>
      </c>
      <c r="I101" s="2">
        <v>81044</v>
      </c>
      <c r="J101" s="2" t="s">
        <v>3888</v>
      </c>
      <c r="K101" s="2" t="s">
        <v>3894</v>
      </c>
      <c r="L101" s="2">
        <v>2024</v>
      </c>
      <c r="M101" s="2">
        <v>73619</v>
      </c>
      <c r="N101" s="2">
        <f xml:space="preserve"> (Table1[[#This Row],[Variance (USD)]] / Table1[[#This Row],[Actual Spending (USD)]]) * 100</f>
        <v>90.838310053797926</v>
      </c>
      <c r="O101" s="5" t="s">
        <v>3897</v>
      </c>
    </row>
    <row r="102" spans="1:15" x14ac:dyDescent="0.25">
      <c r="A102" s="4" t="s">
        <v>115</v>
      </c>
      <c r="B102" s="2" t="s">
        <v>3110</v>
      </c>
      <c r="C102" s="2" t="s">
        <v>3869</v>
      </c>
      <c r="D102" s="2" t="s">
        <v>3877</v>
      </c>
      <c r="E102" s="3">
        <v>45220</v>
      </c>
      <c r="F102" s="3">
        <v>45741</v>
      </c>
      <c r="G102" s="2" t="s">
        <v>3884</v>
      </c>
      <c r="H102" s="2">
        <v>787456</v>
      </c>
      <c r="I102" s="2">
        <v>1044279</v>
      </c>
      <c r="J102" s="2" t="s">
        <v>3890</v>
      </c>
      <c r="K102" s="2" t="s">
        <v>3893</v>
      </c>
      <c r="L102" s="2">
        <v>2024</v>
      </c>
      <c r="M102" s="2">
        <v>-256823</v>
      </c>
      <c r="N102" s="2">
        <f xml:space="preserve"> (Table1[[#This Row],[Variance (USD)]] / Table1[[#This Row],[Actual Spending (USD)]]) * 100</f>
        <v>-24.593331858631647</v>
      </c>
      <c r="O102" s="5" t="s">
        <v>3897</v>
      </c>
    </row>
    <row r="103" spans="1:15" x14ac:dyDescent="0.25">
      <c r="A103" s="4" t="s">
        <v>116</v>
      </c>
      <c r="B103" s="2" t="s">
        <v>3111</v>
      </c>
      <c r="C103" s="2" t="s">
        <v>3868</v>
      </c>
      <c r="D103" s="2" t="s">
        <v>3880</v>
      </c>
      <c r="E103" s="3">
        <v>45324</v>
      </c>
      <c r="F103" s="3">
        <v>45622</v>
      </c>
      <c r="G103" s="2" t="s">
        <v>3884</v>
      </c>
      <c r="H103" s="2">
        <v>948612</v>
      </c>
      <c r="I103" s="2">
        <v>729444</v>
      </c>
      <c r="J103" s="2" t="s">
        <v>3892</v>
      </c>
      <c r="K103" s="2" t="s">
        <v>3893</v>
      </c>
      <c r="L103" s="2">
        <v>2023</v>
      </c>
      <c r="M103" s="2">
        <v>219168</v>
      </c>
      <c r="N103" s="2">
        <f xml:space="preserve"> (Table1[[#This Row],[Variance (USD)]] / Table1[[#This Row],[Actual Spending (USD)]]) * 100</f>
        <v>30.045897971605772</v>
      </c>
      <c r="O103" s="5" t="s">
        <v>3897</v>
      </c>
    </row>
    <row r="104" spans="1:15" x14ac:dyDescent="0.25">
      <c r="A104" s="4" t="s">
        <v>117</v>
      </c>
      <c r="B104" s="2" t="s">
        <v>3112</v>
      </c>
      <c r="C104" s="2" t="s">
        <v>3873</v>
      </c>
      <c r="D104" s="2" t="s">
        <v>3879</v>
      </c>
      <c r="E104" s="3">
        <v>45397</v>
      </c>
      <c r="F104" s="3">
        <v>45544</v>
      </c>
      <c r="G104" s="2" t="s">
        <v>3884</v>
      </c>
      <c r="H104" s="2">
        <v>436377</v>
      </c>
      <c r="I104" s="2">
        <v>382646</v>
      </c>
      <c r="J104" s="2" t="s">
        <v>3888</v>
      </c>
      <c r="K104" s="2" t="s">
        <v>3894</v>
      </c>
      <c r="L104" s="2">
        <v>2025</v>
      </c>
      <c r="M104" s="2">
        <v>53731</v>
      </c>
      <c r="N104" s="2">
        <f xml:space="preserve"> (Table1[[#This Row],[Variance (USD)]] / Table1[[#This Row],[Actual Spending (USD)]]) * 100</f>
        <v>14.041960454310251</v>
      </c>
      <c r="O104" s="5" t="s">
        <v>3897</v>
      </c>
    </row>
    <row r="105" spans="1:15" x14ac:dyDescent="0.25">
      <c r="A105" s="4" t="s">
        <v>118</v>
      </c>
      <c r="B105" s="2" t="s">
        <v>3113</v>
      </c>
      <c r="C105" s="2" t="s">
        <v>3873</v>
      </c>
      <c r="D105" s="2" t="s">
        <v>3881</v>
      </c>
      <c r="E105" s="3">
        <v>45133</v>
      </c>
      <c r="F105" s="3">
        <v>45972</v>
      </c>
      <c r="G105" s="2" t="s">
        <v>3884</v>
      </c>
      <c r="H105" s="2">
        <v>73088</v>
      </c>
      <c r="I105" s="2">
        <v>576440</v>
      </c>
      <c r="J105" s="2" t="s">
        <v>3892</v>
      </c>
      <c r="K105" s="2" t="s">
        <v>3896</v>
      </c>
      <c r="L105" s="2">
        <v>2025</v>
      </c>
      <c r="M105" s="2">
        <v>-503352</v>
      </c>
      <c r="N105" s="2">
        <f xml:space="preserve"> (Table1[[#This Row],[Variance (USD)]] / Table1[[#This Row],[Actual Spending (USD)]]) * 100</f>
        <v>-87.320796613697865</v>
      </c>
      <c r="O105" s="5" t="s">
        <v>3897</v>
      </c>
    </row>
    <row r="106" spans="1:15" x14ac:dyDescent="0.25">
      <c r="A106" s="4" t="s">
        <v>119</v>
      </c>
      <c r="B106" s="2" t="s">
        <v>3114</v>
      </c>
      <c r="C106" s="2" t="s">
        <v>3873</v>
      </c>
      <c r="D106" s="2" t="s">
        <v>3880</v>
      </c>
      <c r="E106" s="3">
        <v>45036</v>
      </c>
      <c r="F106" s="3">
        <v>45576</v>
      </c>
      <c r="G106" s="2" t="s">
        <v>3885</v>
      </c>
      <c r="H106" s="2">
        <v>118464</v>
      </c>
      <c r="I106" s="2">
        <v>639026</v>
      </c>
      <c r="J106" s="2" t="s">
        <v>3889</v>
      </c>
      <c r="K106" s="2" t="s">
        <v>3896</v>
      </c>
      <c r="L106" s="2">
        <v>2024</v>
      </c>
      <c r="M106" s="2">
        <v>-520562</v>
      </c>
      <c r="N106" s="2">
        <f xml:space="preserve"> (Table1[[#This Row],[Variance (USD)]] / Table1[[#This Row],[Actual Spending (USD)]]) * 100</f>
        <v>-81.46178715733005</v>
      </c>
      <c r="O106" s="5" t="s">
        <v>3898</v>
      </c>
    </row>
    <row r="107" spans="1:15" x14ac:dyDescent="0.25">
      <c r="A107" s="4" t="s">
        <v>120</v>
      </c>
      <c r="B107" s="2" t="s">
        <v>3115</v>
      </c>
      <c r="C107" s="2" t="s">
        <v>3874</v>
      </c>
      <c r="D107" s="2" t="s">
        <v>3883</v>
      </c>
      <c r="E107" s="3">
        <v>45366</v>
      </c>
      <c r="F107" s="3">
        <v>45565</v>
      </c>
      <c r="G107" s="2" t="s">
        <v>3884</v>
      </c>
      <c r="H107" s="2">
        <v>942353</v>
      </c>
      <c r="I107" s="2">
        <v>424411</v>
      </c>
      <c r="J107" s="2" t="s">
        <v>3889</v>
      </c>
      <c r="K107" s="2" t="s">
        <v>3894</v>
      </c>
      <c r="L107" s="2">
        <v>2025</v>
      </c>
      <c r="M107" s="2">
        <v>517942</v>
      </c>
      <c r="N107" s="2">
        <f xml:space="preserve"> (Table1[[#This Row],[Variance (USD)]] / Table1[[#This Row],[Actual Spending (USD)]]) * 100</f>
        <v>122.03783596560879</v>
      </c>
      <c r="O107" s="5" t="s">
        <v>3897</v>
      </c>
    </row>
    <row r="108" spans="1:15" x14ac:dyDescent="0.25">
      <c r="A108" s="4" t="s">
        <v>121</v>
      </c>
      <c r="B108" s="2" t="s">
        <v>3116</v>
      </c>
      <c r="C108" s="2" t="s">
        <v>3871</v>
      </c>
      <c r="D108" s="2" t="s">
        <v>3877</v>
      </c>
      <c r="E108" s="3">
        <v>45204</v>
      </c>
      <c r="F108" s="3">
        <v>45311</v>
      </c>
      <c r="G108" s="2" t="s">
        <v>3886</v>
      </c>
      <c r="H108" s="2">
        <v>896430</v>
      </c>
      <c r="I108" s="2">
        <v>1183109</v>
      </c>
      <c r="J108" s="2" t="s">
        <v>3891</v>
      </c>
      <c r="K108" s="2" t="s">
        <v>3893</v>
      </c>
      <c r="L108" s="2">
        <v>2025</v>
      </c>
      <c r="M108" s="2">
        <v>-286679</v>
      </c>
      <c r="N108" s="2">
        <f xml:space="preserve"> (Table1[[#This Row],[Variance (USD)]] / Table1[[#This Row],[Actual Spending (USD)]]) * 100</f>
        <v>-24.230988015474484</v>
      </c>
      <c r="O108" s="5" t="s">
        <v>3899</v>
      </c>
    </row>
    <row r="109" spans="1:15" x14ac:dyDescent="0.25">
      <c r="A109" s="4" t="s">
        <v>122</v>
      </c>
      <c r="B109" s="2" t="s">
        <v>3117</v>
      </c>
      <c r="C109" s="2" t="s">
        <v>3874</v>
      </c>
      <c r="D109" s="2" t="s">
        <v>3877</v>
      </c>
      <c r="E109" s="3">
        <v>45494</v>
      </c>
      <c r="F109" s="3">
        <v>45530</v>
      </c>
      <c r="G109" s="2" t="s">
        <v>3884</v>
      </c>
      <c r="H109" s="2">
        <v>876814</v>
      </c>
      <c r="I109" s="2">
        <v>579721</v>
      </c>
      <c r="J109" s="2" t="s">
        <v>3892</v>
      </c>
      <c r="K109" s="2" t="s">
        <v>3894</v>
      </c>
      <c r="L109" s="2">
        <v>2025</v>
      </c>
      <c r="M109" s="2">
        <v>297093</v>
      </c>
      <c r="N109" s="2">
        <f xml:space="preserve"> (Table1[[#This Row],[Variance (USD)]] / Table1[[#This Row],[Actual Spending (USD)]]) * 100</f>
        <v>51.247582889010403</v>
      </c>
      <c r="O109" s="5" t="s">
        <v>3897</v>
      </c>
    </row>
    <row r="110" spans="1:15" x14ac:dyDescent="0.25">
      <c r="A110" s="4" t="s">
        <v>123</v>
      </c>
      <c r="B110" s="2" t="s">
        <v>3118</v>
      </c>
      <c r="C110" s="2" t="s">
        <v>3869</v>
      </c>
      <c r="D110" s="2" t="s">
        <v>3878</v>
      </c>
      <c r="E110" s="3">
        <v>45495</v>
      </c>
      <c r="F110" s="3">
        <v>45561</v>
      </c>
      <c r="G110" s="2" t="s">
        <v>3885</v>
      </c>
      <c r="H110" s="2">
        <v>340328</v>
      </c>
      <c r="I110" s="2">
        <v>952809</v>
      </c>
      <c r="J110" s="2" t="s">
        <v>3889</v>
      </c>
      <c r="K110" s="2" t="s">
        <v>3893</v>
      </c>
      <c r="L110" s="2">
        <v>2024</v>
      </c>
      <c r="M110" s="2">
        <v>-612481</v>
      </c>
      <c r="N110" s="2">
        <f xml:space="preserve"> (Table1[[#This Row],[Variance (USD)]] / Table1[[#This Row],[Actual Spending (USD)]]) * 100</f>
        <v>-64.281613628754556</v>
      </c>
      <c r="O110" s="5" t="s">
        <v>3898</v>
      </c>
    </row>
    <row r="111" spans="1:15" x14ac:dyDescent="0.25">
      <c r="A111" s="4" t="s">
        <v>124</v>
      </c>
      <c r="B111" s="2" t="s">
        <v>3119</v>
      </c>
      <c r="C111" s="2" t="s">
        <v>3871</v>
      </c>
      <c r="D111" s="2" t="s">
        <v>3879</v>
      </c>
      <c r="E111" s="3">
        <v>45408</v>
      </c>
      <c r="F111" s="3">
        <v>45709</v>
      </c>
      <c r="G111" s="2" t="s">
        <v>3884</v>
      </c>
      <c r="H111" s="2">
        <v>201171</v>
      </c>
      <c r="I111" s="2">
        <v>1073611</v>
      </c>
      <c r="J111" s="2" t="s">
        <v>3888</v>
      </c>
      <c r="K111" s="2" t="s">
        <v>3893</v>
      </c>
      <c r="L111" s="2">
        <v>2025</v>
      </c>
      <c r="M111" s="2">
        <v>-872440</v>
      </c>
      <c r="N111" s="2">
        <f xml:space="preserve"> (Table1[[#This Row],[Variance (USD)]] / Table1[[#This Row],[Actual Spending (USD)]]) * 100</f>
        <v>-81.262207633863653</v>
      </c>
      <c r="O111" s="5" t="s">
        <v>3897</v>
      </c>
    </row>
    <row r="112" spans="1:15" x14ac:dyDescent="0.25">
      <c r="A112" s="4" t="s">
        <v>125</v>
      </c>
      <c r="B112" s="2" t="s">
        <v>3120</v>
      </c>
      <c r="C112" s="2" t="s">
        <v>3875</v>
      </c>
      <c r="D112" s="2" t="s">
        <v>3883</v>
      </c>
      <c r="E112" s="3">
        <v>45040</v>
      </c>
      <c r="F112" s="3">
        <v>45601</v>
      </c>
      <c r="G112" s="2" t="s">
        <v>3884</v>
      </c>
      <c r="H112" s="2">
        <v>795866</v>
      </c>
      <c r="I112" s="2">
        <v>219932</v>
      </c>
      <c r="J112" s="2" t="s">
        <v>3891</v>
      </c>
      <c r="K112" s="2" t="s">
        <v>3896</v>
      </c>
      <c r="L112" s="2">
        <v>2025</v>
      </c>
      <c r="M112" s="2">
        <v>575934</v>
      </c>
      <c r="N112" s="2">
        <f xml:space="preserve"> (Table1[[#This Row],[Variance (USD)]] / Table1[[#This Row],[Actual Spending (USD)]]) * 100</f>
        <v>261.86912318352944</v>
      </c>
      <c r="O112" s="5" t="s">
        <v>3897</v>
      </c>
    </row>
    <row r="113" spans="1:15" x14ac:dyDescent="0.25">
      <c r="A113" s="4" t="s">
        <v>126</v>
      </c>
      <c r="B113" s="2" t="s">
        <v>3121</v>
      </c>
      <c r="C113" s="2" t="s">
        <v>3870</v>
      </c>
      <c r="D113" s="2" t="s">
        <v>3881</v>
      </c>
      <c r="E113" s="3">
        <v>45403</v>
      </c>
      <c r="F113" s="3">
        <v>45322</v>
      </c>
      <c r="G113" s="2" t="s">
        <v>3884</v>
      </c>
      <c r="H113" s="2">
        <v>796640</v>
      </c>
      <c r="I113" s="2">
        <v>78648</v>
      </c>
      <c r="J113" s="2" t="s">
        <v>3890</v>
      </c>
      <c r="K113" s="2" t="s">
        <v>3896</v>
      </c>
      <c r="L113" s="2">
        <v>2025</v>
      </c>
      <c r="M113" s="2">
        <v>717992</v>
      </c>
      <c r="N113" s="2">
        <f xml:space="preserve"> (Table1[[#This Row],[Variance (USD)]] / Table1[[#This Row],[Actual Spending (USD)]]) * 100</f>
        <v>912.91831960126137</v>
      </c>
      <c r="O113" s="5" t="s">
        <v>3897</v>
      </c>
    </row>
    <row r="114" spans="1:15" x14ac:dyDescent="0.25">
      <c r="A114" s="4" t="s">
        <v>127</v>
      </c>
      <c r="B114" s="2" t="s">
        <v>3122</v>
      </c>
      <c r="C114" s="2" t="s">
        <v>3873</v>
      </c>
      <c r="D114" s="2" t="s">
        <v>3877</v>
      </c>
      <c r="E114" s="3">
        <v>45636</v>
      </c>
      <c r="F114" s="3">
        <v>45395</v>
      </c>
      <c r="G114" s="2" t="s">
        <v>3884</v>
      </c>
      <c r="H114" s="2">
        <v>87739</v>
      </c>
      <c r="I114" s="2">
        <v>224162</v>
      </c>
      <c r="J114" s="2" t="s">
        <v>3892</v>
      </c>
      <c r="K114" s="2" t="s">
        <v>3893</v>
      </c>
      <c r="L114" s="2">
        <v>2023</v>
      </c>
      <c r="M114" s="2">
        <v>-136423</v>
      </c>
      <c r="N114" s="2">
        <f xml:space="preserve"> (Table1[[#This Row],[Variance (USD)]] / Table1[[#This Row],[Actual Spending (USD)]]) * 100</f>
        <v>-60.85911082163792</v>
      </c>
      <c r="O114" s="5" t="s">
        <v>3897</v>
      </c>
    </row>
    <row r="115" spans="1:15" x14ac:dyDescent="0.25">
      <c r="A115" s="4" t="s">
        <v>128</v>
      </c>
      <c r="B115" s="2" t="s">
        <v>3123</v>
      </c>
      <c r="C115" s="2" t="s">
        <v>3874</v>
      </c>
      <c r="D115" s="2" t="s">
        <v>3877</v>
      </c>
      <c r="E115" s="3">
        <v>45247</v>
      </c>
      <c r="F115" s="3">
        <v>45973</v>
      </c>
      <c r="G115" s="2" t="s">
        <v>3886</v>
      </c>
      <c r="H115" s="2">
        <v>964369</v>
      </c>
      <c r="I115" s="2">
        <v>919936</v>
      </c>
      <c r="J115" s="2" t="s">
        <v>3889</v>
      </c>
      <c r="K115" s="2" t="s">
        <v>3893</v>
      </c>
      <c r="L115" s="2">
        <v>2023</v>
      </c>
      <c r="M115" s="2">
        <v>44433</v>
      </c>
      <c r="N115" s="2">
        <f xml:space="preserve"> (Table1[[#This Row],[Variance (USD)]] / Table1[[#This Row],[Actual Spending (USD)]]) * 100</f>
        <v>4.8300099137331287</v>
      </c>
      <c r="O115" s="5" t="s">
        <v>3899</v>
      </c>
    </row>
    <row r="116" spans="1:15" x14ac:dyDescent="0.25">
      <c r="A116" s="4" t="s">
        <v>129</v>
      </c>
      <c r="B116" s="2" t="s">
        <v>3124</v>
      </c>
      <c r="C116" s="2" t="s">
        <v>3875</v>
      </c>
      <c r="D116" s="2" t="s">
        <v>3883</v>
      </c>
      <c r="E116" s="3">
        <v>45105</v>
      </c>
      <c r="F116" s="3">
        <v>45477</v>
      </c>
      <c r="G116" s="2" t="s">
        <v>3884</v>
      </c>
      <c r="H116" s="2">
        <v>189461</v>
      </c>
      <c r="I116" s="2">
        <v>325206</v>
      </c>
      <c r="J116" s="2" t="s">
        <v>3888</v>
      </c>
      <c r="K116" s="2" t="s">
        <v>3893</v>
      </c>
      <c r="L116" s="2">
        <v>2025</v>
      </c>
      <c r="M116" s="2">
        <v>-135745</v>
      </c>
      <c r="N116" s="2">
        <f xml:space="preserve"> (Table1[[#This Row],[Variance (USD)]] / Table1[[#This Row],[Actual Spending (USD)]]) * 100</f>
        <v>-41.741234786566054</v>
      </c>
      <c r="O116" s="5" t="s">
        <v>3897</v>
      </c>
    </row>
    <row r="117" spans="1:15" x14ac:dyDescent="0.25">
      <c r="A117" s="4" t="s">
        <v>130</v>
      </c>
      <c r="B117" s="2" t="s">
        <v>3125</v>
      </c>
      <c r="C117" s="2" t="s">
        <v>3872</v>
      </c>
      <c r="D117" s="2" t="s">
        <v>3880</v>
      </c>
      <c r="E117" s="3">
        <v>45145</v>
      </c>
      <c r="F117" s="3">
        <v>45419</v>
      </c>
      <c r="G117" s="2" t="s">
        <v>3887</v>
      </c>
      <c r="H117" s="2">
        <v>67352</v>
      </c>
      <c r="I117" s="2">
        <v>363777</v>
      </c>
      <c r="J117" s="2" t="s">
        <v>3892</v>
      </c>
      <c r="K117" s="2" t="s">
        <v>3896</v>
      </c>
      <c r="L117" s="2">
        <v>2025</v>
      </c>
      <c r="M117" s="2">
        <v>-296425</v>
      </c>
      <c r="N117" s="2">
        <f xml:space="preserve"> (Table1[[#This Row],[Variance (USD)]] / Table1[[#This Row],[Actual Spending (USD)]]) * 100</f>
        <v>-81.485360536812394</v>
      </c>
      <c r="O117" s="5" t="s">
        <v>3900</v>
      </c>
    </row>
    <row r="118" spans="1:15" x14ac:dyDescent="0.25">
      <c r="A118" s="4" t="s">
        <v>131</v>
      </c>
      <c r="B118" s="2" t="s">
        <v>3126</v>
      </c>
      <c r="C118" s="2" t="s">
        <v>3874</v>
      </c>
      <c r="D118" s="2" t="s">
        <v>3880</v>
      </c>
      <c r="E118" s="3">
        <v>45454</v>
      </c>
      <c r="F118" s="3">
        <v>45501</v>
      </c>
      <c r="G118" s="2" t="s">
        <v>3884</v>
      </c>
      <c r="H118" s="2">
        <v>176788</v>
      </c>
      <c r="I118" s="2">
        <v>692038</v>
      </c>
      <c r="J118" s="2" t="s">
        <v>3888</v>
      </c>
      <c r="K118" s="2" t="s">
        <v>3893</v>
      </c>
      <c r="L118" s="2">
        <v>2025</v>
      </c>
      <c r="M118" s="2">
        <v>-515250</v>
      </c>
      <c r="N118" s="2">
        <f xml:space="preserve"> (Table1[[#This Row],[Variance (USD)]] / Table1[[#This Row],[Actual Spending (USD)]]) * 100</f>
        <v>-74.454003970880208</v>
      </c>
      <c r="O118" s="5" t="s">
        <v>3897</v>
      </c>
    </row>
    <row r="119" spans="1:15" x14ac:dyDescent="0.25">
      <c r="A119" s="4" t="s">
        <v>132</v>
      </c>
      <c r="B119" s="2" t="s">
        <v>3127</v>
      </c>
      <c r="C119" s="2" t="s">
        <v>3868</v>
      </c>
      <c r="D119" s="2" t="s">
        <v>3879</v>
      </c>
      <c r="E119" s="3">
        <v>45418</v>
      </c>
      <c r="F119" s="3">
        <v>45705</v>
      </c>
      <c r="G119" s="2" t="s">
        <v>3884</v>
      </c>
      <c r="H119" s="2">
        <v>954275</v>
      </c>
      <c r="I119" s="2">
        <v>62121</v>
      </c>
      <c r="J119" s="2" t="s">
        <v>3891</v>
      </c>
      <c r="K119" s="2" t="s">
        <v>3894</v>
      </c>
      <c r="L119" s="2">
        <v>2025</v>
      </c>
      <c r="M119" s="2">
        <v>892154</v>
      </c>
      <c r="N119" s="2">
        <f xml:space="preserve"> (Table1[[#This Row],[Variance (USD)]] / Table1[[#This Row],[Actual Spending (USD)]]) * 100</f>
        <v>1436.155245408155</v>
      </c>
      <c r="O119" s="5" t="s">
        <v>3897</v>
      </c>
    </row>
    <row r="120" spans="1:15" x14ac:dyDescent="0.25">
      <c r="A120" s="4" t="s">
        <v>133</v>
      </c>
      <c r="B120" s="2" t="s">
        <v>3128</v>
      </c>
      <c r="C120" s="2" t="s">
        <v>3870</v>
      </c>
      <c r="D120" s="2" t="s">
        <v>3882</v>
      </c>
      <c r="E120" s="3">
        <v>44987</v>
      </c>
      <c r="F120" s="3">
        <v>45572</v>
      </c>
      <c r="G120" s="2" t="s">
        <v>3886</v>
      </c>
      <c r="H120" s="2">
        <v>464364</v>
      </c>
      <c r="I120" s="2">
        <v>679303</v>
      </c>
      <c r="J120" s="2" t="s">
        <v>3889</v>
      </c>
      <c r="K120" s="2" t="s">
        <v>3895</v>
      </c>
      <c r="L120" s="2">
        <v>2025</v>
      </c>
      <c r="M120" s="2">
        <v>-214939</v>
      </c>
      <c r="N120" s="2">
        <f xml:space="preserve"> (Table1[[#This Row],[Variance (USD)]] / Table1[[#This Row],[Actual Spending (USD)]]) * 100</f>
        <v>-31.641108606910318</v>
      </c>
      <c r="O120" s="5" t="s">
        <v>3899</v>
      </c>
    </row>
    <row r="121" spans="1:15" x14ac:dyDescent="0.25">
      <c r="A121" s="4" t="s">
        <v>134</v>
      </c>
      <c r="B121" s="2" t="s">
        <v>3129</v>
      </c>
      <c r="C121" s="2" t="s">
        <v>3868</v>
      </c>
      <c r="D121" s="2" t="s">
        <v>3878</v>
      </c>
      <c r="E121" s="3">
        <v>44980</v>
      </c>
      <c r="F121" s="3">
        <v>45544</v>
      </c>
      <c r="G121" s="2" t="s">
        <v>3884</v>
      </c>
      <c r="H121" s="2">
        <v>606116</v>
      </c>
      <c r="I121" s="2">
        <v>1054583</v>
      </c>
      <c r="J121" s="2" t="s">
        <v>3889</v>
      </c>
      <c r="K121" s="2" t="s">
        <v>3895</v>
      </c>
      <c r="L121" s="2">
        <v>2025</v>
      </c>
      <c r="M121" s="2">
        <v>-448467</v>
      </c>
      <c r="N121" s="2">
        <f xml:space="preserve"> (Table1[[#This Row],[Variance (USD)]] / Table1[[#This Row],[Actual Spending (USD)]]) * 100</f>
        <v>-42.525529047974416</v>
      </c>
      <c r="O121" s="5" t="s">
        <v>3897</v>
      </c>
    </row>
    <row r="122" spans="1:15" x14ac:dyDescent="0.25">
      <c r="A122" s="4" t="s">
        <v>135</v>
      </c>
      <c r="B122" s="2" t="s">
        <v>3130</v>
      </c>
      <c r="C122" s="2" t="s">
        <v>3871</v>
      </c>
      <c r="D122" s="2" t="s">
        <v>3877</v>
      </c>
      <c r="E122" s="3">
        <v>45606</v>
      </c>
      <c r="F122" s="3">
        <v>45310</v>
      </c>
      <c r="G122" s="2" t="s">
        <v>3885</v>
      </c>
      <c r="H122" s="2">
        <v>642328</v>
      </c>
      <c r="I122" s="2">
        <v>1078120</v>
      </c>
      <c r="J122" s="2" t="s">
        <v>3891</v>
      </c>
      <c r="K122" s="2" t="s">
        <v>3893</v>
      </c>
      <c r="L122" s="2">
        <v>2023</v>
      </c>
      <c r="M122" s="2">
        <v>-435792</v>
      </c>
      <c r="N122" s="2">
        <f xml:space="preserve"> (Table1[[#This Row],[Variance (USD)]] / Table1[[#This Row],[Actual Spending (USD)]]) * 100</f>
        <v>-40.421474418432084</v>
      </c>
      <c r="O122" s="5" t="s">
        <v>3898</v>
      </c>
    </row>
    <row r="123" spans="1:15" x14ac:dyDescent="0.25">
      <c r="A123" s="4" t="s">
        <v>136</v>
      </c>
      <c r="B123" s="2" t="s">
        <v>3131</v>
      </c>
      <c r="C123" s="2" t="s">
        <v>3870</v>
      </c>
      <c r="D123" s="2" t="s">
        <v>3882</v>
      </c>
      <c r="E123" s="3">
        <v>45464</v>
      </c>
      <c r="F123" s="3">
        <v>46003</v>
      </c>
      <c r="G123" s="2" t="s">
        <v>3884</v>
      </c>
      <c r="H123" s="2">
        <v>406423</v>
      </c>
      <c r="I123" s="2">
        <v>1124811</v>
      </c>
      <c r="J123" s="2" t="s">
        <v>3888</v>
      </c>
      <c r="K123" s="2" t="s">
        <v>3894</v>
      </c>
      <c r="L123" s="2">
        <v>2024</v>
      </c>
      <c r="M123" s="2">
        <v>-718388</v>
      </c>
      <c r="N123" s="2">
        <f xml:space="preserve"> (Table1[[#This Row],[Variance (USD)]] / Table1[[#This Row],[Actual Spending (USD)]]) * 100</f>
        <v>-63.867440841172431</v>
      </c>
      <c r="O123" s="5" t="s">
        <v>3897</v>
      </c>
    </row>
    <row r="124" spans="1:15" x14ac:dyDescent="0.25">
      <c r="A124" s="4" t="s">
        <v>137</v>
      </c>
      <c r="B124" s="2" t="s">
        <v>3132</v>
      </c>
      <c r="C124" s="2" t="s">
        <v>3874</v>
      </c>
      <c r="D124" s="2" t="s">
        <v>3882</v>
      </c>
      <c r="E124" s="3">
        <v>44991</v>
      </c>
      <c r="F124" s="3">
        <v>45427</v>
      </c>
      <c r="G124" s="2" t="s">
        <v>3886</v>
      </c>
      <c r="H124" s="2">
        <v>144430</v>
      </c>
      <c r="I124" s="2">
        <v>537438</v>
      </c>
      <c r="J124" s="2" t="s">
        <v>3892</v>
      </c>
      <c r="K124" s="2" t="s">
        <v>3893</v>
      </c>
      <c r="L124" s="2">
        <v>2025</v>
      </c>
      <c r="M124" s="2">
        <v>-393008</v>
      </c>
      <c r="N124" s="2">
        <f xml:space="preserve"> (Table1[[#This Row],[Variance (USD)]] / Table1[[#This Row],[Actual Spending (USD)]]) * 100</f>
        <v>-73.126202464284248</v>
      </c>
      <c r="O124" s="5" t="s">
        <v>3899</v>
      </c>
    </row>
    <row r="125" spans="1:15" x14ac:dyDescent="0.25">
      <c r="A125" s="4" t="s">
        <v>138</v>
      </c>
      <c r="B125" s="2" t="s">
        <v>3051</v>
      </c>
      <c r="C125" s="2" t="s">
        <v>3869</v>
      </c>
      <c r="D125" s="2" t="s">
        <v>3878</v>
      </c>
      <c r="E125" s="3">
        <v>45538</v>
      </c>
      <c r="F125" s="3">
        <v>45514</v>
      </c>
      <c r="G125" s="2" t="s">
        <v>3884</v>
      </c>
      <c r="H125" s="2">
        <v>801891</v>
      </c>
      <c r="I125" s="2">
        <v>511517</v>
      </c>
      <c r="J125" s="2" t="s">
        <v>3888</v>
      </c>
      <c r="K125" s="2" t="s">
        <v>3894</v>
      </c>
      <c r="L125" s="2">
        <v>2025</v>
      </c>
      <c r="M125" s="2">
        <v>290374</v>
      </c>
      <c r="N125" s="2">
        <f xml:space="preserve"> (Table1[[#This Row],[Variance (USD)]] / Table1[[#This Row],[Actual Spending (USD)]]) * 100</f>
        <v>56.767223767734009</v>
      </c>
      <c r="O125" s="5" t="s">
        <v>3897</v>
      </c>
    </row>
    <row r="126" spans="1:15" x14ac:dyDescent="0.25">
      <c r="A126" s="4" t="s">
        <v>139</v>
      </c>
      <c r="B126" s="2" t="s">
        <v>3133</v>
      </c>
      <c r="C126" s="2" t="s">
        <v>3875</v>
      </c>
      <c r="D126" s="2" t="s">
        <v>3882</v>
      </c>
      <c r="E126" s="3">
        <v>45512</v>
      </c>
      <c r="F126" s="3">
        <v>45294</v>
      </c>
      <c r="G126" s="2" t="s">
        <v>3885</v>
      </c>
      <c r="H126" s="2">
        <v>500330</v>
      </c>
      <c r="I126" s="2">
        <v>570777</v>
      </c>
      <c r="J126" s="2" t="s">
        <v>3892</v>
      </c>
      <c r="K126" s="2" t="s">
        <v>3896</v>
      </c>
      <c r="L126" s="2">
        <v>2025</v>
      </c>
      <c r="M126" s="2">
        <v>-70447</v>
      </c>
      <c r="N126" s="2">
        <f xml:space="preserve"> (Table1[[#This Row],[Variance (USD)]] / Table1[[#This Row],[Actual Spending (USD)]]) * 100</f>
        <v>-12.342298305643009</v>
      </c>
      <c r="O126" s="5" t="s">
        <v>3898</v>
      </c>
    </row>
    <row r="127" spans="1:15" x14ac:dyDescent="0.25">
      <c r="A127" s="4" t="s">
        <v>140</v>
      </c>
      <c r="B127" s="2" t="s">
        <v>3134</v>
      </c>
      <c r="C127" s="2" t="s">
        <v>3869</v>
      </c>
      <c r="D127" s="2" t="s">
        <v>3882</v>
      </c>
      <c r="E127" s="3">
        <v>45630</v>
      </c>
      <c r="F127" s="3">
        <v>45527</v>
      </c>
      <c r="G127" s="2" t="s">
        <v>3886</v>
      </c>
      <c r="H127" s="2">
        <v>690245</v>
      </c>
      <c r="I127" s="2">
        <v>953322</v>
      </c>
      <c r="J127" s="2" t="s">
        <v>3891</v>
      </c>
      <c r="K127" s="2" t="s">
        <v>3896</v>
      </c>
      <c r="L127" s="2">
        <v>2024</v>
      </c>
      <c r="M127" s="2">
        <v>-263077</v>
      </c>
      <c r="N127" s="2">
        <f xml:space="preserve"> (Table1[[#This Row],[Variance (USD)]] / Table1[[#This Row],[Actual Spending (USD)]]) * 100</f>
        <v>-27.595817572656458</v>
      </c>
      <c r="O127" s="5" t="s">
        <v>3899</v>
      </c>
    </row>
    <row r="128" spans="1:15" x14ac:dyDescent="0.25">
      <c r="A128" s="4" t="s">
        <v>141</v>
      </c>
      <c r="B128" s="2" t="s">
        <v>3038</v>
      </c>
      <c r="C128" s="2" t="s">
        <v>3874</v>
      </c>
      <c r="D128" s="2" t="s">
        <v>3880</v>
      </c>
      <c r="E128" s="3">
        <v>45097</v>
      </c>
      <c r="F128" s="3">
        <v>45756</v>
      </c>
      <c r="G128" s="2" t="s">
        <v>3884</v>
      </c>
      <c r="H128" s="2">
        <v>592036</v>
      </c>
      <c r="I128" s="2">
        <v>416757</v>
      </c>
      <c r="J128" s="2" t="s">
        <v>3890</v>
      </c>
      <c r="K128" s="2" t="s">
        <v>3893</v>
      </c>
      <c r="L128" s="2">
        <v>2025</v>
      </c>
      <c r="M128" s="2">
        <v>175279</v>
      </c>
      <c r="N128" s="2">
        <f xml:space="preserve"> (Table1[[#This Row],[Variance (USD)]] / Table1[[#This Row],[Actual Spending (USD)]]) * 100</f>
        <v>42.057841859884775</v>
      </c>
      <c r="O128" s="5" t="s">
        <v>3897</v>
      </c>
    </row>
    <row r="129" spans="1:15" x14ac:dyDescent="0.25">
      <c r="A129" s="4" t="s">
        <v>142</v>
      </c>
      <c r="B129" s="2" t="s">
        <v>3135</v>
      </c>
      <c r="C129" s="2" t="s">
        <v>3871</v>
      </c>
      <c r="D129" s="2" t="s">
        <v>3880</v>
      </c>
      <c r="E129" s="3">
        <v>45199</v>
      </c>
      <c r="F129" s="3">
        <v>45519</v>
      </c>
      <c r="G129" s="2" t="s">
        <v>3884</v>
      </c>
      <c r="H129" s="2">
        <v>662924</v>
      </c>
      <c r="I129" s="2">
        <v>456365</v>
      </c>
      <c r="J129" s="2" t="s">
        <v>3892</v>
      </c>
      <c r="K129" s="2" t="s">
        <v>3896</v>
      </c>
      <c r="L129" s="2">
        <v>2025</v>
      </c>
      <c r="M129" s="2">
        <v>206559</v>
      </c>
      <c r="N129" s="2">
        <f xml:space="preserve"> (Table1[[#This Row],[Variance (USD)]] / Table1[[#This Row],[Actual Spending (USD)]]) * 100</f>
        <v>45.261797026502911</v>
      </c>
      <c r="O129" s="5" t="s">
        <v>3897</v>
      </c>
    </row>
    <row r="130" spans="1:15" x14ac:dyDescent="0.25">
      <c r="A130" s="4" t="s">
        <v>143</v>
      </c>
      <c r="B130" s="2" t="s">
        <v>3136</v>
      </c>
      <c r="C130" s="2" t="s">
        <v>3868</v>
      </c>
      <c r="D130" s="2" t="s">
        <v>3876</v>
      </c>
      <c r="E130" s="3">
        <v>45625</v>
      </c>
      <c r="F130" s="3">
        <v>45945</v>
      </c>
      <c r="G130" s="2" t="s">
        <v>3884</v>
      </c>
      <c r="H130" s="2">
        <v>739051</v>
      </c>
      <c r="I130" s="2">
        <v>974816</v>
      </c>
      <c r="J130" s="2" t="s">
        <v>3889</v>
      </c>
      <c r="K130" s="2" t="s">
        <v>3893</v>
      </c>
      <c r="L130" s="2">
        <v>2024</v>
      </c>
      <c r="M130" s="2">
        <v>-235765</v>
      </c>
      <c r="N130" s="2">
        <f xml:space="preserve"> (Table1[[#This Row],[Variance (USD)]] / Table1[[#This Row],[Actual Spending (USD)]]) * 100</f>
        <v>-24.185589895939337</v>
      </c>
      <c r="O130" s="5" t="s">
        <v>3897</v>
      </c>
    </row>
    <row r="131" spans="1:15" x14ac:dyDescent="0.25">
      <c r="A131" s="4" t="s">
        <v>144</v>
      </c>
      <c r="B131" s="2" t="s">
        <v>3137</v>
      </c>
      <c r="C131" s="2" t="s">
        <v>3870</v>
      </c>
      <c r="D131" s="2" t="s">
        <v>3881</v>
      </c>
      <c r="E131" s="3">
        <v>45461</v>
      </c>
      <c r="F131" s="3">
        <v>45790</v>
      </c>
      <c r="G131" s="2" t="s">
        <v>3887</v>
      </c>
      <c r="H131" s="2">
        <v>165158</v>
      </c>
      <c r="I131" s="2">
        <v>31316</v>
      </c>
      <c r="J131" s="2" t="s">
        <v>3889</v>
      </c>
      <c r="K131" s="2" t="s">
        <v>3895</v>
      </c>
      <c r="L131" s="2">
        <v>2025</v>
      </c>
      <c r="M131" s="2">
        <v>133842</v>
      </c>
      <c r="N131" s="2">
        <f xml:space="preserve"> (Table1[[#This Row],[Variance (USD)]] / Table1[[#This Row],[Actual Spending (USD)]]) * 100</f>
        <v>427.39174862690004</v>
      </c>
      <c r="O131" s="5" t="s">
        <v>3900</v>
      </c>
    </row>
    <row r="132" spans="1:15" x14ac:dyDescent="0.25">
      <c r="A132" s="4" t="s">
        <v>145</v>
      </c>
      <c r="B132" s="2" t="s">
        <v>3138</v>
      </c>
      <c r="C132" s="2" t="s">
        <v>3869</v>
      </c>
      <c r="D132" s="2" t="s">
        <v>3879</v>
      </c>
      <c r="E132" s="3">
        <v>45317</v>
      </c>
      <c r="F132" s="3">
        <v>45812</v>
      </c>
      <c r="G132" s="2" t="s">
        <v>3884</v>
      </c>
      <c r="H132" s="2">
        <v>269589</v>
      </c>
      <c r="I132" s="2">
        <v>1018494</v>
      </c>
      <c r="J132" s="2" t="s">
        <v>3889</v>
      </c>
      <c r="K132" s="2" t="s">
        <v>3894</v>
      </c>
      <c r="L132" s="2">
        <v>2024</v>
      </c>
      <c r="M132" s="2">
        <v>-748905</v>
      </c>
      <c r="N132" s="2">
        <f xml:space="preserve"> (Table1[[#This Row],[Variance (USD)]] / Table1[[#This Row],[Actual Spending (USD)]]) * 100</f>
        <v>-73.530624628127413</v>
      </c>
      <c r="O132" s="5" t="s">
        <v>3897</v>
      </c>
    </row>
    <row r="133" spans="1:15" x14ac:dyDescent="0.25">
      <c r="A133" s="4" t="s">
        <v>146</v>
      </c>
      <c r="B133" s="2" t="s">
        <v>3139</v>
      </c>
      <c r="C133" s="2" t="s">
        <v>3874</v>
      </c>
      <c r="D133" s="2" t="s">
        <v>3882</v>
      </c>
      <c r="E133" s="3">
        <v>45619</v>
      </c>
      <c r="F133" s="3">
        <v>45993</v>
      </c>
      <c r="G133" s="2" t="s">
        <v>3884</v>
      </c>
      <c r="H133" s="2">
        <v>246354</v>
      </c>
      <c r="I133" s="2">
        <v>90046</v>
      </c>
      <c r="J133" s="2" t="s">
        <v>3888</v>
      </c>
      <c r="K133" s="2" t="s">
        <v>3894</v>
      </c>
      <c r="L133" s="2">
        <v>2024</v>
      </c>
      <c r="M133" s="2">
        <v>156308</v>
      </c>
      <c r="N133" s="2">
        <f xml:space="preserve"> (Table1[[#This Row],[Variance (USD)]] / Table1[[#This Row],[Actual Spending (USD)]]) * 100</f>
        <v>173.58683339626413</v>
      </c>
      <c r="O133" s="5" t="s">
        <v>3897</v>
      </c>
    </row>
    <row r="134" spans="1:15" x14ac:dyDescent="0.25">
      <c r="A134" s="4" t="s">
        <v>147</v>
      </c>
      <c r="B134" s="2" t="s">
        <v>3140</v>
      </c>
      <c r="C134" s="2" t="s">
        <v>3869</v>
      </c>
      <c r="D134" s="2" t="s">
        <v>3876</v>
      </c>
      <c r="E134" s="3">
        <v>45253</v>
      </c>
      <c r="F134" s="3">
        <v>45968</v>
      </c>
      <c r="G134" s="2" t="s">
        <v>3884</v>
      </c>
      <c r="H134" s="2">
        <v>803604</v>
      </c>
      <c r="I134" s="2">
        <v>895075</v>
      </c>
      <c r="J134" s="2" t="s">
        <v>3888</v>
      </c>
      <c r="K134" s="2" t="s">
        <v>3895</v>
      </c>
      <c r="L134" s="2">
        <v>2025</v>
      </c>
      <c r="M134" s="2">
        <v>-91471</v>
      </c>
      <c r="N134" s="2">
        <f xml:space="preserve"> (Table1[[#This Row],[Variance (USD)]] / Table1[[#This Row],[Actual Spending (USD)]]) * 100</f>
        <v>-10.219367092143116</v>
      </c>
      <c r="O134" s="5" t="s">
        <v>3897</v>
      </c>
    </row>
    <row r="135" spans="1:15" x14ac:dyDescent="0.25">
      <c r="A135" s="4" t="s">
        <v>148</v>
      </c>
      <c r="B135" s="2" t="s">
        <v>3141</v>
      </c>
      <c r="C135" s="2" t="s">
        <v>3874</v>
      </c>
      <c r="D135" s="2" t="s">
        <v>3881</v>
      </c>
      <c r="E135" s="3">
        <v>45034</v>
      </c>
      <c r="F135" s="3">
        <v>45430</v>
      </c>
      <c r="G135" s="2" t="s">
        <v>3884</v>
      </c>
      <c r="H135" s="2">
        <v>765720</v>
      </c>
      <c r="I135" s="2">
        <v>1017114</v>
      </c>
      <c r="J135" s="2" t="s">
        <v>3888</v>
      </c>
      <c r="K135" s="2" t="s">
        <v>3895</v>
      </c>
      <c r="L135" s="2">
        <v>2023</v>
      </c>
      <c r="M135" s="2">
        <v>-251394</v>
      </c>
      <c r="N135" s="2">
        <f xml:space="preserve"> (Table1[[#This Row],[Variance (USD)]] / Table1[[#This Row],[Actual Spending (USD)]]) * 100</f>
        <v>-24.716403470997349</v>
      </c>
      <c r="O135" s="5" t="s">
        <v>3897</v>
      </c>
    </row>
    <row r="136" spans="1:15" x14ac:dyDescent="0.25">
      <c r="A136" s="4" t="s">
        <v>149</v>
      </c>
      <c r="B136" s="2" t="s">
        <v>3142</v>
      </c>
      <c r="C136" s="2" t="s">
        <v>3868</v>
      </c>
      <c r="D136" s="2" t="s">
        <v>3876</v>
      </c>
      <c r="E136" s="3">
        <v>45088</v>
      </c>
      <c r="F136" s="3">
        <v>45567</v>
      </c>
      <c r="G136" s="2" t="s">
        <v>3886</v>
      </c>
      <c r="H136" s="2">
        <v>322390</v>
      </c>
      <c r="I136" s="2">
        <v>145594</v>
      </c>
      <c r="J136" s="2" t="s">
        <v>3889</v>
      </c>
      <c r="K136" s="2" t="s">
        <v>3895</v>
      </c>
      <c r="L136" s="2">
        <v>2023</v>
      </c>
      <c r="M136" s="2">
        <v>176796</v>
      </c>
      <c r="N136" s="2">
        <f xml:space="preserve"> (Table1[[#This Row],[Variance (USD)]] / Table1[[#This Row],[Actual Spending (USD)]]) * 100</f>
        <v>121.43082819346951</v>
      </c>
      <c r="O136" s="5" t="s">
        <v>3899</v>
      </c>
    </row>
    <row r="137" spans="1:15" x14ac:dyDescent="0.25">
      <c r="A137" s="4" t="s">
        <v>150</v>
      </c>
      <c r="B137" s="2" t="s">
        <v>3143</v>
      </c>
      <c r="C137" s="2" t="s">
        <v>3870</v>
      </c>
      <c r="D137" s="2" t="s">
        <v>3876</v>
      </c>
      <c r="E137" s="3">
        <v>45378</v>
      </c>
      <c r="F137" s="3">
        <v>45582</v>
      </c>
      <c r="G137" s="2" t="s">
        <v>3887</v>
      </c>
      <c r="H137" s="2">
        <v>291851</v>
      </c>
      <c r="I137" s="2">
        <v>1053429</v>
      </c>
      <c r="J137" s="2" t="s">
        <v>3892</v>
      </c>
      <c r="K137" s="2" t="s">
        <v>3895</v>
      </c>
      <c r="L137" s="2">
        <v>2025</v>
      </c>
      <c r="M137" s="2">
        <v>-761578</v>
      </c>
      <c r="N137" s="2">
        <f xml:space="preserve"> (Table1[[#This Row],[Variance (USD)]] / Table1[[#This Row],[Actual Spending (USD)]]) * 100</f>
        <v>-72.295142814560833</v>
      </c>
      <c r="O137" s="5" t="s">
        <v>3900</v>
      </c>
    </row>
    <row r="138" spans="1:15" x14ac:dyDescent="0.25">
      <c r="A138" s="4" t="s">
        <v>151</v>
      </c>
      <c r="B138" s="2" t="s">
        <v>3144</v>
      </c>
      <c r="C138" s="2" t="s">
        <v>3875</v>
      </c>
      <c r="D138" s="2" t="s">
        <v>3879</v>
      </c>
      <c r="E138" s="3">
        <v>45132</v>
      </c>
      <c r="F138" s="3">
        <v>45344</v>
      </c>
      <c r="G138" s="2" t="s">
        <v>3884</v>
      </c>
      <c r="H138" s="2">
        <v>109395</v>
      </c>
      <c r="I138" s="2">
        <v>538566</v>
      </c>
      <c r="J138" s="2" t="s">
        <v>3889</v>
      </c>
      <c r="K138" s="2" t="s">
        <v>3896</v>
      </c>
      <c r="L138" s="2">
        <v>2024</v>
      </c>
      <c r="M138" s="2">
        <v>-429171</v>
      </c>
      <c r="N138" s="2">
        <f xml:space="preserve"> (Table1[[#This Row],[Variance (USD)]] / Table1[[#This Row],[Actual Spending (USD)]]) * 100</f>
        <v>-79.687726295384408</v>
      </c>
      <c r="O138" s="5" t="s">
        <v>3897</v>
      </c>
    </row>
    <row r="139" spans="1:15" x14ac:dyDescent="0.25">
      <c r="A139" s="4" t="s">
        <v>152</v>
      </c>
      <c r="B139" s="2" t="s">
        <v>3145</v>
      </c>
      <c r="C139" s="2" t="s">
        <v>3868</v>
      </c>
      <c r="D139" s="2" t="s">
        <v>3879</v>
      </c>
      <c r="E139" s="3">
        <v>45516</v>
      </c>
      <c r="F139" s="3">
        <v>45978</v>
      </c>
      <c r="G139" s="2" t="s">
        <v>3885</v>
      </c>
      <c r="H139" s="2">
        <v>737846</v>
      </c>
      <c r="I139" s="2">
        <v>682583</v>
      </c>
      <c r="J139" s="2" t="s">
        <v>3892</v>
      </c>
      <c r="K139" s="2" t="s">
        <v>3894</v>
      </c>
      <c r="L139" s="2">
        <v>2024</v>
      </c>
      <c r="M139" s="2">
        <v>55263</v>
      </c>
      <c r="N139" s="2">
        <f xml:space="preserve"> (Table1[[#This Row],[Variance (USD)]] / Table1[[#This Row],[Actual Spending (USD)]]) * 100</f>
        <v>8.0961582693972751</v>
      </c>
      <c r="O139" s="5" t="s">
        <v>3898</v>
      </c>
    </row>
    <row r="140" spans="1:15" x14ac:dyDescent="0.25">
      <c r="A140" s="4" t="s">
        <v>153</v>
      </c>
      <c r="B140" s="2" t="s">
        <v>3146</v>
      </c>
      <c r="C140" s="2" t="s">
        <v>3869</v>
      </c>
      <c r="D140" s="2" t="s">
        <v>3883</v>
      </c>
      <c r="E140" s="3">
        <v>44942</v>
      </c>
      <c r="F140" s="3">
        <v>45401</v>
      </c>
      <c r="G140" s="2" t="s">
        <v>3884</v>
      </c>
      <c r="H140" s="2">
        <v>473556</v>
      </c>
      <c r="I140" s="2">
        <v>708462</v>
      </c>
      <c r="J140" s="2" t="s">
        <v>3888</v>
      </c>
      <c r="K140" s="2" t="s">
        <v>3894</v>
      </c>
      <c r="L140" s="2">
        <v>2024</v>
      </c>
      <c r="M140" s="2">
        <v>-234906</v>
      </c>
      <c r="N140" s="2">
        <f xml:space="preserve"> (Table1[[#This Row],[Variance (USD)]] / Table1[[#This Row],[Actual Spending (USD)]]) * 100</f>
        <v>-33.157177096301567</v>
      </c>
      <c r="O140" s="5" t="s">
        <v>3897</v>
      </c>
    </row>
    <row r="141" spans="1:15" x14ac:dyDescent="0.25">
      <c r="A141" s="4" t="s">
        <v>154</v>
      </c>
      <c r="B141" s="2" t="s">
        <v>3147</v>
      </c>
      <c r="C141" s="2" t="s">
        <v>3875</v>
      </c>
      <c r="D141" s="2" t="s">
        <v>3878</v>
      </c>
      <c r="E141" s="3">
        <v>45253</v>
      </c>
      <c r="F141" s="3">
        <v>46006</v>
      </c>
      <c r="G141" s="2" t="s">
        <v>3884</v>
      </c>
      <c r="H141" s="2">
        <v>362444</v>
      </c>
      <c r="I141" s="2">
        <v>1193006</v>
      </c>
      <c r="J141" s="2" t="s">
        <v>3890</v>
      </c>
      <c r="K141" s="2" t="s">
        <v>3895</v>
      </c>
      <c r="L141" s="2">
        <v>2025</v>
      </c>
      <c r="M141" s="2">
        <v>-830562</v>
      </c>
      <c r="N141" s="2">
        <f xml:space="preserve"> (Table1[[#This Row],[Variance (USD)]] / Table1[[#This Row],[Actual Spending (USD)]]) * 100</f>
        <v>-69.619264278637331</v>
      </c>
      <c r="O141" s="5" t="s">
        <v>3897</v>
      </c>
    </row>
    <row r="142" spans="1:15" x14ac:dyDescent="0.25">
      <c r="A142" s="4" t="s">
        <v>155</v>
      </c>
      <c r="B142" s="2" t="s">
        <v>3148</v>
      </c>
      <c r="C142" s="2" t="s">
        <v>3874</v>
      </c>
      <c r="D142" s="2" t="s">
        <v>3878</v>
      </c>
      <c r="E142" s="3">
        <v>45534</v>
      </c>
      <c r="F142" s="3">
        <v>45939</v>
      </c>
      <c r="G142" s="2" t="s">
        <v>3884</v>
      </c>
      <c r="H142" s="2">
        <v>446302</v>
      </c>
      <c r="I142" s="2">
        <v>792318</v>
      </c>
      <c r="J142" s="2" t="s">
        <v>3888</v>
      </c>
      <c r="K142" s="2" t="s">
        <v>3893</v>
      </c>
      <c r="L142" s="2">
        <v>2023</v>
      </c>
      <c r="M142" s="2">
        <v>-346016</v>
      </c>
      <c r="N142" s="2">
        <f xml:space="preserve"> (Table1[[#This Row],[Variance (USD)]] / Table1[[#This Row],[Actual Spending (USD)]]) * 100</f>
        <v>-43.671354178499037</v>
      </c>
      <c r="O142" s="5" t="s">
        <v>3897</v>
      </c>
    </row>
    <row r="143" spans="1:15" x14ac:dyDescent="0.25">
      <c r="A143" s="4" t="s">
        <v>156</v>
      </c>
      <c r="B143" s="2" t="s">
        <v>3149</v>
      </c>
      <c r="C143" s="2" t="s">
        <v>3875</v>
      </c>
      <c r="D143" s="2" t="s">
        <v>3883</v>
      </c>
      <c r="E143" s="3">
        <v>45585</v>
      </c>
      <c r="F143" s="3">
        <v>45295</v>
      </c>
      <c r="G143" s="2" t="s">
        <v>3886</v>
      </c>
      <c r="H143" s="2">
        <v>272143</v>
      </c>
      <c r="I143" s="2">
        <v>979461</v>
      </c>
      <c r="J143" s="2" t="s">
        <v>3891</v>
      </c>
      <c r="K143" s="2" t="s">
        <v>3893</v>
      </c>
      <c r="L143" s="2">
        <v>2024</v>
      </c>
      <c r="M143" s="2">
        <v>-707318</v>
      </c>
      <c r="N143" s="2">
        <f xml:space="preserve"> (Table1[[#This Row],[Variance (USD)]] / Table1[[#This Row],[Actual Spending (USD)]]) * 100</f>
        <v>-72.215024385861199</v>
      </c>
      <c r="O143" s="5" t="s">
        <v>3899</v>
      </c>
    </row>
    <row r="144" spans="1:15" x14ac:dyDescent="0.25">
      <c r="A144" s="4" t="s">
        <v>157</v>
      </c>
      <c r="B144" s="2" t="s">
        <v>3128</v>
      </c>
      <c r="C144" s="2" t="s">
        <v>3874</v>
      </c>
      <c r="D144" s="2" t="s">
        <v>3883</v>
      </c>
      <c r="E144" s="3">
        <v>44928</v>
      </c>
      <c r="F144" s="3">
        <v>45958</v>
      </c>
      <c r="G144" s="2" t="s">
        <v>3887</v>
      </c>
      <c r="H144" s="2">
        <v>836401</v>
      </c>
      <c r="I144" s="2">
        <v>436088</v>
      </c>
      <c r="J144" s="2" t="s">
        <v>3892</v>
      </c>
      <c r="K144" s="2" t="s">
        <v>3893</v>
      </c>
      <c r="L144" s="2">
        <v>2024</v>
      </c>
      <c r="M144" s="2">
        <v>400313</v>
      </c>
      <c r="N144" s="2">
        <f xml:space="preserve"> (Table1[[#This Row],[Variance (USD)]] / Table1[[#This Row],[Actual Spending (USD)]]) * 100</f>
        <v>91.796380547045558</v>
      </c>
      <c r="O144" s="5" t="s">
        <v>3900</v>
      </c>
    </row>
    <row r="145" spans="1:15" x14ac:dyDescent="0.25">
      <c r="A145" s="4" t="s">
        <v>158</v>
      </c>
      <c r="B145" s="2" t="s">
        <v>3150</v>
      </c>
      <c r="C145" s="2" t="s">
        <v>3868</v>
      </c>
      <c r="D145" s="2" t="s">
        <v>3880</v>
      </c>
      <c r="E145" s="3">
        <v>44936</v>
      </c>
      <c r="F145" s="3">
        <v>45975</v>
      </c>
      <c r="G145" s="2" t="s">
        <v>3885</v>
      </c>
      <c r="H145" s="2">
        <v>851292</v>
      </c>
      <c r="I145" s="2">
        <v>604382</v>
      </c>
      <c r="J145" s="2" t="s">
        <v>3890</v>
      </c>
      <c r="K145" s="2" t="s">
        <v>3893</v>
      </c>
      <c r="L145" s="2">
        <v>2025</v>
      </c>
      <c r="M145" s="2">
        <v>246910</v>
      </c>
      <c r="N145" s="2">
        <f xml:space="preserve"> (Table1[[#This Row],[Variance (USD)]] / Table1[[#This Row],[Actual Spending (USD)]]) * 100</f>
        <v>40.853301388856714</v>
      </c>
      <c r="O145" s="5" t="s">
        <v>3898</v>
      </c>
    </row>
    <row r="146" spans="1:15" x14ac:dyDescent="0.25">
      <c r="A146" s="4" t="s">
        <v>159</v>
      </c>
      <c r="B146" s="2" t="s">
        <v>3151</v>
      </c>
      <c r="C146" s="2" t="s">
        <v>3869</v>
      </c>
      <c r="D146" s="2" t="s">
        <v>3881</v>
      </c>
      <c r="E146" s="3">
        <v>45360</v>
      </c>
      <c r="F146" s="3">
        <v>45338</v>
      </c>
      <c r="G146" s="2" t="s">
        <v>3884</v>
      </c>
      <c r="H146" s="2">
        <v>591301</v>
      </c>
      <c r="I146" s="2">
        <v>864151</v>
      </c>
      <c r="J146" s="2" t="s">
        <v>3888</v>
      </c>
      <c r="K146" s="2" t="s">
        <v>3896</v>
      </c>
      <c r="L146" s="2">
        <v>2023</v>
      </c>
      <c r="M146" s="2">
        <v>-272850</v>
      </c>
      <c r="N146" s="2">
        <f xml:space="preserve"> (Table1[[#This Row],[Variance (USD)]] / Table1[[#This Row],[Actual Spending (USD)]]) * 100</f>
        <v>-31.574342909977538</v>
      </c>
      <c r="O146" s="5" t="s">
        <v>3897</v>
      </c>
    </row>
    <row r="147" spans="1:15" x14ac:dyDescent="0.25">
      <c r="A147" s="4" t="s">
        <v>160</v>
      </c>
      <c r="B147" s="2" t="s">
        <v>3152</v>
      </c>
      <c r="C147" s="2" t="s">
        <v>3871</v>
      </c>
      <c r="D147" s="2" t="s">
        <v>3876</v>
      </c>
      <c r="E147" s="3">
        <v>45051</v>
      </c>
      <c r="F147" s="3">
        <v>45385</v>
      </c>
      <c r="G147" s="2" t="s">
        <v>3884</v>
      </c>
      <c r="H147" s="2">
        <v>450623</v>
      </c>
      <c r="I147" s="2">
        <v>683114</v>
      </c>
      <c r="J147" s="2" t="s">
        <v>3890</v>
      </c>
      <c r="K147" s="2" t="s">
        <v>3894</v>
      </c>
      <c r="L147" s="2">
        <v>2023</v>
      </c>
      <c r="M147" s="2">
        <v>-232491</v>
      </c>
      <c r="N147" s="2">
        <f xml:space="preserve"> (Table1[[#This Row],[Variance (USD)]] / Table1[[#This Row],[Actual Spending (USD)]]) * 100</f>
        <v>-34.033997253752666</v>
      </c>
      <c r="O147" s="5" t="s">
        <v>3897</v>
      </c>
    </row>
    <row r="148" spans="1:15" x14ac:dyDescent="0.25">
      <c r="A148" s="4" t="s">
        <v>161</v>
      </c>
      <c r="B148" s="2" t="s">
        <v>3153</v>
      </c>
      <c r="C148" s="2" t="s">
        <v>3869</v>
      </c>
      <c r="D148" s="2" t="s">
        <v>3882</v>
      </c>
      <c r="E148" s="3">
        <v>45007</v>
      </c>
      <c r="F148" s="3">
        <v>45851</v>
      </c>
      <c r="G148" s="2" t="s">
        <v>3884</v>
      </c>
      <c r="H148" s="2">
        <v>607830</v>
      </c>
      <c r="I148" s="2">
        <v>866910</v>
      </c>
      <c r="J148" s="2" t="s">
        <v>3889</v>
      </c>
      <c r="K148" s="2" t="s">
        <v>3894</v>
      </c>
      <c r="L148" s="2">
        <v>2025</v>
      </c>
      <c r="M148" s="2">
        <v>-259080</v>
      </c>
      <c r="N148" s="2">
        <f xml:space="preserve"> (Table1[[#This Row],[Variance (USD)]] / Table1[[#This Row],[Actual Spending (USD)]]) * 100</f>
        <v>-29.885455237567914</v>
      </c>
      <c r="O148" s="5" t="s">
        <v>3897</v>
      </c>
    </row>
    <row r="149" spans="1:15" x14ac:dyDescent="0.25">
      <c r="A149" s="4" t="s">
        <v>162</v>
      </c>
      <c r="B149" s="2" t="s">
        <v>3154</v>
      </c>
      <c r="C149" s="2" t="s">
        <v>3874</v>
      </c>
      <c r="D149" s="2" t="s">
        <v>3883</v>
      </c>
      <c r="E149" s="3">
        <v>45411</v>
      </c>
      <c r="F149" s="3">
        <v>45504</v>
      </c>
      <c r="G149" s="2" t="s">
        <v>3885</v>
      </c>
      <c r="H149" s="2">
        <v>74935</v>
      </c>
      <c r="I149" s="2">
        <v>783523</v>
      </c>
      <c r="J149" s="2" t="s">
        <v>3892</v>
      </c>
      <c r="K149" s="2" t="s">
        <v>3894</v>
      </c>
      <c r="L149" s="2">
        <v>2023</v>
      </c>
      <c r="M149" s="2">
        <v>-708588</v>
      </c>
      <c r="N149" s="2">
        <f xml:space="preserve"> (Table1[[#This Row],[Variance (USD)]] / Table1[[#This Row],[Actual Spending (USD)]]) * 100</f>
        <v>-90.436145460950087</v>
      </c>
      <c r="O149" s="5" t="s">
        <v>3898</v>
      </c>
    </row>
    <row r="150" spans="1:15" x14ac:dyDescent="0.25">
      <c r="A150" s="4" t="s">
        <v>163</v>
      </c>
      <c r="B150" s="2" t="s">
        <v>3155</v>
      </c>
      <c r="C150" s="2" t="s">
        <v>3873</v>
      </c>
      <c r="D150" s="2" t="s">
        <v>3877</v>
      </c>
      <c r="E150" s="3">
        <v>45578</v>
      </c>
      <c r="F150" s="3">
        <v>45727</v>
      </c>
      <c r="G150" s="2" t="s">
        <v>3885</v>
      </c>
      <c r="H150" s="2">
        <v>550229</v>
      </c>
      <c r="I150" s="2">
        <v>73677</v>
      </c>
      <c r="J150" s="2" t="s">
        <v>3891</v>
      </c>
      <c r="K150" s="2" t="s">
        <v>3893</v>
      </c>
      <c r="L150" s="2">
        <v>2025</v>
      </c>
      <c r="M150" s="2">
        <v>476552</v>
      </c>
      <c r="N150" s="2">
        <f xml:space="preserve"> (Table1[[#This Row],[Variance (USD)]] / Table1[[#This Row],[Actual Spending (USD)]]) * 100</f>
        <v>646.81243807429723</v>
      </c>
      <c r="O150" s="5" t="s">
        <v>3898</v>
      </c>
    </row>
    <row r="151" spans="1:15" x14ac:dyDescent="0.25">
      <c r="A151" s="4" t="s">
        <v>164</v>
      </c>
      <c r="B151" s="2" t="s">
        <v>3156</v>
      </c>
      <c r="C151" s="2" t="s">
        <v>3870</v>
      </c>
      <c r="D151" s="2" t="s">
        <v>3878</v>
      </c>
      <c r="E151" s="3">
        <v>45076</v>
      </c>
      <c r="F151" s="3">
        <v>45799</v>
      </c>
      <c r="G151" s="2" t="s">
        <v>3886</v>
      </c>
      <c r="H151" s="2">
        <v>623367</v>
      </c>
      <c r="I151" s="2">
        <v>294250</v>
      </c>
      <c r="J151" s="2" t="s">
        <v>3889</v>
      </c>
      <c r="K151" s="2" t="s">
        <v>3895</v>
      </c>
      <c r="L151" s="2">
        <v>2024</v>
      </c>
      <c r="M151" s="2">
        <v>329117</v>
      </c>
      <c r="N151" s="2">
        <f xml:space="preserve"> (Table1[[#This Row],[Variance (USD)]] / Table1[[#This Row],[Actual Spending (USD)]]) * 100</f>
        <v>111.84944774851317</v>
      </c>
      <c r="O151" s="5" t="s">
        <v>3899</v>
      </c>
    </row>
    <row r="152" spans="1:15" x14ac:dyDescent="0.25">
      <c r="A152" s="4" t="s">
        <v>165</v>
      </c>
      <c r="B152" s="2" t="s">
        <v>3157</v>
      </c>
      <c r="C152" s="2" t="s">
        <v>3872</v>
      </c>
      <c r="D152" s="2" t="s">
        <v>3883</v>
      </c>
      <c r="E152" s="3">
        <v>45266</v>
      </c>
      <c r="F152" s="3">
        <v>45942</v>
      </c>
      <c r="G152" s="2" t="s">
        <v>3884</v>
      </c>
      <c r="H152" s="2">
        <v>84111</v>
      </c>
      <c r="I152" s="2">
        <v>436885</v>
      </c>
      <c r="J152" s="2" t="s">
        <v>3890</v>
      </c>
      <c r="K152" s="2" t="s">
        <v>3893</v>
      </c>
      <c r="L152" s="2">
        <v>2025</v>
      </c>
      <c r="M152" s="2">
        <v>-352774</v>
      </c>
      <c r="N152" s="2">
        <f xml:space="preserve"> (Table1[[#This Row],[Variance (USD)]] / Table1[[#This Row],[Actual Spending (USD)]]) * 100</f>
        <v>-80.747565148723339</v>
      </c>
      <c r="O152" s="5" t="s">
        <v>3897</v>
      </c>
    </row>
    <row r="153" spans="1:15" x14ac:dyDescent="0.25">
      <c r="A153" s="4" t="s">
        <v>166</v>
      </c>
      <c r="B153" s="2" t="s">
        <v>3158</v>
      </c>
      <c r="C153" s="2" t="s">
        <v>3871</v>
      </c>
      <c r="D153" s="2" t="s">
        <v>3877</v>
      </c>
      <c r="E153" s="3">
        <v>45055</v>
      </c>
      <c r="F153" s="3">
        <v>45496</v>
      </c>
      <c r="G153" s="2" t="s">
        <v>3884</v>
      </c>
      <c r="H153" s="2">
        <v>892982</v>
      </c>
      <c r="I153" s="2">
        <v>542703</v>
      </c>
      <c r="J153" s="2" t="s">
        <v>3888</v>
      </c>
      <c r="K153" s="2" t="s">
        <v>3894</v>
      </c>
      <c r="L153" s="2">
        <v>2024</v>
      </c>
      <c r="M153" s="2">
        <v>350279</v>
      </c>
      <c r="N153" s="2">
        <f xml:space="preserve"> (Table1[[#This Row],[Variance (USD)]] / Table1[[#This Row],[Actual Spending (USD)]]) * 100</f>
        <v>64.543405877616294</v>
      </c>
      <c r="O153" s="5" t="s">
        <v>3897</v>
      </c>
    </row>
    <row r="154" spans="1:15" x14ac:dyDescent="0.25">
      <c r="A154" s="4" t="s">
        <v>167</v>
      </c>
      <c r="B154" s="2" t="s">
        <v>3159</v>
      </c>
      <c r="C154" s="2" t="s">
        <v>3875</v>
      </c>
      <c r="D154" s="2" t="s">
        <v>3877</v>
      </c>
      <c r="E154" s="3">
        <v>45364</v>
      </c>
      <c r="F154" s="3">
        <v>45672</v>
      </c>
      <c r="G154" s="2" t="s">
        <v>3884</v>
      </c>
      <c r="H154" s="2">
        <v>256769</v>
      </c>
      <c r="I154" s="2">
        <v>1103799</v>
      </c>
      <c r="J154" s="2" t="s">
        <v>3892</v>
      </c>
      <c r="K154" s="2" t="s">
        <v>3893</v>
      </c>
      <c r="L154" s="2">
        <v>2025</v>
      </c>
      <c r="M154" s="2">
        <v>-847030</v>
      </c>
      <c r="N154" s="2">
        <f xml:space="preserve"> (Table1[[#This Row],[Variance (USD)]] / Table1[[#This Row],[Actual Spending (USD)]]) * 100</f>
        <v>-76.737703150664203</v>
      </c>
      <c r="O154" s="5" t="s">
        <v>3897</v>
      </c>
    </row>
    <row r="155" spans="1:15" x14ac:dyDescent="0.25">
      <c r="A155" s="4" t="s">
        <v>168</v>
      </c>
      <c r="B155" s="2" t="s">
        <v>3160</v>
      </c>
      <c r="C155" s="2" t="s">
        <v>3871</v>
      </c>
      <c r="D155" s="2" t="s">
        <v>3877</v>
      </c>
      <c r="E155" s="3">
        <v>45427</v>
      </c>
      <c r="F155" s="3">
        <v>45364</v>
      </c>
      <c r="G155" s="2" t="s">
        <v>3884</v>
      </c>
      <c r="H155" s="2">
        <v>532333</v>
      </c>
      <c r="I155" s="2">
        <v>483882</v>
      </c>
      <c r="J155" s="2" t="s">
        <v>3891</v>
      </c>
      <c r="K155" s="2" t="s">
        <v>3895</v>
      </c>
      <c r="L155" s="2">
        <v>2024</v>
      </c>
      <c r="M155" s="2">
        <v>48451</v>
      </c>
      <c r="N155" s="2">
        <f xml:space="preserve"> (Table1[[#This Row],[Variance (USD)]] / Table1[[#This Row],[Actual Spending (USD)]]) * 100</f>
        <v>10.012978370759813</v>
      </c>
      <c r="O155" s="5" t="s">
        <v>3897</v>
      </c>
    </row>
    <row r="156" spans="1:15" x14ac:dyDescent="0.25">
      <c r="A156" s="4" t="s">
        <v>169</v>
      </c>
      <c r="B156" s="2" t="s">
        <v>3161</v>
      </c>
      <c r="C156" s="2" t="s">
        <v>3870</v>
      </c>
      <c r="D156" s="2" t="s">
        <v>3880</v>
      </c>
      <c r="E156" s="3">
        <v>44984</v>
      </c>
      <c r="F156" s="3">
        <v>45807</v>
      </c>
      <c r="G156" s="2" t="s">
        <v>3884</v>
      </c>
      <c r="H156" s="2">
        <v>541029</v>
      </c>
      <c r="I156" s="2">
        <v>491235</v>
      </c>
      <c r="J156" s="2" t="s">
        <v>3888</v>
      </c>
      <c r="K156" s="2" t="s">
        <v>3895</v>
      </c>
      <c r="L156" s="2">
        <v>2024</v>
      </c>
      <c r="M156" s="2">
        <v>49794</v>
      </c>
      <c r="N156" s="2">
        <f xml:space="preserve"> (Table1[[#This Row],[Variance (USD)]] / Table1[[#This Row],[Actual Spending (USD)]]) * 100</f>
        <v>10.13649271733488</v>
      </c>
      <c r="O156" s="5" t="s">
        <v>3897</v>
      </c>
    </row>
    <row r="157" spans="1:15" x14ac:dyDescent="0.25">
      <c r="A157" s="4" t="s">
        <v>170</v>
      </c>
      <c r="B157" s="2" t="s">
        <v>3162</v>
      </c>
      <c r="C157" s="2" t="s">
        <v>3875</v>
      </c>
      <c r="D157" s="2" t="s">
        <v>3880</v>
      </c>
      <c r="E157" s="3">
        <v>45124</v>
      </c>
      <c r="F157" s="3">
        <v>45367</v>
      </c>
      <c r="G157" s="2" t="s">
        <v>3884</v>
      </c>
      <c r="H157" s="2">
        <v>268008</v>
      </c>
      <c r="I157" s="2">
        <v>450698</v>
      </c>
      <c r="J157" s="2" t="s">
        <v>3891</v>
      </c>
      <c r="K157" s="2" t="s">
        <v>3893</v>
      </c>
      <c r="L157" s="2">
        <v>2025</v>
      </c>
      <c r="M157" s="2">
        <v>-182690</v>
      </c>
      <c r="N157" s="2">
        <f xml:space="preserve"> (Table1[[#This Row],[Variance (USD)]] / Table1[[#This Row],[Actual Spending (USD)]]) * 100</f>
        <v>-40.534903638356504</v>
      </c>
      <c r="O157" s="5" t="s">
        <v>3897</v>
      </c>
    </row>
    <row r="158" spans="1:15" x14ac:dyDescent="0.25">
      <c r="A158" s="4" t="s">
        <v>171</v>
      </c>
      <c r="B158" s="2" t="s">
        <v>3163</v>
      </c>
      <c r="C158" s="2" t="s">
        <v>3870</v>
      </c>
      <c r="D158" s="2" t="s">
        <v>3882</v>
      </c>
      <c r="E158" s="3">
        <v>45137</v>
      </c>
      <c r="F158" s="3">
        <v>45368</v>
      </c>
      <c r="G158" s="2" t="s">
        <v>3884</v>
      </c>
      <c r="H158" s="2">
        <v>913387</v>
      </c>
      <c r="I158" s="2">
        <v>876801</v>
      </c>
      <c r="J158" s="2" t="s">
        <v>3892</v>
      </c>
      <c r="K158" s="2" t="s">
        <v>3894</v>
      </c>
      <c r="L158" s="2">
        <v>2024</v>
      </c>
      <c r="M158" s="2">
        <v>36586</v>
      </c>
      <c r="N158" s="2">
        <f xml:space="preserve"> (Table1[[#This Row],[Variance (USD)]] / Table1[[#This Row],[Actual Spending (USD)]]) * 100</f>
        <v>4.1726685986900103</v>
      </c>
      <c r="O158" s="5" t="s">
        <v>3897</v>
      </c>
    </row>
    <row r="159" spans="1:15" x14ac:dyDescent="0.25">
      <c r="A159" s="4" t="s">
        <v>172</v>
      </c>
      <c r="B159" s="2" t="s">
        <v>3032</v>
      </c>
      <c r="C159" s="2" t="s">
        <v>3875</v>
      </c>
      <c r="D159" s="2" t="s">
        <v>3882</v>
      </c>
      <c r="E159" s="3">
        <v>44971</v>
      </c>
      <c r="F159" s="3">
        <v>45701</v>
      </c>
      <c r="G159" s="2" t="s">
        <v>3885</v>
      </c>
      <c r="H159" s="2">
        <v>90565</v>
      </c>
      <c r="I159" s="2">
        <v>719503</v>
      </c>
      <c r="J159" s="2" t="s">
        <v>3890</v>
      </c>
      <c r="K159" s="2" t="s">
        <v>3896</v>
      </c>
      <c r="L159" s="2">
        <v>2023</v>
      </c>
      <c r="M159" s="2">
        <v>-628938</v>
      </c>
      <c r="N159" s="2">
        <f xml:space="preserve"> (Table1[[#This Row],[Variance (USD)]] / Table1[[#This Row],[Actual Spending (USD)]]) * 100</f>
        <v>-87.412839140351053</v>
      </c>
      <c r="O159" s="5" t="s">
        <v>3898</v>
      </c>
    </row>
    <row r="160" spans="1:15" x14ac:dyDescent="0.25">
      <c r="A160" s="4" t="s">
        <v>173</v>
      </c>
      <c r="B160" s="2" t="s">
        <v>3164</v>
      </c>
      <c r="C160" s="2" t="s">
        <v>3871</v>
      </c>
      <c r="D160" s="2" t="s">
        <v>3877</v>
      </c>
      <c r="E160" s="3">
        <v>45023</v>
      </c>
      <c r="F160" s="3">
        <v>45905</v>
      </c>
      <c r="G160" s="2" t="s">
        <v>3886</v>
      </c>
      <c r="H160" s="2">
        <v>69283</v>
      </c>
      <c r="I160" s="2">
        <v>815977</v>
      </c>
      <c r="J160" s="2" t="s">
        <v>3891</v>
      </c>
      <c r="K160" s="2" t="s">
        <v>3894</v>
      </c>
      <c r="L160" s="2">
        <v>2025</v>
      </c>
      <c r="M160" s="2">
        <v>-746694</v>
      </c>
      <c r="N160" s="2">
        <f xml:space="preserve"> (Table1[[#This Row],[Variance (USD)]] / Table1[[#This Row],[Actual Spending (USD)]]) * 100</f>
        <v>-91.509196950404231</v>
      </c>
      <c r="O160" s="5" t="s">
        <v>3899</v>
      </c>
    </row>
    <row r="161" spans="1:15" x14ac:dyDescent="0.25">
      <c r="A161" s="4" t="s">
        <v>174</v>
      </c>
      <c r="B161" s="2" t="s">
        <v>3165</v>
      </c>
      <c r="C161" s="2" t="s">
        <v>3875</v>
      </c>
      <c r="D161" s="2" t="s">
        <v>3881</v>
      </c>
      <c r="E161" s="3">
        <v>45205</v>
      </c>
      <c r="F161" s="3">
        <v>45397</v>
      </c>
      <c r="G161" s="2" t="s">
        <v>3884</v>
      </c>
      <c r="H161" s="2">
        <v>902902</v>
      </c>
      <c r="I161" s="2">
        <v>302159</v>
      </c>
      <c r="J161" s="2" t="s">
        <v>3892</v>
      </c>
      <c r="K161" s="2" t="s">
        <v>3896</v>
      </c>
      <c r="L161" s="2">
        <v>2023</v>
      </c>
      <c r="M161" s="2">
        <v>600743</v>
      </c>
      <c r="N161" s="2">
        <f xml:space="preserve"> (Table1[[#This Row],[Variance (USD)]] / Table1[[#This Row],[Actual Spending (USD)]]) * 100</f>
        <v>198.81684808329391</v>
      </c>
      <c r="O161" s="5" t="s">
        <v>3897</v>
      </c>
    </row>
    <row r="162" spans="1:15" x14ac:dyDescent="0.25">
      <c r="A162" s="4" t="s">
        <v>175</v>
      </c>
      <c r="B162" s="2" t="s">
        <v>3166</v>
      </c>
      <c r="C162" s="2" t="s">
        <v>3875</v>
      </c>
      <c r="D162" s="2" t="s">
        <v>3880</v>
      </c>
      <c r="E162" s="3">
        <v>45461</v>
      </c>
      <c r="F162" s="3">
        <v>45842</v>
      </c>
      <c r="G162" s="2" t="s">
        <v>3884</v>
      </c>
      <c r="H162" s="2">
        <v>281362</v>
      </c>
      <c r="I162" s="2">
        <v>898596</v>
      </c>
      <c r="J162" s="2" t="s">
        <v>3891</v>
      </c>
      <c r="K162" s="2" t="s">
        <v>3894</v>
      </c>
      <c r="L162" s="2">
        <v>2024</v>
      </c>
      <c r="M162" s="2">
        <v>-617234</v>
      </c>
      <c r="N162" s="2">
        <f xml:space="preserve"> (Table1[[#This Row],[Variance (USD)]] / Table1[[#This Row],[Actual Spending (USD)]]) * 100</f>
        <v>-68.68870994306674</v>
      </c>
      <c r="O162" s="5" t="s">
        <v>3897</v>
      </c>
    </row>
    <row r="163" spans="1:15" x14ac:dyDescent="0.25">
      <c r="A163" s="4" t="s">
        <v>176</v>
      </c>
      <c r="B163" s="2" t="s">
        <v>3167</v>
      </c>
      <c r="C163" s="2" t="s">
        <v>3873</v>
      </c>
      <c r="D163" s="2" t="s">
        <v>3876</v>
      </c>
      <c r="E163" s="3">
        <v>45336</v>
      </c>
      <c r="F163" s="3">
        <v>45767</v>
      </c>
      <c r="G163" s="2" t="s">
        <v>3884</v>
      </c>
      <c r="H163" s="2">
        <v>661204</v>
      </c>
      <c r="I163" s="2">
        <v>81500</v>
      </c>
      <c r="J163" s="2" t="s">
        <v>3888</v>
      </c>
      <c r="K163" s="2" t="s">
        <v>3893</v>
      </c>
      <c r="L163" s="2">
        <v>2024</v>
      </c>
      <c r="M163" s="2">
        <v>579704</v>
      </c>
      <c r="N163" s="2">
        <f xml:space="preserve"> (Table1[[#This Row],[Variance (USD)]] / Table1[[#This Row],[Actual Spending (USD)]]) * 100</f>
        <v>711.29325153374236</v>
      </c>
      <c r="O163" s="5" t="s">
        <v>3897</v>
      </c>
    </row>
    <row r="164" spans="1:15" x14ac:dyDescent="0.25">
      <c r="A164" s="4" t="s">
        <v>177</v>
      </c>
      <c r="B164" s="2" t="s">
        <v>3111</v>
      </c>
      <c r="C164" s="2" t="s">
        <v>3869</v>
      </c>
      <c r="D164" s="2" t="s">
        <v>3877</v>
      </c>
      <c r="E164" s="3">
        <v>45387</v>
      </c>
      <c r="F164" s="3">
        <v>45566</v>
      </c>
      <c r="G164" s="2" t="s">
        <v>3886</v>
      </c>
      <c r="H164" s="2">
        <v>129552</v>
      </c>
      <c r="I164" s="2">
        <v>880357</v>
      </c>
      <c r="J164" s="2" t="s">
        <v>3891</v>
      </c>
      <c r="K164" s="2" t="s">
        <v>3896</v>
      </c>
      <c r="L164" s="2">
        <v>2024</v>
      </c>
      <c r="M164" s="2">
        <v>-750805</v>
      </c>
      <c r="N164" s="2">
        <f xml:space="preserve"> (Table1[[#This Row],[Variance (USD)]] / Table1[[#This Row],[Actual Spending (USD)]]) * 100</f>
        <v>-85.284151770247746</v>
      </c>
      <c r="O164" s="5" t="s">
        <v>3899</v>
      </c>
    </row>
    <row r="165" spans="1:15" x14ac:dyDescent="0.25">
      <c r="A165" s="4" t="s">
        <v>178</v>
      </c>
      <c r="B165" s="2" t="s">
        <v>3168</v>
      </c>
      <c r="C165" s="2" t="s">
        <v>3869</v>
      </c>
      <c r="D165" s="2" t="s">
        <v>3876</v>
      </c>
      <c r="E165" s="3">
        <v>45317</v>
      </c>
      <c r="F165" s="3">
        <v>45379</v>
      </c>
      <c r="G165" s="2" t="s">
        <v>3886</v>
      </c>
      <c r="H165" s="2">
        <v>88233</v>
      </c>
      <c r="I165" s="2">
        <v>254045</v>
      </c>
      <c r="J165" s="2" t="s">
        <v>3888</v>
      </c>
      <c r="K165" s="2" t="s">
        <v>3894</v>
      </c>
      <c r="L165" s="2">
        <v>2025</v>
      </c>
      <c r="M165" s="2">
        <v>-165812</v>
      </c>
      <c r="N165" s="2">
        <f xml:space="preserve"> (Table1[[#This Row],[Variance (USD)]] / Table1[[#This Row],[Actual Spending (USD)]]) * 100</f>
        <v>-65.268751599126134</v>
      </c>
      <c r="O165" s="5" t="s">
        <v>3899</v>
      </c>
    </row>
    <row r="166" spans="1:15" x14ac:dyDescent="0.25">
      <c r="A166" s="4" t="s">
        <v>179</v>
      </c>
      <c r="B166" s="2" t="s">
        <v>3169</v>
      </c>
      <c r="C166" s="2" t="s">
        <v>3872</v>
      </c>
      <c r="D166" s="2" t="s">
        <v>3876</v>
      </c>
      <c r="E166" s="3">
        <v>44970</v>
      </c>
      <c r="F166" s="3">
        <v>46014</v>
      </c>
      <c r="G166" s="2" t="s">
        <v>3886</v>
      </c>
      <c r="H166" s="2">
        <v>571410</v>
      </c>
      <c r="I166" s="2">
        <v>734991</v>
      </c>
      <c r="J166" s="2" t="s">
        <v>3888</v>
      </c>
      <c r="K166" s="2" t="s">
        <v>3893</v>
      </c>
      <c r="L166" s="2">
        <v>2024</v>
      </c>
      <c r="M166" s="2">
        <v>-163581</v>
      </c>
      <c r="N166" s="2">
        <f xml:space="preserve"> (Table1[[#This Row],[Variance (USD)]] / Table1[[#This Row],[Actual Spending (USD)]]) * 100</f>
        <v>-22.256190892133372</v>
      </c>
      <c r="O166" s="5" t="s">
        <v>3899</v>
      </c>
    </row>
    <row r="167" spans="1:15" x14ac:dyDescent="0.25">
      <c r="A167" s="4" t="s">
        <v>180</v>
      </c>
      <c r="B167" s="2" t="s">
        <v>3170</v>
      </c>
      <c r="C167" s="2" t="s">
        <v>3872</v>
      </c>
      <c r="D167" s="2" t="s">
        <v>3877</v>
      </c>
      <c r="E167" s="3">
        <v>44953</v>
      </c>
      <c r="F167" s="3">
        <v>45368</v>
      </c>
      <c r="G167" s="2" t="s">
        <v>3886</v>
      </c>
      <c r="H167" s="2">
        <v>334839</v>
      </c>
      <c r="I167" s="2">
        <v>1023694</v>
      </c>
      <c r="J167" s="2" t="s">
        <v>3892</v>
      </c>
      <c r="K167" s="2" t="s">
        <v>3894</v>
      </c>
      <c r="L167" s="2">
        <v>2023</v>
      </c>
      <c r="M167" s="2">
        <v>-688855</v>
      </c>
      <c r="N167" s="2">
        <f xml:space="preserve"> (Table1[[#This Row],[Variance (USD)]] / Table1[[#This Row],[Actual Spending (USD)]]) * 100</f>
        <v>-67.291104568357341</v>
      </c>
      <c r="O167" s="5" t="s">
        <v>3899</v>
      </c>
    </row>
    <row r="168" spans="1:15" x14ac:dyDescent="0.25">
      <c r="A168" s="4" t="s">
        <v>181</v>
      </c>
      <c r="B168" s="2" t="s">
        <v>3171</v>
      </c>
      <c r="C168" s="2" t="s">
        <v>3874</v>
      </c>
      <c r="D168" s="2" t="s">
        <v>3878</v>
      </c>
      <c r="E168" s="3">
        <v>45023</v>
      </c>
      <c r="F168" s="3">
        <v>45368</v>
      </c>
      <c r="G168" s="2" t="s">
        <v>3884</v>
      </c>
      <c r="H168" s="2">
        <v>700728</v>
      </c>
      <c r="I168" s="2">
        <v>212159</v>
      </c>
      <c r="J168" s="2" t="s">
        <v>3889</v>
      </c>
      <c r="K168" s="2" t="s">
        <v>3895</v>
      </c>
      <c r="L168" s="2">
        <v>2023</v>
      </c>
      <c r="M168" s="2">
        <v>488569</v>
      </c>
      <c r="N168" s="2">
        <f xml:space="preserve"> (Table1[[#This Row],[Variance (USD)]] / Table1[[#This Row],[Actual Spending (USD)]]) * 100</f>
        <v>230.28436220004807</v>
      </c>
      <c r="O168" s="5" t="s">
        <v>3897</v>
      </c>
    </row>
    <row r="169" spans="1:15" x14ac:dyDescent="0.25">
      <c r="A169" s="4" t="s">
        <v>182</v>
      </c>
      <c r="B169" s="2" t="s">
        <v>3157</v>
      </c>
      <c r="C169" s="2" t="s">
        <v>3874</v>
      </c>
      <c r="D169" s="2" t="s">
        <v>3881</v>
      </c>
      <c r="E169" s="3">
        <v>45474</v>
      </c>
      <c r="F169" s="3">
        <v>45733</v>
      </c>
      <c r="G169" s="2" t="s">
        <v>3884</v>
      </c>
      <c r="H169" s="2">
        <v>223806</v>
      </c>
      <c r="I169" s="2">
        <v>240861</v>
      </c>
      <c r="J169" s="2" t="s">
        <v>3891</v>
      </c>
      <c r="K169" s="2" t="s">
        <v>3895</v>
      </c>
      <c r="L169" s="2">
        <v>2025</v>
      </c>
      <c r="M169" s="2">
        <v>-17055</v>
      </c>
      <c r="N169" s="2">
        <f xml:space="preserve"> (Table1[[#This Row],[Variance (USD)]] / Table1[[#This Row],[Actual Spending (USD)]]) * 100</f>
        <v>-7.0808474597381892</v>
      </c>
      <c r="O169" s="5" t="s">
        <v>3897</v>
      </c>
    </row>
    <row r="170" spans="1:15" x14ac:dyDescent="0.25">
      <c r="A170" s="4" t="s">
        <v>183</v>
      </c>
      <c r="B170" s="2" t="s">
        <v>3172</v>
      </c>
      <c r="C170" s="2" t="s">
        <v>3874</v>
      </c>
      <c r="D170" s="2" t="s">
        <v>3877</v>
      </c>
      <c r="E170" s="3">
        <v>45547</v>
      </c>
      <c r="F170" s="3">
        <v>45831</v>
      </c>
      <c r="G170" s="2" t="s">
        <v>3884</v>
      </c>
      <c r="H170" s="2">
        <v>393401</v>
      </c>
      <c r="I170" s="2">
        <v>871341</v>
      </c>
      <c r="J170" s="2" t="s">
        <v>3890</v>
      </c>
      <c r="K170" s="2" t="s">
        <v>3894</v>
      </c>
      <c r="L170" s="2">
        <v>2023</v>
      </c>
      <c r="M170" s="2">
        <v>-477940</v>
      </c>
      <c r="N170" s="2">
        <f xml:space="preserve"> (Table1[[#This Row],[Variance (USD)]] / Table1[[#This Row],[Actual Spending (USD)]]) * 100</f>
        <v>-54.851085855021168</v>
      </c>
      <c r="O170" s="5" t="s">
        <v>3897</v>
      </c>
    </row>
    <row r="171" spans="1:15" x14ac:dyDescent="0.25">
      <c r="A171" s="4" t="s">
        <v>184</v>
      </c>
      <c r="B171" s="2" t="s">
        <v>3173</v>
      </c>
      <c r="C171" s="2" t="s">
        <v>3873</v>
      </c>
      <c r="D171" s="2" t="s">
        <v>3882</v>
      </c>
      <c r="E171" s="3">
        <v>45493</v>
      </c>
      <c r="F171" s="3">
        <v>45536</v>
      </c>
      <c r="G171" s="2" t="s">
        <v>3884</v>
      </c>
      <c r="H171" s="2">
        <v>837937</v>
      </c>
      <c r="I171" s="2">
        <v>319741</v>
      </c>
      <c r="J171" s="2" t="s">
        <v>3888</v>
      </c>
      <c r="K171" s="2" t="s">
        <v>3893</v>
      </c>
      <c r="L171" s="2">
        <v>2025</v>
      </c>
      <c r="M171" s="2">
        <v>518196</v>
      </c>
      <c r="N171" s="2">
        <f xml:space="preserve"> (Table1[[#This Row],[Variance (USD)]] / Table1[[#This Row],[Actual Spending (USD)]]) * 100</f>
        <v>162.06742332075024</v>
      </c>
      <c r="O171" s="5" t="s">
        <v>3897</v>
      </c>
    </row>
    <row r="172" spans="1:15" x14ac:dyDescent="0.25">
      <c r="A172" s="4" t="s">
        <v>185</v>
      </c>
      <c r="B172" s="2" t="s">
        <v>3174</v>
      </c>
      <c r="C172" s="2" t="s">
        <v>3872</v>
      </c>
      <c r="D172" s="2" t="s">
        <v>3877</v>
      </c>
      <c r="E172" s="3">
        <v>45630</v>
      </c>
      <c r="F172" s="3">
        <v>45869</v>
      </c>
      <c r="G172" s="2" t="s">
        <v>3886</v>
      </c>
      <c r="H172" s="2">
        <v>972867</v>
      </c>
      <c r="I172" s="2">
        <v>254376</v>
      </c>
      <c r="J172" s="2" t="s">
        <v>3889</v>
      </c>
      <c r="K172" s="2" t="s">
        <v>3894</v>
      </c>
      <c r="L172" s="2">
        <v>2025</v>
      </c>
      <c r="M172" s="2">
        <v>718491</v>
      </c>
      <c r="N172" s="2">
        <f xml:space="preserve"> (Table1[[#This Row],[Variance (USD)]] / Table1[[#This Row],[Actual Spending (USD)]]) * 100</f>
        <v>282.45235399565996</v>
      </c>
      <c r="O172" s="5" t="s">
        <v>3899</v>
      </c>
    </row>
    <row r="173" spans="1:15" x14ac:dyDescent="0.25">
      <c r="A173" s="4" t="s">
        <v>186</v>
      </c>
      <c r="B173" s="2" t="s">
        <v>3175</v>
      </c>
      <c r="C173" s="2" t="s">
        <v>3870</v>
      </c>
      <c r="D173" s="2" t="s">
        <v>3880</v>
      </c>
      <c r="E173" s="3">
        <v>45145</v>
      </c>
      <c r="F173" s="3">
        <v>45673</v>
      </c>
      <c r="G173" s="2" t="s">
        <v>3884</v>
      </c>
      <c r="H173" s="2">
        <v>355758</v>
      </c>
      <c r="I173" s="2">
        <v>432648</v>
      </c>
      <c r="J173" s="2" t="s">
        <v>3888</v>
      </c>
      <c r="K173" s="2" t="s">
        <v>3893</v>
      </c>
      <c r="L173" s="2">
        <v>2024</v>
      </c>
      <c r="M173" s="2">
        <v>-76890</v>
      </c>
      <c r="N173" s="2">
        <f xml:space="preserve"> (Table1[[#This Row],[Variance (USD)]] / Table1[[#This Row],[Actual Spending (USD)]]) * 100</f>
        <v>-17.771953181339104</v>
      </c>
      <c r="O173" s="5" t="s">
        <v>3897</v>
      </c>
    </row>
    <row r="174" spans="1:15" x14ac:dyDescent="0.25">
      <c r="A174" s="4" t="s">
        <v>187</v>
      </c>
      <c r="B174" s="2" t="s">
        <v>3176</v>
      </c>
      <c r="C174" s="2" t="s">
        <v>3874</v>
      </c>
      <c r="D174" s="2" t="s">
        <v>3877</v>
      </c>
      <c r="E174" s="3">
        <v>45111</v>
      </c>
      <c r="F174" s="3">
        <v>46008</v>
      </c>
      <c r="G174" s="2" t="s">
        <v>3884</v>
      </c>
      <c r="H174" s="2">
        <v>51010</v>
      </c>
      <c r="I174" s="2">
        <v>1152876</v>
      </c>
      <c r="J174" s="2" t="s">
        <v>3889</v>
      </c>
      <c r="K174" s="2" t="s">
        <v>3896</v>
      </c>
      <c r="L174" s="2">
        <v>2023</v>
      </c>
      <c r="M174" s="2">
        <v>-1101866</v>
      </c>
      <c r="N174" s="2">
        <f xml:space="preserve"> (Table1[[#This Row],[Variance (USD)]] / Table1[[#This Row],[Actual Spending (USD)]]) * 100</f>
        <v>-95.57541314070204</v>
      </c>
      <c r="O174" s="5" t="s">
        <v>3897</v>
      </c>
    </row>
    <row r="175" spans="1:15" x14ac:dyDescent="0.25">
      <c r="A175" s="4" t="s">
        <v>188</v>
      </c>
      <c r="B175" s="2" t="s">
        <v>3177</v>
      </c>
      <c r="C175" s="2" t="s">
        <v>3874</v>
      </c>
      <c r="D175" s="2" t="s">
        <v>3878</v>
      </c>
      <c r="E175" s="3">
        <v>44995</v>
      </c>
      <c r="F175" s="3">
        <v>45861</v>
      </c>
      <c r="G175" s="2" t="s">
        <v>3884</v>
      </c>
      <c r="H175" s="2">
        <v>294300</v>
      </c>
      <c r="I175" s="2">
        <v>908269</v>
      </c>
      <c r="J175" s="2" t="s">
        <v>3889</v>
      </c>
      <c r="K175" s="2" t="s">
        <v>3895</v>
      </c>
      <c r="L175" s="2">
        <v>2023</v>
      </c>
      <c r="M175" s="2">
        <v>-613969</v>
      </c>
      <c r="N175" s="2">
        <f xml:space="preserve"> (Table1[[#This Row],[Variance (USD)]] / Table1[[#This Row],[Actual Spending (USD)]]) * 100</f>
        <v>-67.597705085167505</v>
      </c>
      <c r="O175" s="5" t="s">
        <v>3897</v>
      </c>
    </row>
    <row r="176" spans="1:15" x14ac:dyDescent="0.25">
      <c r="A176" s="4" t="s">
        <v>189</v>
      </c>
      <c r="B176" s="2" t="s">
        <v>3130</v>
      </c>
      <c r="C176" s="2" t="s">
        <v>3871</v>
      </c>
      <c r="D176" s="2" t="s">
        <v>3880</v>
      </c>
      <c r="E176" s="3">
        <v>45056</v>
      </c>
      <c r="F176" s="3">
        <v>46004</v>
      </c>
      <c r="G176" s="2" t="s">
        <v>3887</v>
      </c>
      <c r="H176" s="2">
        <v>555002</v>
      </c>
      <c r="I176" s="2">
        <v>79314</v>
      </c>
      <c r="J176" s="2" t="s">
        <v>3890</v>
      </c>
      <c r="K176" s="2" t="s">
        <v>3896</v>
      </c>
      <c r="L176" s="2">
        <v>2023</v>
      </c>
      <c r="M176" s="2">
        <v>475688</v>
      </c>
      <c r="N176" s="2">
        <f xml:space="preserve"> (Table1[[#This Row],[Variance (USD)]] / Table1[[#This Row],[Actual Spending (USD)]]) * 100</f>
        <v>599.75288095418216</v>
      </c>
      <c r="O176" s="5" t="s">
        <v>3900</v>
      </c>
    </row>
    <row r="177" spans="1:15" x14ac:dyDescent="0.25">
      <c r="A177" s="4" t="s">
        <v>190</v>
      </c>
      <c r="B177" s="2" t="s">
        <v>3178</v>
      </c>
      <c r="C177" s="2" t="s">
        <v>3868</v>
      </c>
      <c r="D177" s="2" t="s">
        <v>3882</v>
      </c>
      <c r="E177" s="3">
        <v>45493</v>
      </c>
      <c r="F177" s="3">
        <v>45433</v>
      </c>
      <c r="G177" s="2" t="s">
        <v>3884</v>
      </c>
      <c r="H177" s="2">
        <v>704848</v>
      </c>
      <c r="I177" s="2">
        <v>1048448</v>
      </c>
      <c r="J177" s="2" t="s">
        <v>3889</v>
      </c>
      <c r="K177" s="2" t="s">
        <v>3893</v>
      </c>
      <c r="L177" s="2">
        <v>2024</v>
      </c>
      <c r="M177" s="2">
        <v>-343600</v>
      </c>
      <c r="N177" s="2">
        <f xml:space="preserve"> (Table1[[#This Row],[Variance (USD)]] / Table1[[#This Row],[Actual Spending (USD)]]) * 100</f>
        <v>-32.772250030521306</v>
      </c>
      <c r="O177" s="5" t="s">
        <v>3897</v>
      </c>
    </row>
    <row r="178" spans="1:15" x14ac:dyDescent="0.25">
      <c r="A178" s="4" t="s">
        <v>191</v>
      </c>
      <c r="B178" s="2" t="s">
        <v>3179</v>
      </c>
      <c r="C178" s="2" t="s">
        <v>3870</v>
      </c>
      <c r="D178" s="2" t="s">
        <v>3879</v>
      </c>
      <c r="E178" s="3">
        <v>45535</v>
      </c>
      <c r="F178" s="3">
        <v>45659</v>
      </c>
      <c r="G178" s="2" t="s">
        <v>3886</v>
      </c>
      <c r="H178" s="2">
        <v>200933</v>
      </c>
      <c r="I178" s="2">
        <v>913881</v>
      </c>
      <c r="J178" s="2" t="s">
        <v>3890</v>
      </c>
      <c r="K178" s="2" t="s">
        <v>3894</v>
      </c>
      <c r="L178" s="2">
        <v>2025</v>
      </c>
      <c r="M178" s="2">
        <v>-712948</v>
      </c>
      <c r="N178" s="2">
        <f xml:space="preserve"> (Table1[[#This Row],[Variance (USD)]] / Table1[[#This Row],[Actual Spending (USD)]]) * 100</f>
        <v>-78.013220539654498</v>
      </c>
      <c r="O178" s="5" t="s">
        <v>3899</v>
      </c>
    </row>
    <row r="179" spans="1:15" x14ac:dyDescent="0.25">
      <c r="A179" s="4" t="s">
        <v>192</v>
      </c>
      <c r="B179" s="2" t="s">
        <v>3180</v>
      </c>
      <c r="C179" s="2" t="s">
        <v>3874</v>
      </c>
      <c r="D179" s="2" t="s">
        <v>3879</v>
      </c>
      <c r="E179" s="3">
        <v>45525</v>
      </c>
      <c r="F179" s="3">
        <v>45375</v>
      </c>
      <c r="G179" s="2" t="s">
        <v>3884</v>
      </c>
      <c r="H179" s="2">
        <v>467341</v>
      </c>
      <c r="I179" s="2">
        <v>1033566</v>
      </c>
      <c r="J179" s="2" t="s">
        <v>3892</v>
      </c>
      <c r="K179" s="2" t="s">
        <v>3895</v>
      </c>
      <c r="L179" s="2">
        <v>2023</v>
      </c>
      <c r="M179" s="2">
        <v>-566225</v>
      </c>
      <c r="N179" s="2">
        <f xml:space="preserve"> (Table1[[#This Row],[Variance (USD)]] / Table1[[#This Row],[Actual Spending (USD)]]) * 100</f>
        <v>-54.783632588533294</v>
      </c>
      <c r="O179" s="5" t="s">
        <v>3897</v>
      </c>
    </row>
    <row r="180" spans="1:15" x14ac:dyDescent="0.25">
      <c r="A180" s="4" t="s">
        <v>193</v>
      </c>
      <c r="B180" s="2" t="s">
        <v>3181</v>
      </c>
      <c r="C180" s="2" t="s">
        <v>3874</v>
      </c>
      <c r="D180" s="2" t="s">
        <v>3876</v>
      </c>
      <c r="E180" s="3">
        <v>45557</v>
      </c>
      <c r="F180" s="3">
        <v>45434</v>
      </c>
      <c r="G180" s="2" t="s">
        <v>3884</v>
      </c>
      <c r="H180" s="2">
        <v>829470</v>
      </c>
      <c r="I180" s="2">
        <v>320461</v>
      </c>
      <c r="J180" s="2" t="s">
        <v>3888</v>
      </c>
      <c r="K180" s="2" t="s">
        <v>3893</v>
      </c>
      <c r="L180" s="2">
        <v>2023</v>
      </c>
      <c r="M180" s="2">
        <v>509009</v>
      </c>
      <c r="N180" s="2">
        <f xml:space="preserve"> (Table1[[#This Row],[Variance (USD)]] / Table1[[#This Row],[Actual Spending (USD)]]) * 100</f>
        <v>158.83648868349033</v>
      </c>
      <c r="O180" s="5" t="s">
        <v>3897</v>
      </c>
    </row>
    <row r="181" spans="1:15" x14ac:dyDescent="0.25">
      <c r="A181" s="4" t="s">
        <v>194</v>
      </c>
      <c r="B181" s="2" t="s">
        <v>3182</v>
      </c>
      <c r="C181" s="2" t="s">
        <v>3874</v>
      </c>
      <c r="D181" s="2" t="s">
        <v>3881</v>
      </c>
      <c r="E181" s="3">
        <v>45646</v>
      </c>
      <c r="F181" s="3">
        <v>45643</v>
      </c>
      <c r="G181" s="2" t="s">
        <v>3884</v>
      </c>
      <c r="H181" s="2">
        <v>714729</v>
      </c>
      <c r="I181" s="2">
        <v>358897</v>
      </c>
      <c r="J181" s="2" t="s">
        <v>3890</v>
      </c>
      <c r="K181" s="2" t="s">
        <v>3893</v>
      </c>
      <c r="L181" s="2">
        <v>2023</v>
      </c>
      <c r="M181" s="2">
        <v>355832</v>
      </c>
      <c r="N181" s="2">
        <f xml:space="preserve"> (Table1[[#This Row],[Variance (USD)]] / Table1[[#This Row],[Actual Spending (USD)]]) * 100</f>
        <v>99.145994533250487</v>
      </c>
      <c r="O181" s="5" t="s">
        <v>3897</v>
      </c>
    </row>
    <row r="182" spans="1:15" x14ac:dyDescent="0.25">
      <c r="A182" s="4" t="s">
        <v>195</v>
      </c>
      <c r="B182" s="2" t="s">
        <v>3183</v>
      </c>
      <c r="C182" s="2" t="s">
        <v>3868</v>
      </c>
      <c r="D182" s="2" t="s">
        <v>3876</v>
      </c>
      <c r="E182" s="3">
        <v>45260</v>
      </c>
      <c r="F182" s="3">
        <v>45836</v>
      </c>
      <c r="G182" s="2" t="s">
        <v>3886</v>
      </c>
      <c r="H182" s="2">
        <v>905825</v>
      </c>
      <c r="I182" s="2">
        <v>327386</v>
      </c>
      <c r="J182" s="2" t="s">
        <v>3888</v>
      </c>
      <c r="K182" s="2" t="s">
        <v>3895</v>
      </c>
      <c r="L182" s="2">
        <v>2023</v>
      </c>
      <c r="M182" s="2">
        <v>578439</v>
      </c>
      <c r="N182" s="2">
        <f xml:space="preserve"> (Table1[[#This Row],[Variance (USD)]] / Table1[[#This Row],[Actual Spending (USD)]]) * 100</f>
        <v>176.68409767063955</v>
      </c>
      <c r="O182" s="5" t="s">
        <v>3899</v>
      </c>
    </row>
    <row r="183" spans="1:15" x14ac:dyDescent="0.25">
      <c r="A183" s="4" t="s">
        <v>196</v>
      </c>
      <c r="B183" s="2" t="s">
        <v>3184</v>
      </c>
      <c r="C183" s="2" t="s">
        <v>3868</v>
      </c>
      <c r="D183" s="2" t="s">
        <v>3878</v>
      </c>
      <c r="E183" s="3">
        <v>45080</v>
      </c>
      <c r="F183" s="3">
        <v>45443</v>
      </c>
      <c r="G183" s="2" t="s">
        <v>3884</v>
      </c>
      <c r="H183" s="2">
        <v>732031</v>
      </c>
      <c r="I183" s="2">
        <v>398406</v>
      </c>
      <c r="J183" s="2" t="s">
        <v>3891</v>
      </c>
      <c r="K183" s="2" t="s">
        <v>3894</v>
      </c>
      <c r="L183" s="2">
        <v>2024</v>
      </c>
      <c r="M183" s="2">
        <v>333625</v>
      </c>
      <c r="N183" s="2">
        <f xml:space="preserve"> (Table1[[#This Row],[Variance (USD)]] / Table1[[#This Row],[Actual Spending (USD)]]) * 100</f>
        <v>83.739953715556496</v>
      </c>
      <c r="O183" s="5" t="s">
        <v>3897</v>
      </c>
    </row>
    <row r="184" spans="1:15" x14ac:dyDescent="0.25">
      <c r="A184" s="4" t="s">
        <v>197</v>
      </c>
      <c r="B184" s="2" t="s">
        <v>3185</v>
      </c>
      <c r="C184" s="2" t="s">
        <v>3873</v>
      </c>
      <c r="D184" s="2" t="s">
        <v>3883</v>
      </c>
      <c r="E184" s="3">
        <v>45473</v>
      </c>
      <c r="F184" s="3">
        <v>45449</v>
      </c>
      <c r="G184" s="2" t="s">
        <v>3885</v>
      </c>
      <c r="H184" s="2">
        <v>114512</v>
      </c>
      <c r="I184" s="2">
        <v>916238</v>
      </c>
      <c r="J184" s="2" t="s">
        <v>3892</v>
      </c>
      <c r="K184" s="2" t="s">
        <v>3895</v>
      </c>
      <c r="L184" s="2">
        <v>2025</v>
      </c>
      <c r="M184" s="2">
        <v>-801726</v>
      </c>
      <c r="N184" s="2">
        <f xml:space="preserve"> (Table1[[#This Row],[Variance (USD)]] / Table1[[#This Row],[Actual Spending (USD)]]) * 100</f>
        <v>-87.501937269574057</v>
      </c>
      <c r="O184" s="5" t="s">
        <v>3898</v>
      </c>
    </row>
    <row r="185" spans="1:15" x14ac:dyDescent="0.25">
      <c r="A185" s="4" t="s">
        <v>198</v>
      </c>
      <c r="B185" s="2" t="s">
        <v>3186</v>
      </c>
      <c r="C185" s="2" t="s">
        <v>3870</v>
      </c>
      <c r="D185" s="2" t="s">
        <v>3882</v>
      </c>
      <c r="E185" s="3">
        <v>45005</v>
      </c>
      <c r="F185" s="3">
        <v>45737</v>
      </c>
      <c r="G185" s="2" t="s">
        <v>3884</v>
      </c>
      <c r="H185" s="2">
        <v>148026</v>
      </c>
      <c r="I185" s="2">
        <v>390868</v>
      </c>
      <c r="J185" s="2" t="s">
        <v>3891</v>
      </c>
      <c r="K185" s="2" t="s">
        <v>3894</v>
      </c>
      <c r="L185" s="2">
        <v>2023</v>
      </c>
      <c r="M185" s="2">
        <v>-242842</v>
      </c>
      <c r="N185" s="2">
        <f xml:space="preserve"> (Table1[[#This Row],[Variance (USD)]] / Table1[[#This Row],[Actual Spending (USD)]]) * 100</f>
        <v>-62.128902852113754</v>
      </c>
      <c r="O185" s="5" t="s">
        <v>3897</v>
      </c>
    </row>
    <row r="186" spans="1:15" x14ac:dyDescent="0.25">
      <c r="A186" s="4" t="s">
        <v>199</v>
      </c>
      <c r="B186" s="2" t="s">
        <v>3187</v>
      </c>
      <c r="C186" s="2" t="s">
        <v>3873</v>
      </c>
      <c r="D186" s="2" t="s">
        <v>3881</v>
      </c>
      <c r="E186" s="3">
        <v>45505</v>
      </c>
      <c r="F186" s="3">
        <v>45944</v>
      </c>
      <c r="G186" s="2" t="s">
        <v>3884</v>
      </c>
      <c r="H186" s="2">
        <v>125656</v>
      </c>
      <c r="I186" s="2">
        <v>912399</v>
      </c>
      <c r="J186" s="2" t="s">
        <v>3891</v>
      </c>
      <c r="K186" s="2" t="s">
        <v>3894</v>
      </c>
      <c r="L186" s="2">
        <v>2023</v>
      </c>
      <c r="M186" s="2">
        <v>-786743</v>
      </c>
      <c r="N186" s="2">
        <f xml:space="preserve"> (Table1[[#This Row],[Variance (USD)]] / Table1[[#This Row],[Actual Spending (USD)]]) * 100</f>
        <v>-86.227955094207687</v>
      </c>
      <c r="O186" s="5" t="s">
        <v>3897</v>
      </c>
    </row>
    <row r="187" spans="1:15" x14ac:dyDescent="0.25">
      <c r="A187" s="4" t="s">
        <v>200</v>
      </c>
      <c r="B187" s="2" t="s">
        <v>3188</v>
      </c>
      <c r="C187" s="2" t="s">
        <v>3875</v>
      </c>
      <c r="D187" s="2" t="s">
        <v>3882</v>
      </c>
      <c r="E187" s="3">
        <v>45339</v>
      </c>
      <c r="F187" s="3">
        <v>45594</v>
      </c>
      <c r="G187" s="2" t="s">
        <v>3885</v>
      </c>
      <c r="H187" s="2">
        <v>791119</v>
      </c>
      <c r="I187" s="2">
        <v>837174</v>
      </c>
      <c r="J187" s="2" t="s">
        <v>3889</v>
      </c>
      <c r="K187" s="2" t="s">
        <v>3893</v>
      </c>
      <c r="L187" s="2">
        <v>2025</v>
      </c>
      <c r="M187" s="2">
        <v>-46055</v>
      </c>
      <c r="N187" s="2">
        <f xml:space="preserve"> (Table1[[#This Row],[Variance (USD)]] / Table1[[#This Row],[Actual Spending (USD)]]) * 100</f>
        <v>-5.5012458580892387</v>
      </c>
      <c r="O187" s="5" t="s">
        <v>3898</v>
      </c>
    </row>
    <row r="188" spans="1:15" x14ac:dyDescent="0.25">
      <c r="A188" s="4" t="s">
        <v>201</v>
      </c>
      <c r="B188" s="2" t="s">
        <v>3189</v>
      </c>
      <c r="C188" s="2" t="s">
        <v>3868</v>
      </c>
      <c r="D188" s="2" t="s">
        <v>3879</v>
      </c>
      <c r="E188" s="3">
        <v>45472</v>
      </c>
      <c r="F188" s="3">
        <v>45915</v>
      </c>
      <c r="G188" s="2" t="s">
        <v>3884</v>
      </c>
      <c r="H188" s="2">
        <v>409830</v>
      </c>
      <c r="I188" s="2">
        <v>47833</v>
      </c>
      <c r="J188" s="2" t="s">
        <v>3889</v>
      </c>
      <c r="K188" s="2" t="s">
        <v>3894</v>
      </c>
      <c r="L188" s="2">
        <v>2024</v>
      </c>
      <c r="M188" s="2">
        <v>361997</v>
      </c>
      <c r="N188" s="2">
        <f xml:space="preserve"> (Table1[[#This Row],[Variance (USD)]] / Table1[[#This Row],[Actual Spending (USD)]]) * 100</f>
        <v>756.79342713189635</v>
      </c>
      <c r="O188" s="5" t="s">
        <v>3897</v>
      </c>
    </row>
    <row r="189" spans="1:15" x14ac:dyDescent="0.25">
      <c r="A189" s="4" t="s">
        <v>202</v>
      </c>
      <c r="B189" s="2" t="s">
        <v>3068</v>
      </c>
      <c r="C189" s="2" t="s">
        <v>3871</v>
      </c>
      <c r="D189" s="2" t="s">
        <v>3876</v>
      </c>
      <c r="E189" s="3">
        <v>45535</v>
      </c>
      <c r="F189" s="3">
        <v>45947</v>
      </c>
      <c r="G189" s="2" t="s">
        <v>3886</v>
      </c>
      <c r="H189" s="2">
        <v>225210</v>
      </c>
      <c r="I189" s="2">
        <v>625635</v>
      </c>
      <c r="J189" s="2" t="s">
        <v>3891</v>
      </c>
      <c r="K189" s="2" t="s">
        <v>3894</v>
      </c>
      <c r="L189" s="2">
        <v>2024</v>
      </c>
      <c r="M189" s="2">
        <v>-400425</v>
      </c>
      <c r="N189" s="2">
        <f xml:space="preserve"> (Table1[[#This Row],[Variance (USD)]] / Table1[[#This Row],[Actual Spending (USD)]]) * 100</f>
        <v>-64.002972979452878</v>
      </c>
      <c r="O189" s="5" t="s">
        <v>3899</v>
      </c>
    </row>
    <row r="190" spans="1:15" x14ac:dyDescent="0.25">
      <c r="A190" s="4" t="s">
        <v>203</v>
      </c>
      <c r="B190" s="2" t="s">
        <v>3158</v>
      </c>
      <c r="C190" s="2" t="s">
        <v>3872</v>
      </c>
      <c r="D190" s="2" t="s">
        <v>3882</v>
      </c>
      <c r="E190" s="3">
        <v>45095</v>
      </c>
      <c r="F190" s="3">
        <v>45741</v>
      </c>
      <c r="G190" s="2" t="s">
        <v>3886</v>
      </c>
      <c r="H190" s="2">
        <v>234492</v>
      </c>
      <c r="I190" s="2">
        <v>1152731</v>
      </c>
      <c r="J190" s="2" t="s">
        <v>3889</v>
      </c>
      <c r="K190" s="2" t="s">
        <v>3895</v>
      </c>
      <c r="L190" s="2">
        <v>2024</v>
      </c>
      <c r="M190" s="2">
        <v>-918239</v>
      </c>
      <c r="N190" s="2">
        <f xml:space="preserve"> (Table1[[#This Row],[Variance (USD)]] / Table1[[#This Row],[Actual Spending (USD)]]) * 100</f>
        <v>-79.657699844976833</v>
      </c>
      <c r="O190" s="5" t="s">
        <v>3899</v>
      </c>
    </row>
    <row r="191" spans="1:15" x14ac:dyDescent="0.25">
      <c r="A191" s="4" t="s">
        <v>204</v>
      </c>
      <c r="B191" s="2" t="s">
        <v>3149</v>
      </c>
      <c r="C191" s="2" t="s">
        <v>3871</v>
      </c>
      <c r="D191" s="2" t="s">
        <v>3879</v>
      </c>
      <c r="E191" s="3">
        <v>45607</v>
      </c>
      <c r="F191" s="3">
        <v>46012</v>
      </c>
      <c r="G191" s="2" t="s">
        <v>3884</v>
      </c>
      <c r="H191" s="2">
        <v>327633</v>
      </c>
      <c r="I191" s="2">
        <v>906223</v>
      </c>
      <c r="J191" s="2" t="s">
        <v>3888</v>
      </c>
      <c r="K191" s="2" t="s">
        <v>3895</v>
      </c>
      <c r="L191" s="2">
        <v>2024</v>
      </c>
      <c r="M191" s="2">
        <v>-578590</v>
      </c>
      <c r="N191" s="2">
        <f xml:space="preserve"> (Table1[[#This Row],[Variance (USD)]] / Table1[[#This Row],[Actual Spending (USD)]]) * 100</f>
        <v>-63.846315973000024</v>
      </c>
      <c r="O191" s="5" t="s">
        <v>3897</v>
      </c>
    </row>
    <row r="192" spans="1:15" x14ac:dyDescent="0.25">
      <c r="A192" s="4" t="s">
        <v>205</v>
      </c>
      <c r="B192" s="2" t="s">
        <v>3118</v>
      </c>
      <c r="C192" s="2" t="s">
        <v>3872</v>
      </c>
      <c r="D192" s="2" t="s">
        <v>3878</v>
      </c>
      <c r="E192" s="3">
        <v>45589</v>
      </c>
      <c r="F192" s="3">
        <v>45515</v>
      </c>
      <c r="G192" s="2" t="s">
        <v>3886</v>
      </c>
      <c r="H192" s="2">
        <v>109789</v>
      </c>
      <c r="I192" s="2">
        <v>775868</v>
      </c>
      <c r="J192" s="2" t="s">
        <v>3889</v>
      </c>
      <c r="K192" s="2" t="s">
        <v>3894</v>
      </c>
      <c r="L192" s="2">
        <v>2023</v>
      </c>
      <c r="M192" s="2">
        <v>-666079</v>
      </c>
      <c r="N192" s="2">
        <f xml:space="preserve"> (Table1[[#This Row],[Variance (USD)]] / Table1[[#This Row],[Actual Spending (USD)]]) * 100</f>
        <v>-85.849525950290513</v>
      </c>
      <c r="O192" s="5" t="s">
        <v>3899</v>
      </c>
    </row>
    <row r="193" spans="1:15" x14ac:dyDescent="0.25">
      <c r="A193" s="4" t="s">
        <v>206</v>
      </c>
      <c r="B193" s="2" t="s">
        <v>3190</v>
      </c>
      <c r="C193" s="2" t="s">
        <v>3868</v>
      </c>
      <c r="D193" s="2" t="s">
        <v>3878</v>
      </c>
      <c r="E193" s="3">
        <v>45509</v>
      </c>
      <c r="F193" s="3">
        <v>45334</v>
      </c>
      <c r="G193" s="2" t="s">
        <v>3884</v>
      </c>
      <c r="H193" s="2">
        <v>644213</v>
      </c>
      <c r="I193" s="2">
        <v>436743</v>
      </c>
      <c r="J193" s="2" t="s">
        <v>3891</v>
      </c>
      <c r="K193" s="2" t="s">
        <v>3893</v>
      </c>
      <c r="L193" s="2">
        <v>2025</v>
      </c>
      <c r="M193" s="2">
        <v>207470</v>
      </c>
      <c r="N193" s="2">
        <f xml:space="preserve"> (Table1[[#This Row],[Variance (USD)]] / Table1[[#This Row],[Actual Spending (USD)]]) * 100</f>
        <v>47.503909621905791</v>
      </c>
      <c r="O193" s="5" t="s">
        <v>3897</v>
      </c>
    </row>
    <row r="194" spans="1:15" x14ac:dyDescent="0.25">
      <c r="A194" s="4" t="s">
        <v>207</v>
      </c>
      <c r="B194" s="2" t="s">
        <v>3191</v>
      </c>
      <c r="C194" s="2" t="s">
        <v>3868</v>
      </c>
      <c r="D194" s="2" t="s">
        <v>3883</v>
      </c>
      <c r="E194" s="3">
        <v>45441</v>
      </c>
      <c r="F194" s="3">
        <v>45555</v>
      </c>
      <c r="G194" s="2" t="s">
        <v>3884</v>
      </c>
      <c r="H194" s="2">
        <v>361847</v>
      </c>
      <c r="I194" s="2">
        <v>144527</v>
      </c>
      <c r="J194" s="2" t="s">
        <v>3889</v>
      </c>
      <c r="K194" s="2" t="s">
        <v>3895</v>
      </c>
      <c r="L194" s="2">
        <v>2025</v>
      </c>
      <c r="M194" s="2">
        <v>217320</v>
      </c>
      <c r="N194" s="2">
        <f xml:space="preserve"> (Table1[[#This Row],[Variance (USD)]] / Table1[[#This Row],[Actual Spending (USD)]]) * 100</f>
        <v>150.36636752994249</v>
      </c>
      <c r="O194" s="5" t="s">
        <v>3897</v>
      </c>
    </row>
    <row r="195" spans="1:15" x14ac:dyDescent="0.25">
      <c r="A195" s="4" t="s">
        <v>208</v>
      </c>
      <c r="B195" s="2" t="s">
        <v>3192</v>
      </c>
      <c r="C195" s="2" t="s">
        <v>3868</v>
      </c>
      <c r="D195" s="2" t="s">
        <v>3882</v>
      </c>
      <c r="E195" s="3">
        <v>45240</v>
      </c>
      <c r="F195" s="3">
        <v>45294</v>
      </c>
      <c r="G195" s="2" t="s">
        <v>3884</v>
      </c>
      <c r="H195" s="2">
        <v>530702</v>
      </c>
      <c r="I195" s="2">
        <v>259482</v>
      </c>
      <c r="J195" s="2" t="s">
        <v>3889</v>
      </c>
      <c r="K195" s="2" t="s">
        <v>3896</v>
      </c>
      <c r="L195" s="2">
        <v>2025</v>
      </c>
      <c r="M195" s="2">
        <v>271220</v>
      </c>
      <c r="N195" s="2">
        <f xml:space="preserve"> (Table1[[#This Row],[Variance (USD)]] / Table1[[#This Row],[Actual Spending (USD)]]) * 100</f>
        <v>104.52362784316446</v>
      </c>
      <c r="O195" s="5" t="s">
        <v>3897</v>
      </c>
    </row>
    <row r="196" spans="1:15" x14ac:dyDescent="0.25">
      <c r="A196" s="4" t="s">
        <v>209</v>
      </c>
      <c r="B196" s="2" t="s">
        <v>3193</v>
      </c>
      <c r="C196" s="2" t="s">
        <v>3873</v>
      </c>
      <c r="D196" s="2" t="s">
        <v>3883</v>
      </c>
      <c r="E196" s="3">
        <v>44958</v>
      </c>
      <c r="F196" s="3">
        <v>45928</v>
      </c>
      <c r="G196" s="2" t="s">
        <v>3885</v>
      </c>
      <c r="H196" s="2">
        <v>126625</v>
      </c>
      <c r="I196" s="2">
        <v>754945</v>
      </c>
      <c r="J196" s="2" t="s">
        <v>3890</v>
      </c>
      <c r="K196" s="2" t="s">
        <v>3893</v>
      </c>
      <c r="L196" s="2">
        <v>2024</v>
      </c>
      <c r="M196" s="2">
        <v>-628320</v>
      </c>
      <c r="N196" s="2">
        <f xml:space="preserve"> (Table1[[#This Row],[Variance (USD)]] / Table1[[#This Row],[Actual Spending (USD)]]) * 100</f>
        <v>-83.227254965593517</v>
      </c>
      <c r="O196" s="5" t="s">
        <v>3898</v>
      </c>
    </row>
    <row r="197" spans="1:15" x14ac:dyDescent="0.25">
      <c r="A197" s="4" t="s">
        <v>210</v>
      </c>
      <c r="B197" s="2" t="s">
        <v>3194</v>
      </c>
      <c r="C197" s="2" t="s">
        <v>3870</v>
      </c>
      <c r="D197" s="2" t="s">
        <v>3880</v>
      </c>
      <c r="E197" s="3">
        <v>45213</v>
      </c>
      <c r="F197" s="3">
        <v>45559</v>
      </c>
      <c r="G197" s="2" t="s">
        <v>3884</v>
      </c>
      <c r="H197" s="2">
        <v>943967</v>
      </c>
      <c r="I197" s="2">
        <v>595345</v>
      </c>
      <c r="J197" s="2" t="s">
        <v>3890</v>
      </c>
      <c r="K197" s="2" t="s">
        <v>3895</v>
      </c>
      <c r="L197" s="2">
        <v>2024</v>
      </c>
      <c r="M197" s="2">
        <v>348622</v>
      </c>
      <c r="N197" s="2">
        <f xml:space="preserve"> (Table1[[#This Row],[Variance (USD)]] / Table1[[#This Row],[Actual Spending (USD)]]) * 100</f>
        <v>58.557978986973936</v>
      </c>
      <c r="O197" s="5" t="s">
        <v>3897</v>
      </c>
    </row>
    <row r="198" spans="1:15" x14ac:dyDescent="0.25">
      <c r="A198" s="4" t="s">
        <v>211</v>
      </c>
      <c r="B198" s="2" t="s">
        <v>3195</v>
      </c>
      <c r="C198" s="2" t="s">
        <v>3872</v>
      </c>
      <c r="D198" s="2" t="s">
        <v>3881</v>
      </c>
      <c r="E198" s="3">
        <v>45520</v>
      </c>
      <c r="F198" s="3">
        <v>45887</v>
      </c>
      <c r="G198" s="2" t="s">
        <v>3886</v>
      </c>
      <c r="H198" s="2">
        <v>825806</v>
      </c>
      <c r="I198" s="2">
        <v>228511</v>
      </c>
      <c r="J198" s="2" t="s">
        <v>3891</v>
      </c>
      <c r="K198" s="2" t="s">
        <v>3895</v>
      </c>
      <c r="L198" s="2">
        <v>2025</v>
      </c>
      <c r="M198" s="2">
        <v>597295</v>
      </c>
      <c r="N198" s="2">
        <f xml:space="preserve"> (Table1[[#This Row],[Variance (USD)]] / Table1[[#This Row],[Actual Spending (USD)]]) * 100</f>
        <v>261.38566633553745</v>
      </c>
      <c r="O198" s="5" t="s">
        <v>3899</v>
      </c>
    </row>
    <row r="199" spans="1:15" x14ac:dyDescent="0.25">
      <c r="A199" s="4" t="s">
        <v>212</v>
      </c>
      <c r="B199" s="2" t="s">
        <v>3133</v>
      </c>
      <c r="C199" s="2" t="s">
        <v>3870</v>
      </c>
      <c r="D199" s="2" t="s">
        <v>3882</v>
      </c>
      <c r="E199" s="3">
        <v>44969</v>
      </c>
      <c r="F199" s="3">
        <v>45307</v>
      </c>
      <c r="G199" s="2" t="s">
        <v>3885</v>
      </c>
      <c r="H199" s="2">
        <v>763588</v>
      </c>
      <c r="I199" s="2">
        <v>545553</v>
      </c>
      <c r="J199" s="2" t="s">
        <v>3888</v>
      </c>
      <c r="K199" s="2" t="s">
        <v>3896</v>
      </c>
      <c r="L199" s="2">
        <v>2023</v>
      </c>
      <c r="M199" s="2">
        <v>218035</v>
      </c>
      <c r="N199" s="2">
        <f xml:space="preserve"> (Table1[[#This Row],[Variance (USD)]] / Table1[[#This Row],[Actual Spending (USD)]]) * 100</f>
        <v>39.965869493889691</v>
      </c>
      <c r="O199" s="5" t="s">
        <v>3898</v>
      </c>
    </row>
    <row r="200" spans="1:15" x14ac:dyDescent="0.25">
      <c r="A200" s="4" t="s">
        <v>213</v>
      </c>
      <c r="B200" s="2" t="s">
        <v>3196</v>
      </c>
      <c r="C200" s="2" t="s">
        <v>3873</v>
      </c>
      <c r="D200" s="2" t="s">
        <v>3878</v>
      </c>
      <c r="E200" s="3">
        <v>45543</v>
      </c>
      <c r="F200" s="3">
        <v>45625</v>
      </c>
      <c r="G200" s="2" t="s">
        <v>3884</v>
      </c>
      <c r="H200" s="2">
        <v>571564</v>
      </c>
      <c r="I200" s="2">
        <v>756272</v>
      </c>
      <c r="J200" s="2" t="s">
        <v>3892</v>
      </c>
      <c r="K200" s="2" t="s">
        <v>3894</v>
      </c>
      <c r="L200" s="2">
        <v>2024</v>
      </c>
      <c r="M200" s="2">
        <v>-184708</v>
      </c>
      <c r="N200" s="2">
        <f xml:space="preserve"> (Table1[[#This Row],[Variance (USD)]] / Table1[[#This Row],[Actual Spending (USD)]]) * 100</f>
        <v>-24.423487845642839</v>
      </c>
      <c r="O200" s="5" t="s">
        <v>3897</v>
      </c>
    </row>
    <row r="201" spans="1:15" x14ac:dyDescent="0.25">
      <c r="A201" s="4" t="s">
        <v>214</v>
      </c>
      <c r="B201" s="2" t="s">
        <v>3197</v>
      </c>
      <c r="C201" s="2" t="s">
        <v>3873</v>
      </c>
      <c r="D201" s="2" t="s">
        <v>3876</v>
      </c>
      <c r="E201" s="3">
        <v>44927</v>
      </c>
      <c r="F201" s="3">
        <v>45755</v>
      </c>
      <c r="G201" s="2" t="s">
        <v>3884</v>
      </c>
      <c r="H201" s="2">
        <v>577339</v>
      </c>
      <c r="I201" s="2">
        <v>238990</v>
      </c>
      <c r="J201" s="2" t="s">
        <v>3892</v>
      </c>
      <c r="K201" s="2" t="s">
        <v>3895</v>
      </c>
      <c r="L201" s="2">
        <v>2023</v>
      </c>
      <c r="M201" s="2">
        <v>338349</v>
      </c>
      <c r="N201" s="2">
        <f xml:space="preserve"> (Table1[[#This Row],[Variance (USD)]] / Table1[[#This Row],[Actual Spending (USD)]]) * 100</f>
        <v>141.57454286790244</v>
      </c>
      <c r="O201" s="5" t="s">
        <v>3897</v>
      </c>
    </row>
    <row r="202" spans="1:15" x14ac:dyDescent="0.25">
      <c r="A202" s="4" t="s">
        <v>215</v>
      </c>
      <c r="B202" s="2" t="s">
        <v>3198</v>
      </c>
      <c r="C202" s="2" t="s">
        <v>3869</v>
      </c>
      <c r="D202" s="2" t="s">
        <v>3879</v>
      </c>
      <c r="E202" s="3">
        <v>45499</v>
      </c>
      <c r="F202" s="3">
        <v>45350</v>
      </c>
      <c r="G202" s="2" t="s">
        <v>3884</v>
      </c>
      <c r="H202" s="2">
        <v>219162</v>
      </c>
      <c r="I202" s="2">
        <v>1101025</v>
      </c>
      <c r="J202" s="2" t="s">
        <v>3891</v>
      </c>
      <c r="K202" s="2" t="s">
        <v>3896</v>
      </c>
      <c r="L202" s="2">
        <v>2025</v>
      </c>
      <c r="M202" s="2">
        <v>-881863</v>
      </c>
      <c r="N202" s="2">
        <f xml:space="preserve"> (Table1[[#This Row],[Variance (USD)]] / Table1[[#This Row],[Actual Spending (USD)]]) * 100</f>
        <v>-80.094729910764968</v>
      </c>
      <c r="O202" s="5" t="s">
        <v>3897</v>
      </c>
    </row>
    <row r="203" spans="1:15" x14ac:dyDescent="0.25">
      <c r="A203" s="4" t="s">
        <v>216</v>
      </c>
      <c r="B203" s="2" t="s">
        <v>3199</v>
      </c>
      <c r="C203" s="2" t="s">
        <v>3871</v>
      </c>
      <c r="D203" s="2" t="s">
        <v>3877</v>
      </c>
      <c r="E203" s="3">
        <v>45196</v>
      </c>
      <c r="F203" s="3">
        <v>45468</v>
      </c>
      <c r="G203" s="2" t="s">
        <v>3884</v>
      </c>
      <c r="H203" s="2">
        <v>603093</v>
      </c>
      <c r="I203" s="2">
        <v>976363</v>
      </c>
      <c r="J203" s="2" t="s">
        <v>3888</v>
      </c>
      <c r="K203" s="2" t="s">
        <v>3896</v>
      </c>
      <c r="L203" s="2">
        <v>2024</v>
      </c>
      <c r="M203" s="2">
        <v>-373270</v>
      </c>
      <c r="N203" s="2">
        <f xml:space="preserve"> (Table1[[#This Row],[Variance (USD)]] / Table1[[#This Row],[Actual Spending (USD)]]) * 100</f>
        <v>-38.230658064674714</v>
      </c>
      <c r="O203" s="5" t="s">
        <v>3897</v>
      </c>
    </row>
    <row r="204" spans="1:15" x14ac:dyDescent="0.25">
      <c r="A204" s="4" t="s">
        <v>217</v>
      </c>
      <c r="B204" s="2" t="s">
        <v>3200</v>
      </c>
      <c r="C204" s="2" t="s">
        <v>3871</v>
      </c>
      <c r="D204" s="2" t="s">
        <v>3883</v>
      </c>
      <c r="E204" s="3">
        <v>45106</v>
      </c>
      <c r="F204" s="3">
        <v>45354</v>
      </c>
      <c r="G204" s="2" t="s">
        <v>3884</v>
      </c>
      <c r="H204" s="2">
        <v>669266</v>
      </c>
      <c r="I204" s="2">
        <v>169648</v>
      </c>
      <c r="J204" s="2" t="s">
        <v>3888</v>
      </c>
      <c r="K204" s="2" t="s">
        <v>3895</v>
      </c>
      <c r="L204" s="2">
        <v>2023</v>
      </c>
      <c r="M204" s="2">
        <v>499618</v>
      </c>
      <c r="N204" s="2">
        <f xml:space="preserve"> (Table1[[#This Row],[Variance (USD)]] / Table1[[#This Row],[Actual Spending (USD)]]) * 100</f>
        <v>294.50273507497877</v>
      </c>
      <c r="O204" s="5" t="s">
        <v>3897</v>
      </c>
    </row>
    <row r="205" spans="1:15" x14ac:dyDescent="0.25">
      <c r="A205" s="4" t="s">
        <v>218</v>
      </c>
      <c r="B205" s="2" t="s">
        <v>3056</v>
      </c>
      <c r="C205" s="2" t="s">
        <v>3875</v>
      </c>
      <c r="D205" s="2" t="s">
        <v>3877</v>
      </c>
      <c r="E205" s="3">
        <v>45444</v>
      </c>
      <c r="F205" s="3">
        <v>45852</v>
      </c>
      <c r="G205" s="2" t="s">
        <v>3886</v>
      </c>
      <c r="H205" s="2">
        <v>880989</v>
      </c>
      <c r="I205" s="2">
        <v>469090</v>
      </c>
      <c r="J205" s="2" t="s">
        <v>3888</v>
      </c>
      <c r="K205" s="2" t="s">
        <v>3893</v>
      </c>
      <c r="L205" s="2">
        <v>2024</v>
      </c>
      <c r="M205" s="2">
        <v>411899</v>
      </c>
      <c r="N205" s="2">
        <f xml:space="preserve"> (Table1[[#This Row],[Variance (USD)]] / Table1[[#This Row],[Actual Spending (USD)]]) * 100</f>
        <v>87.808096527318853</v>
      </c>
      <c r="O205" s="5" t="s">
        <v>3899</v>
      </c>
    </row>
    <row r="206" spans="1:15" x14ac:dyDescent="0.25">
      <c r="A206" s="4" t="s">
        <v>219</v>
      </c>
      <c r="B206" s="2" t="s">
        <v>3201</v>
      </c>
      <c r="C206" s="2" t="s">
        <v>3874</v>
      </c>
      <c r="D206" s="2" t="s">
        <v>3882</v>
      </c>
      <c r="E206" s="3">
        <v>45029</v>
      </c>
      <c r="F206" s="3">
        <v>45598</v>
      </c>
      <c r="G206" s="2" t="s">
        <v>3887</v>
      </c>
      <c r="H206" s="2">
        <v>445771</v>
      </c>
      <c r="I206" s="2">
        <v>1196502</v>
      </c>
      <c r="J206" s="2" t="s">
        <v>3890</v>
      </c>
      <c r="K206" s="2" t="s">
        <v>3895</v>
      </c>
      <c r="L206" s="2">
        <v>2025</v>
      </c>
      <c r="M206" s="2">
        <v>-750731</v>
      </c>
      <c r="N206" s="2">
        <f xml:space="preserve"> (Table1[[#This Row],[Variance (USD)]] / Table1[[#This Row],[Actual Spending (USD)]]) * 100</f>
        <v>-62.743814887062456</v>
      </c>
      <c r="O206" s="5" t="s">
        <v>3900</v>
      </c>
    </row>
    <row r="207" spans="1:15" x14ac:dyDescent="0.25">
      <c r="A207" s="4" t="s">
        <v>220</v>
      </c>
      <c r="B207" s="2" t="s">
        <v>3159</v>
      </c>
      <c r="C207" s="2" t="s">
        <v>3873</v>
      </c>
      <c r="D207" s="2" t="s">
        <v>3876</v>
      </c>
      <c r="E207" s="3">
        <v>44936</v>
      </c>
      <c r="F207" s="3">
        <v>45537</v>
      </c>
      <c r="G207" s="2" t="s">
        <v>3885</v>
      </c>
      <c r="H207" s="2">
        <v>624529</v>
      </c>
      <c r="I207" s="2">
        <v>416720</v>
      </c>
      <c r="J207" s="2" t="s">
        <v>3891</v>
      </c>
      <c r="K207" s="2" t="s">
        <v>3896</v>
      </c>
      <c r="L207" s="2">
        <v>2025</v>
      </c>
      <c r="M207" s="2">
        <v>207809</v>
      </c>
      <c r="N207" s="2">
        <f xml:space="preserve"> (Table1[[#This Row],[Variance (USD)]] / Table1[[#This Row],[Actual Spending (USD)]]) * 100</f>
        <v>49.86777692455366</v>
      </c>
      <c r="O207" s="5" t="s">
        <v>3898</v>
      </c>
    </row>
    <row r="208" spans="1:15" x14ac:dyDescent="0.25">
      <c r="A208" s="4" t="s">
        <v>221</v>
      </c>
      <c r="B208" s="2" t="s">
        <v>3202</v>
      </c>
      <c r="C208" s="2" t="s">
        <v>3872</v>
      </c>
      <c r="D208" s="2" t="s">
        <v>3883</v>
      </c>
      <c r="E208" s="3">
        <v>45509</v>
      </c>
      <c r="F208" s="3">
        <v>45580</v>
      </c>
      <c r="G208" s="2" t="s">
        <v>3885</v>
      </c>
      <c r="H208" s="2">
        <v>177838</v>
      </c>
      <c r="I208" s="2">
        <v>1047942</v>
      </c>
      <c r="J208" s="2" t="s">
        <v>3892</v>
      </c>
      <c r="K208" s="2" t="s">
        <v>3895</v>
      </c>
      <c r="L208" s="2">
        <v>2025</v>
      </c>
      <c r="M208" s="2">
        <v>-870104</v>
      </c>
      <c r="N208" s="2">
        <f xml:space="preserve"> (Table1[[#This Row],[Variance (USD)]] / Table1[[#This Row],[Actual Spending (USD)]]) * 100</f>
        <v>-83.029785999606858</v>
      </c>
      <c r="O208" s="5" t="s">
        <v>3898</v>
      </c>
    </row>
    <row r="209" spans="1:15" x14ac:dyDescent="0.25">
      <c r="A209" s="4" t="s">
        <v>222</v>
      </c>
      <c r="B209" s="2" t="s">
        <v>3199</v>
      </c>
      <c r="C209" s="2" t="s">
        <v>3869</v>
      </c>
      <c r="D209" s="2" t="s">
        <v>3877</v>
      </c>
      <c r="E209" s="3">
        <v>45016</v>
      </c>
      <c r="F209" s="3">
        <v>45623</v>
      </c>
      <c r="G209" s="2" t="s">
        <v>3885</v>
      </c>
      <c r="H209" s="2">
        <v>640282</v>
      </c>
      <c r="I209" s="2">
        <v>885860</v>
      </c>
      <c r="J209" s="2" t="s">
        <v>3888</v>
      </c>
      <c r="K209" s="2" t="s">
        <v>3893</v>
      </c>
      <c r="L209" s="2">
        <v>2023</v>
      </c>
      <c r="M209" s="2">
        <v>-245578</v>
      </c>
      <c r="N209" s="2">
        <f xml:space="preserve"> (Table1[[#This Row],[Variance (USD)]] / Table1[[#This Row],[Actual Spending (USD)]]) * 100</f>
        <v>-27.721987672995734</v>
      </c>
      <c r="O209" s="5" t="s">
        <v>3898</v>
      </c>
    </row>
    <row r="210" spans="1:15" x14ac:dyDescent="0.25">
      <c r="A210" s="4" t="s">
        <v>223</v>
      </c>
      <c r="B210" s="2" t="s">
        <v>3150</v>
      </c>
      <c r="C210" s="2" t="s">
        <v>3869</v>
      </c>
      <c r="D210" s="2" t="s">
        <v>3881</v>
      </c>
      <c r="E210" s="3">
        <v>45152</v>
      </c>
      <c r="F210" s="3">
        <v>45818</v>
      </c>
      <c r="G210" s="2" t="s">
        <v>3884</v>
      </c>
      <c r="H210" s="2">
        <v>426149</v>
      </c>
      <c r="I210" s="2">
        <v>778008</v>
      </c>
      <c r="J210" s="2" t="s">
        <v>3891</v>
      </c>
      <c r="K210" s="2" t="s">
        <v>3894</v>
      </c>
      <c r="L210" s="2">
        <v>2024</v>
      </c>
      <c r="M210" s="2">
        <v>-351859</v>
      </c>
      <c r="N210" s="2">
        <f xml:space="preserve"> (Table1[[#This Row],[Variance (USD)]] / Table1[[#This Row],[Actual Spending (USD)]]) * 100</f>
        <v>-45.225627499974294</v>
      </c>
      <c r="O210" s="5" t="s">
        <v>3897</v>
      </c>
    </row>
    <row r="211" spans="1:15" x14ac:dyDescent="0.25">
      <c r="A211" s="4" t="s">
        <v>224</v>
      </c>
      <c r="B211" s="2" t="s">
        <v>3203</v>
      </c>
      <c r="C211" s="2" t="s">
        <v>3874</v>
      </c>
      <c r="D211" s="2" t="s">
        <v>3876</v>
      </c>
      <c r="E211" s="3">
        <v>45596</v>
      </c>
      <c r="F211" s="3">
        <v>45546</v>
      </c>
      <c r="G211" s="2" t="s">
        <v>3886</v>
      </c>
      <c r="H211" s="2">
        <v>852498</v>
      </c>
      <c r="I211" s="2">
        <v>34321</v>
      </c>
      <c r="J211" s="2" t="s">
        <v>3892</v>
      </c>
      <c r="K211" s="2" t="s">
        <v>3894</v>
      </c>
      <c r="L211" s="2">
        <v>2024</v>
      </c>
      <c r="M211" s="2">
        <v>818177</v>
      </c>
      <c r="N211" s="2">
        <f xml:space="preserve"> (Table1[[#This Row],[Variance (USD)]] / Table1[[#This Row],[Actual Spending (USD)]]) * 100</f>
        <v>2383.896156871886</v>
      </c>
      <c r="O211" s="5" t="s">
        <v>3899</v>
      </c>
    </row>
    <row r="212" spans="1:15" x14ac:dyDescent="0.25">
      <c r="A212" s="4" t="s">
        <v>225</v>
      </c>
      <c r="B212" s="2" t="s">
        <v>3104</v>
      </c>
      <c r="C212" s="2" t="s">
        <v>3870</v>
      </c>
      <c r="D212" s="2" t="s">
        <v>3879</v>
      </c>
      <c r="E212" s="3">
        <v>45052</v>
      </c>
      <c r="F212" s="3">
        <v>45895</v>
      </c>
      <c r="G212" s="2" t="s">
        <v>3885</v>
      </c>
      <c r="H212" s="2">
        <v>710081</v>
      </c>
      <c r="I212" s="2">
        <v>822208</v>
      </c>
      <c r="J212" s="2" t="s">
        <v>3890</v>
      </c>
      <c r="K212" s="2" t="s">
        <v>3895</v>
      </c>
      <c r="L212" s="2">
        <v>2024</v>
      </c>
      <c r="M212" s="2">
        <v>-112127</v>
      </c>
      <c r="N212" s="2">
        <f xml:space="preserve"> (Table1[[#This Row],[Variance (USD)]] / Table1[[#This Row],[Actual Spending (USD)]]) * 100</f>
        <v>-13.637303456059779</v>
      </c>
      <c r="O212" s="5" t="s">
        <v>3898</v>
      </c>
    </row>
    <row r="213" spans="1:15" x14ac:dyDescent="0.25">
      <c r="A213" s="4" t="s">
        <v>226</v>
      </c>
      <c r="B213" s="2" t="s">
        <v>3083</v>
      </c>
      <c r="C213" s="2" t="s">
        <v>3874</v>
      </c>
      <c r="D213" s="2" t="s">
        <v>3881</v>
      </c>
      <c r="E213" s="3">
        <v>45135</v>
      </c>
      <c r="F213" s="3">
        <v>45801</v>
      </c>
      <c r="G213" s="2" t="s">
        <v>3884</v>
      </c>
      <c r="H213" s="2">
        <v>914414</v>
      </c>
      <c r="I213" s="2">
        <v>1056392</v>
      </c>
      <c r="J213" s="2" t="s">
        <v>3889</v>
      </c>
      <c r="K213" s="2" t="s">
        <v>3895</v>
      </c>
      <c r="L213" s="2">
        <v>2025</v>
      </c>
      <c r="M213" s="2">
        <v>-141978</v>
      </c>
      <c r="N213" s="2">
        <f xml:space="preserve"> (Table1[[#This Row],[Variance (USD)]] / Table1[[#This Row],[Actual Spending (USD)]]) * 100</f>
        <v>-13.439897310846732</v>
      </c>
      <c r="O213" s="5" t="s">
        <v>3897</v>
      </c>
    </row>
    <row r="214" spans="1:15" x14ac:dyDescent="0.25">
      <c r="A214" s="4" t="s">
        <v>227</v>
      </c>
      <c r="B214" s="2" t="s">
        <v>3204</v>
      </c>
      <c r="C214" s="2" t="s">
        <v>3874</v>
      </c>
      <c r="D214" s="2" t="s">
        <v>3876</v>
      </c>
      <c r="E214" s="3">
        <v>45023</v>
      </c>
      <c r="F214" s="3">
        <v>46009</v>
      </c>
      <c r="G214" s="2" t="s">
        <v>3887</v>
      </c>
      <c r="H214" s="2">
        <v>842736</v>
      </c>
      <c r="I214" s="2">
        <v>308263</v>
      </c>
      <c r="J214" s="2" t="s">
        <v>3892</v>
      </c>
      <c r="K214" s="2" t="s">
        <v>3896</v>
      </c>
      <c r="L214" s="2">
        <v>2023</v>
      </c>
      <c r="M214" s="2">
        <v>534473</v>
      </c>
      <c r="N214" s="2">
        <f xml:space="preserve"> (Table1[[#This Row],[Variance (USD)]] / Table1[[#This Row],[Actual Spending (USD)]]) * 100</f>
        <v>173.38214446754881</v>
      </c>
      <c r="O214" s="5" t="s">
        <v>3900</v>
      </c>
    </row>
    <row r="215" spans="1:15" x14ac:dyDescent="0.25">
      <c r="A215" s="4" t="s">
        <v>228</v>
      </c>
      <c r="B215" s="2" t="s">
        <v>3027</v>
      </c>
      <c r="C215" s="2" t="s">
        <v>3874</v>
      </c>
      <c r="D215" s="2" t="s">
        <v>3880</v>
      </c>
      <c r="E215" s="3">
        <v>45000</v>
      </c>
      <c r="F215" s="3">
        <v>45897</v>
      </c>
      <c r="G215" s="2" t="s">
        <v>3884</v>
      </c>
      <c r="H215" s="2">
        <v>292941</v>
      </c>
      <c r="I215" s="2">
        <v>160078</v>
      </c>
      <c r="J215" s="2" t="s">
        <v>3892</v>
      </c>
      <c r="K215" s="2" t="s">
        <v>3893</v>
      </c>
      <c r="L215" s="2">
        <v>2025</v>
      </c>
      <c r="M215" s="2">
        <v>132863</v>
      </c>
      <c r="N215" s="2">
        <f xml:space="preserve"> (Table1[[#This Row],[Variance (USD)]] / Table1[[#This Row],[Actual Spending (USD)]]) * 100</f>
        <v>82.998913029897921</v>
      </c>
      <c r="O215" s="5" t="s">
        <v>3897</v>
      </c>
    </row>
    <row r="216" spans="1:15" x14ac:dyDescent="0.25">
      <c r="A216" s="4" t="s">
        <v>229</v>
      </c>
      <c r="B216" s="2" t="s">
        <v>3205</v>
      </c>
      <c r="C216" s="2" t="s">
        <v>3871</v>
      </c>
      <c r="D216" s="2" t="s">
        <v>3883</v>
      </c>
      <c r="E216" s="3">
        <v>45553</v>
      </c>
      <c r="F216" s="3">
        <v>45754</v>
      </c>
      <c r="G216" s="2" t="s">
        <v>3886</v>
      </c>
      <c r="H216" s="2">
        <v>617255</v>
      </c>
      <c r="I216" s="2">
        <v>723956</v>
      </c>
      <c r="J216" s="2" t="s">
        <v>3892</v>
      </c>
      <c r="K216" s="2" t="s">
        <v>3896</v>
      </c>
      <c r="L216" s="2">
        <v>2025</v>
      </c>
      <c r="M216" s="2">
        <v>-106701</v>
      </c>
      <c r="N216" s="2">
        <f xml:space="preserve"> (Table1[[#This Row],[Variance (USD)]] / Table1[[#This Row],[Actual Spending (USD)]]) * 100</f>
        <v>-14.738602898518693</v>
      </c>
      <c r="O216" s="5" t="s">
        <v>3899</v>
      </c>
    </row>
    <row r="217" spans="1:15" x14ac:dyDescent="0.25">
      <c r="A217" s="4" t="s">
        <v>230</v>
      </c>
      <c r="B217" s="2" t="s">
        <v>3206</v>
      </c>
      <c r="C217" s="2" t="s">
        <v>3873</v>
      </c>
      <c r="D217" s="2" t="s">
        <v>3878</v>
      </c>
      <c r="E217" s="3">
        <v>45117</v>
      </c>
      <c r="F217" s="3">
        <v>45490</v>
      </c>
      <c r="G217" s="2" t="s">
        <v>3886</v>
      </c>
      <c r="H217" s="2">
        <v>805584</v>
      </c>
      <c r="I217" s="2">
        <v>345111</v>
      </c>
      <c r="J217" s="2" t="s">
        <v>3889</v>
      </c>
      <c r="K217" s="2" t="s">
        <v>3896</v>
      </c>
      <c r="L217" s="2">
        <v>2023</v>
      </c>
      <c r="M217" s="2">
        <v>460473</v>
      </c>
      <c r="N217" s="2">
        <f xml:space="preserve"> (Table1[[#This Row],[Variance (USD)]] / Table1[[#This Row],[Actual Spending (USD)]]) * 100</f>
        <v>133.42750593287377</v>
      </c>
      <c r="O217" s="5" t="s">
        <v>3899</v>
      </c>
    </row>
    <row r="218" spans="1:15" x14ac:dyDescent="0.25">
      <c r="A218" s="4" t="s">
        <v>231</v>
      </c>
      <c r="B218" s="2" t="s">
        <v>3207</v>
      </c>
      <c r="C218" s="2" t="s">
        <v>3875</v>
      </c>
      <c r="D218" s="2" t="s">
        <v>3879</v>
      </c>
      <c r="E218" s="3">
        <v>45608</v>
      </c>
      <c r="F218" s="3">
        <v>45562</v>
      </c>
      <c r="G218" s="2" t="s">
        <v>3887</v>
      </c>
      <c r="H218" s="2">
        <v>390907</v>
      </c>
      <c r="I218" s="2">
        <v>718423</v>
      </c>
      <c r="J218" s="2" t="s">
        <v>3888</v>
      </c>
      <c r="K218" s="2" t="s">
        <v>3894</v>
      </c>
      <c r="L218" s="2">
        <v>2025</v>
      </c>
      <c r="M218" s="2">
        <v>-327516</v>
      </c>
      <c r="N218" s="2">
        <f xml:space="preserve"> (Table1[[#This Row],[Variance (USD)]] / Table1[[#This Row],[Actual Spending (USD)]]) * 100</f>
        <v>-45.588184119940479</v>
      </c>
      <c r="O218" s="5" t="s">
        <v>3900</v>
      </c>
    </row>
    <row r="219" spans="1:15" x14ac:dyDescent="0.25">
      <c r="A219" s="4" t="s">
        <v>232</v>
      </c>
      <c r="B219" s="2" t="s">
        <v>3208</v>
      </c>
      <c r="C219" s="2" t="s">
        <v>3873</v>
      </c>
      <c r="D219" s="2" t="s">
        <v>3882</v>
      </c>
      <c r="E219" s="3">
        <v>45642</v>
      </c>
      <c r="F219" s="3">
        <v>45849</v>
      </c>
      <c r="G219" s="2" t="s">
        <v>3884</v>
      </c>
      <c r="H219" s="2">
        <v>876894</v>
      </c>
      <c r="I219" s="2">
        <v>142620</v>
      </c>
      <c r="J219" s="2" t="s">
        <v>3889</v>
      </c>
      <c r="K219" s="2" t="s">
        <v>3896</v>
      </c>
      <c r="L219" s="2">
        <v>2025</v>
      </c>
      <c r="M219" s="2">
        <v>734274</v>
      </c>
      <c r="N219" s="2">
        <f xml:space="preserve"> (Table1[[#This Row],[Variance (USD)]] / Table1[[#This Row],[Actual Spending (USD)]]) * 100</f>
        <v>514.84644509886402</v>
      </c>
      <c r="O219" s="5" t="s">
        <v>3897</v>
      </c>
    </row>
    <row r="220" spans="1:15" x14ac:dyDescent="0.25">
      <c r="A220" s="4" t="s">
        <v>233</v>
      </c>
      <c r="B220" s="2" t="s">
        <v>3149</v>
      </c>
      <c r="C220" s="2" t="s">
        <v>3870</v>
      </c>
      <c r="D220" s="2" t="s">
        <v>3881</v>
      </c>
      <c r="E220" s="3">
        <v>44982</v>
      </c>
      <c r="F220" s="3">
        <v>45355</v>
      </c>
      <c r="G220" s="2" t="s">
        <v>3886</v>
      </c>
      <c r="H220" s="2">
        <v>956788</v>
      </c>
      <c r="I220" s="2">
        <v>1086771</v>
      </c>
      <c r="J220" s="2" t="s">
        <v>3892</v>
      </c>
      <c r="K220" s="2" t="s">
        <v>3896</v>
      </c>
      <c r="L220" s="2">
        <v>2024</v>
      </c>
      <c r="M220" s="2">
        <v>-129983</v>
      </c>
      <c r="N220" s="2">
        <f xml:space="preserve"> (Table1[[#This Row],[Variance (USD)]] / Table1[[#This Row],[Actual Spending (USD)]]) * 100</f>
        <v>-11.960477414285069</v>
      </c>
      <c r="O220" s="5" t="s">
        <v>3899</v>
      </c>
    </row>
    <row r="221" spans="1:15" x14ac:dyDescent="0.25">
      <c r="A221" s="4" t="s">
        <v>234</v>
      </c>
      <c r="B221" s="2" t="s">
        <v>3060</v>
      </c>
      <c r="C221" s="2" t="s">
        <v>3868</v>
      </c>
      <c r="D221" s="2" t="s">
        <v>3881</v>
      </c>
      <c r="E221" s="3">
        <v>45646</v>
      </c>
      <c r="F221" s="3">
        <v>45521</v>
      </c>
      <c r="G221" s="2" t="s">
        <v>3884</v>
      </c>
      <c r="H221" s="2">
        <v>646122</v>
      </c>
      <c r="I221" s="2">
        <v>1029601</v>
      </c>
      <c r="J221" s="2" t="s">
        <v>3890</v>
      </c>
      <c r="K221" s="2" t="s">
        <v>3894</v>
      </c>
      <c r="L221" s="2">
        <v>2023</v>
      </c>
      <c r="M221" s="2">
        <v>-383479</v>
      </c>
      <c r="N221" s="2">
        <f xml:space="preserve"> (Table1[[#This Row],[Variance (USD)]] / Table1[[#This Row],[Actual Spending (USD)]]) * 100</f>
        <v>-37.245398945805221</v>
      </c>
      <c r="O221" s="5" t="s">
        <v>3897</v>
      </c>
    </row>
    <row r="222" spans="1:15" x14ac:dyDescent="0.25">
      <c r="A222" s="4" t="s">
        <v>235</v>
      </c>
      <c r="B222" s="2" t="s">
        <v>3209</v>
      </c>
      <c r="C222" s="2" t="s">
        <v>3874</v>
      </c>
      <c r="D222" s="2" t="s">
        <v>3877</v>
      </c>
      <c r="E222" s="3">
        <v>45479</v>
      </c>
      <c r="F222" s="3">
        <v>45540</v>
      </c>
      <c r="G222" s="2" t="s">
        <v>3884</v>
      </c>
      <c r="H222" s="2">
        <v>423167</v>
      </c>
      <c r="I222" s="2">
        <v>808985</v>
      </c>
      <c r="J222" s="2" t="s">
        <v>3892</v>
      </c>
      <c r="K222" s="2" t="s">
        <v>3894</v>
      </c>
      <c r="L222" s="2">
        <v>2023</v>
      </c>
      <c r="M222" s="2">
        <v>-385818</v>
      </c>
      <c r="N222" s="2">
        <f xml:space="preserve"> (Table1[[#This Row],[Variance (USD)]] / Table1[[#This Row],[Actual Spending (USD)]]) * 100</f>
        <v>-47.691613565146454</v>
      </c>
      <c r="O222" s="5" t="s">
        <v>3897</v>
      </c>
    </row>
    <row r="223" spans="1:15" x14ac:dyDescent="0.25">
      <c r="A223" s="4" t="s">
        <v>236</v>
      </c>
      <c r="B223" s="2" t="s">
        <v>3210</v>
      </c>
      <c r="C223" s="2" t="s">
        <v>3873</v>
      </c>
      <c r="D223" s="2" t="s">
        <v>3883</v>
      </c>
      <c r="E223" s="3">
        <v>44958</v>
      </c>
      <c r="F223" s="3">
        <v>45537</v>
      </c>
      <c r="G223" s="2" t="s">
        <v>3886</v>
      </c>
      <c r="H223" s="2">
        <v>692059</v>
      </c>
      <c r="I223" s="2">
        <v>1136571</v>
      </c>
      <c r="J223" s="2" t="s">
        <v>3890</v>
      </c>
      <c r="K223" s="2" t="s">
        <v>3893</v>
      </c>
      <c r="L223" s="2">
        <v>2024</v>
      </c>
      <c r="M223" s="2">
        <v>-444512</v>
      </c>
      <c r="N223" s="2">
        <f xml:space="preserve"> (Table1[[#This Row],[Variance (USD)]] / Table1[[#This Row],[Actual Spending (USD)]]) * 100</f>
        <v>-39.10991922194038</v>
      </c>
      <c r="O223" s="5" t="s">
        <v>3899</v>
      </c>
    </row>
    <row r="224" spans="1:15" x14ac:dyDescent="0.25">
      <c r="A224" s="4" t="s">
        <v>237</v>
      </c>
      <c r="B224" s="2" t="s">
        <v>3211</v>
      </c>
      <c r="C224" s="2" t="s">
        <v>3870</v>
      </c>
      <c r="D224" s="2" t="s">
        <v>3882</v>
      </c>
      <c r="E224" s="3">
        <v>45453</v>
      </c>
      <c r="F224" s="3">
        <v>45878</v>
      </c>
      <c r="G224" s="2" t="s">
        <v>3886</v>
      </c>
      <c r="H224" s="2">
        <v>125842</v>
      </c>
      <c r="I224" s="2">
        <v>160112</v>
      </c>
      <c r="J224" s="2" t="s">
        <v>3891</v>
      </c>
      <c r="K224" s="2" t="s">
        <v>3893</v>
      </c>
      <c r="L224" s="2">
        <v>2023</v>
      </c>
      <c r="M224" s="2">
        <v>-34270</v>
      </c>
      <c r="N224" s="2">
        <f xml:space="preserve"> (Table1[[#This Row],[Variance (USD)]] / Table1[[#This Row],[Actual Spending (USD)]]) * 100</f>
        <v>-21.403767362846008</v>
      </c>
      <c r="O224" s="5" t="s">
        <v>3899</v>
      </c>
    </row>
    <row r="225" spans="1:15" x14ac:dyDescent="0.25">
      <c r="A225" s="4" t="s">
        <v>238</v>
      </c>
      <c r="B225" s="2" t="s">
        <v>3212</v>
      </c>
      <c r="C225" s="2" t="s">
        <v>3868</v>
      </c>
      <c r="D225" s="2" t="s">
        <v>3878</v>
      </c>
      <c r="E225" s="3">
        <v>45500</v>
      </c>
      <c r="F225" s="3">
        <v>45448</v>
      </c>
      <c r="G225" s="2" t="s">
        <v>3886</v>
      </c>
      <c r="H225" s="2">
        <v>52589</v>
      </c>
      <c r="I225" s="2">
        <v>68250</v>
      </c>
      <c r="J225" s="2" t="s">
        <v>3890</v>
      </c>
      <c r="K225" s="2" t="s">
        <v>3893</v>
      </c>
      <c r="L225" s="2">
        <v>2024</v>
      </c>
      <c r="M225" s="2">
        <v>-15661</v>
      </c>
      <c r="N225" s="2">
        <f xml:space="preserve"> (Table1[[#This Row],[Variance (USD)]] / Table1[[#This Row],[Actual Spending (USD)]]) * 100</f>
        <v>-22.946520146520147</v>
      </c>
      <c r="O225" s="5" t="s">
        <v>3899</v>
      </c>
    </row>
    <row r="226" spans="1:15" x14ac:dyDescent="0.25">
      <c r="A226" s="4" t="s">
        <v>239</v>
      </c>
      <c r="B226" s="2" t="s">
        <v>3213</v>
      </c>
      <c r="C226" s="2" t="s">
        <v>3868</v>
      </c>
      <c r="D226" s="2" t="s">
        <v>3876</v>
      </c>
      <c r="E226" s="3">
        <v>45593</v>
      </c>
      <c r="F226" s="3">
        <v>45993</v>
      </c>
      <c r="G226" s="2" t="s">
        <v>3884</v>
      </c>
      <c r="H226" s="2">
        <v>437167</v>
      </c>
      <c r="I226" s="2">
        <v>812129</v>
      </c>
      <c r="J226" s="2" t="s">
        <v>3892</v>
      </c>
      <c r="K226" s="2" t="s">
        <v>3895</v>
      </c>
      <c r="L226" s="2">
        <v>2025</v>
      </c>
      <c r="M226" s="2">
        <v>-374962</v>
      </c>
      <c r="N226" s="2">
        <f xml:space="preserve"> (Table1[[#This Row],[Variance (USD)]] / Table1[[#This Row],[Actual Spending (USD)]]) * 100</f>
        <v>-46.170251277814238</v>
      </c>
      <c r="O226" s="5" t="s">
        <v>3897</v>
      </c>
    </row>
    <row r="227" spans="1:15" x14ac:dyDescent="0.25">
      <c r="A227" s="4" t="s">
        <v>240</v>
      </c>
      <c r="B227" s="2" t="s">
        <v>3214</v>
      </c>
      <c r="C227" s="2" t="s">
        <v>3874</v>
      </c>
      <c r="D227" s="2" t="s">
        <v>3878</v>
      </c>
      <c r="E227" s="3">
        <v>45210</v>
      </c>
      <c r="F227" s="3">
        <v>45855</v>
      </c>
      <c r="G227" s="2" t="s">
        <v>3884</v>
      </c>
      <c r="H227" s="2">
        <v>480294</v>
      </c>
      <c r="I227" s="2">
        <v>963580</v>
      </c>
      <c r="J227" s="2" t="s">
        <v>3889</v>
      </c>
      <c r="K227" s="2" t="s">
        <v>3894</v>
      </c>
      <c r="L227" s="2">
        <v>2023</v>
      </c>
      <c r="M227" s="2">
        <v>-483286</v>
      </c>
      <c r="N227" s="2">
        <f xml:space="preserve"> (Table1[[#This Row],[Variance (USD)]] / Table1[[#This Row],[Actual Spending (USD)]]) * 100</f>
        <v>-50.155254363934496</v>
      </c>
      <c r="O227" s="5" t="s">
        <v>3897</v>
      </c>
    </row>
    <row r="228" spans="1:15" x14ac:dyDescent="0.25">
      <c r="A228" s="4" t="s">
        <v>241</v>
      </c>
      <c r="B228" s="2" t="s">
        <v>3215</v>
      </c>
      <c r="C228" s="2" t="s">
        <v>3875</v>
      </c>
      <c r="D228" s="2" t="s">
        <v>3883</v>
      </c>
      <c r="E228" s="3">
        <v>45647</v>
      </c>
      <c r="F228" s="3">
        <v>45379</v>
      </c>
      <c r="G228" s="2" t="s">
        <v>3886</v>
      </c>
      <c r="H228" s="2">
        <v>281617</v>
      </c>
      <c r="I228" s="2">
        <v>1093952</v>
      </c>
      <c r="J228" s="2" t="s">
        <v>3892</v>
      </c>
      <c r="K228" s="2" t="s">
        <v>3895</v>
      </c>
      <c r="L228" s="2">
        <v>2023</v>
      </c>
      <c r="M228" s="2">
        <v>-812335</v>
      </c>
      <c r="N228" s="2">
        <f xml:space="preserve"> (Table1[[#This Row],[Variance (USD)]] / Table1[[#This Row],[Actual Spending (USD)]]) * 100</f>
        <v>-74.256914380155621</v>
      </c>
      <c r="O228" s="5" t="s">
        <v>3899</v>
      </c>
    </row>
    <row r="229" spans="1:15" x14ac:dyDescent="0.25">
      <c r="A229" s="4" t="s">
        <v>242</v>
      </c>
      <c r="B229" s="2" t="s">
        <v>3216</v>
      </c>
      <c r="C229" s="2" t="s">
        <v>3872</v>
      </c>
      <c r="D229" s="2" t="s">
        <v>3883</v>
      </c>
      <c r="E229" s="3">
        <v>45420</v>
      </c>
      <c r="F229" s="3">
        <v>45604</v>
      </c>
      <c r="G229" s="2" t="s">
        <v>3884</v>
      </c>
      <c r="H229" s="2">
        <v>104918</v>
      </c>
      <c r="I229" s="2">
        <v>597730</v>
      </c>
      <c r="J229" s="2" t="s">
        <v>3892</v>
      </c>
      <c r="K229" s="2" t="s">
        <v>3895</v>
      </c>
      <c r="L229" s="2">
        <v>2025</v>
      </c>
      <c r="M229" s="2">
        <v>-492812</v>
      </c>
      <c r="N229" s="2">
        <f xml:space="preserve"> (Table1[[#This Row],[Variance (USD)]] / Table1[[#This Row],[Actual Spending (USD)]]) * 100</f>
        <v>-82.447258795777358</v>
      </c>
      <c r="O229" s="5" t="s">
        <v>3897</v>
      </c>
    </row>
    <row r="230" spans="1:15" x14ac:dyDescent="0.25">
      <c r="A230" s="4" t="s">
        <v>243</v>
      </c>
      <c r="B230" s="2" t="s">
        <v>3217</v>
      </c>
      <c r="C230" s="2" t="s">
        <v>3871</v>
      </c>
      <c r="D230" s="2" t="s">
        <v>3880</v>
      </c>
      <c r="E230" s="3">
        <v>45113</v>
      </c>
      <c r="F230" s="3">
        <v>45357</v>
      </c>
      <c r="G230" s="2" t="s">
        <v>3884</v>
      </c>
      <c r="H230" s="2">
        <v>981105</v>
      </c>
      <c r="I230" s="2">
        <v>54809</v>
      </c>
      <c r="J230" s="2" t="s">
        <v>3891</v>
      </c>
      <c r="K230" s="2" t="s">
        <v>3893</v>
      </c>
      <c r="L230" s="2">
        <v>2025</v>
      </c>
      <c r="M230" s="2">
        <v>926296</v>
      </c>
      <c r="N230" s="2">
        <f xml:space="preserve"> (Table1[[#This Row],[Variance (USD)]] / Table1[[#This Row],[Actual Spending (USD)]]) * 100</f>
        <v>1690.0436059771205</v>
      </c>
      <c r="O230" s="5" t="s">
        <v>3897</v>
      </c>
    </row>
    <row r="231" spans="1:15" x14ac:dyDescent="0.25">
      <c r="A231" s="4" t="s">
        <v>244</v>
      </c>
      <c r="B231" s="2" t="s">
        <v>3218</v>
      </c>
      <c r="C231" s="2" t="s">
        <v>3873</v>
      </c>
      <c r="D231" s="2" t="s">
        <v>3880</v>
      </c>
      <c r="E231" s="3">
        <v>45424</v>
      </c>
      <c r="F231" s="3">
        <v>45953</v>
      </c>
      <c r="G231" s="2" t="s">
        <v>3887</v>
      </c>
      <c r="H231" s="2">
        <v>57711</v>
      </c>
      <c r="I231" s="2">
        <v>1193671</v>
      </c>
      <c r="J231" s="2" t="s">
        <v>3888</v>
      </c>
      <c r="K231" s="2" t="s">
        <v>3894</v>
      </c>
      <c r="L231" s="2">
        <v>2023</v>
      </c>
      <c r="M231" s="2">
        <v>-1135960</v>
      </c>
      <c r="N231" s="2">
        <f xml:space="preserve"> (Table1[[#This Row],[Variance (USD)]] / Table1[[#This Row],[Actual Spending (USD)]]) * 100</f>
        <v>-95.165250726540222</v>
      </c>
      <c r="O231" s="5" t="s">
        <v>3900</v>
      </c>
    </row>
    <row r="232" spans="1:15" x14ac:dyDescent="0.25">
      <c r="A232" s="4" t="s">
        <v>245</v>
      </c>
      <c r="B232" s="2" t="s">
        <v>3110</v>
      </c>
      <c r="C232" s="2" t="s">
        <v>3868</v>
      </c>
      <c r="D232" s="2" t="s">
        <v>3878</v>
      </c>
      <c r="E232" s="3">
        <v>45368</v>
      </c>
      <c r="F232" s="3">
        <v>45311</v>
      </c>
      <c r="G232" s="2" t="s">
        <v>3884</v>
      </c>
      <c r="H232" s="2">
        <v>267972</v>
      </c>
      <c r="I232" s="2">
        <v>686053</v>
      </c>
      <c r="J232" s="2" t="s">
        <v>3892</v>
      </c>
      <c r="K232" s="2" t="s">
        <v>3895</v>
      </c>
      <c r="L232" s="2">
        <v>2023</v>
      </c>
      <c r="M232" s="2">
        <v>-418081</v>
      </c>
      <c r="N232" s="2">
        <f xml:space="preserve"> (Table1[[#This Row],[Variance (USD)]] / Table1[[#This Row],[Actual Spending (USD)]]) * 100</f>
        <v>-60.940043990770384</v>
      </c>
      <c r="O232" s="5" t="s">
        <v>3897</v>
      </c>
    </row>
    <row r="233" spans="1:15" x14ac:dyDescent="0.25">
      <c r="A233" s="4" t="s">
        <v>246</v>
      </c>
      <c r="B233" s="2" t="s">
        <v>3219</v>
      </c>
      <c r="C233" s="2" t="s">
        <v>3873</v>
      </c>
      <c r="D233" s="2" t="s">
        <v>3876</v>
      </c>
      <c r="E233" s="3">
        <v>45056</v>
      </c>
      <c r="F233" s="3">
        <v>45324</v>
      </c>
      <c r="G233" s="2" t="s">
        <v>3886</v>
      </c>
      <c r="H233" s="2">
        <v>371574</v>
      </c>
      <c r="I233" s="2">
        <v>653761</v>
      </c>
      <c r="J233" s="2" t="s">
        <v>3891</v>
      </c>
      <c r="K233" s="2" t="s">
        <v>3896</v>
      </c>
      <c r="L233" s="2">
        <v>2023</v>
      </c>
      <c r="M233" s="2">
        <v>-282187</v>
      </c>
      <c r="N233" s="2">
        <f xml:space="preserve"> (Table1[[#This Row],[Variance (USD)]] / Table1[[#This Row],[Actual Spending (USD)]]) * 100</f>
        <v>-43.163633193169979</v>
      </c>
      <c r="O233" s="5" t="s">
        <v>3899</v>
      </c>
    </row>
    <row r="234" spans="1:15" x14ac:dyDescent="0.25">
      <c r="A234" s="4" t="s">
        <v>247</v>
      </c>
      <c r="B234" s="2" t="s">
        <v>3220</v>
      </c>
      <c r="C234" s="2" t="s">
        <v>3872</v>
      </c>
      <c r="D234" s="2" t="s">
        <v>3878</v>
      </c>
      <c r="E234" s="3">
        <v>45565</v>
      </c>
      <c r="F234" s="3">
        <v>45849</v>
      </c>
      <c r="G234" s="2" t="s">
        <v>3884</v>
      </c>
      <c r="H234" s="2">
        <v>768687</v>
      </c>
      <c r="I234" s="2">
        <v>1173345</v>
      </c>
      <c r="J234" s="2" t="s">
        <v>3889</v>
      </c>
      <c r="K234" s="2" t="s">
        <v>3896</v>
      </c>
      <c r="L234" s="2">
        <v>2024</v>
      </c>
      <c r="M234" s="2">
        <v>-404658</v>
      </c>
      <c r="N234" s="2">
        <f xml:space="preserve"> (Table1[[#This Row],[Variance (USD)]] / Table1[[#This Row],[Actual Spending (USD)]]) * 100</f>
        <v>-34.487554811244777</v>
      </c>
      <c r="O234" s="5" t="s">
        <v>3897</v>
      </c>
    </row>
    <row r="235" spans="1:15" x14ac:dyDescent="0.25">
      <c r="A235" s="4" t="s">
        <v>248</v>
      </c>
      <c r="B235" s="2" t="s">
        <v>3221</v>
      </c>
      <c r="C235" s="2" t="s">
        <v>3871</v>
      </c>
      <c r="D235" s="2" t="s">
        <v>3883</v>
      </c>
      <c r="E235" s="3">
        <v>45218</v>
      </c>
      <c r="F235" s="3">
        <v>45364</v>
      </c>
      <c r="G235" s="2" t="s">
        <v>3884</v>
      </c>
      <c r="H235" s="2">
        <v>280314</v>
      </c>
      <c r="I235" s="2">
        <v>497375</v>
      </c>
      <c r="J235" s="2" t="s">
        <v>3891</v>
      </c>
      <c r="K235" s="2" t="s">
        <v>3894</v>
      </c>
      <c r="L235" s="2">
        <v>2023</v>
      </c>
      <c r="M235" s="2">
        <v>-217061</v>
      </c>
      <c r="N235" s="2">
        <f xml:space="preserve"> (Table1[[#This Row],[Variance (USD)]] / Table1[[#This Row],[Actual Spending (USD)]]) * 100</f>
        <v>-43.641316913797432</v>
      </c>
      <c r="O235" s="5" t="s">
        <v>3897</v>
      </c>
    </row>
    <row r="236" spans="1:15" x14ac:dyDescent="0.25">
      <c r="A236" s="4" t="s">
        <v>249</v>
      </c>
      <c r="B236" s="2" t="s">
        <v>3222</v>
      </c>
      <c r="C236" s="2" t="s">
        <v>3872</v>
      </c>
      <c r="D236" s="2" t="s">
        <v>3883</v>
      </c>
      <c r="E236" s="3">
        <v>45040</v>
      </c>
      <c r="F236" s="3">
        <v>45634</v>
      </c>
      <c r="G236" s="2" t="s">
        <v>3884</v>
      </c>
      <c r="H236" s="2">
        <v>800506</v>
      </c>
      <c r="I236" s="2">
        <v>628998</v>
      </c>
      <c r="J236" s="2" t="s">
        <v>3891</v>
      </c>
      <c r="K236" s="2" t="s">
        <v>3895</v>
      </c>
      <c r="L236" s="2">
        <v>2023</v>
      </c>
      <c r="M236" s="2">
        <v>171508</v>
      </c>
      <c r="N236" s="2">
        <f xml:space="preserve"> (Table1[[#This Row],[Variance (USD)]] / Table1[[#This Row],[Actual Spending (USD)]]) * 100</f>
        <v>27.266859354083795</v>
      </c>
      <c r="O236" s="5" t="s">
        <v>3897</v>
      </c>
    </row>
    <row r="237" spans="1:15" x14ac:dyDescent="0.25">
      <c r="A237" s="4" t="s">
        <v>250</v>
      </c>
      <c r="B237" s="2" t="s">
        <v>3209</v>
      </c>
      <c r="C237" s="2" t="s">
        <v>3871</v>
      </c>
      <c r="D237" s="2" t="s">
        <v>3877</v>
      </c>
      <c r="E237" s="3">
        <v>45125</v>
      </c>
      <c r="F237" s="3">
        <v>45424</v>
      </c>
      <c r="G237" s="2" t="s">
        <v>3884</v>
      </c>
      <c r="H237" s="2">
        <v>939037</v>
      </c>
      <c r="I237" s="2">
        <v>827784</v>
      </c>
      <c r="J237" s="2" t="s">
        <v>3890</v>
      </c>
      <c r="K237" s="2" t="s">
        <v>3893</v>
      </c>
      <c r="L237" s="2">
        <v>2025</v>
      </c>
      <c r="M237" s="2">
        <v>111253</v>
      </c>
      <c r="N237" s="2">
        <f xml:space="preserve"> (Table1[[#This Row],[Variance (USD)]] / Table1[[#This Row],[Actual Spending (USD)]]) * 100</f>
        <v>13.439858707102337</v>
      </c>
      <c r="O237" s="5" t="s">
        <v>3897</v>
      </c>
    </row>
    <row r="238" spans="1:15" x14ac:dyDescent="0.25">
      <c r="A238" s="4" t="s">
        <v>251</v>
      </c>
      <c r="B238" s="2" t="s">
        <v>3069</v>
      </c>
      <c r="C238" s="2" t="s">
        <v>3869</v>
      </c>
      <c r="D238" s="2" t="s">
        <v>3880</v>
      </c>
      <c r="E238" s="3">
        <v>44939</v>
      </c>
      <c r="F238" s="3">
        <v>45346</v>
      </c>
      <c r="G238" s="2" t="s">
        <v>3884</v>
      </c>
      <c r="H238" s="2">
        <v>578258</v>
      </c>
      <c r="I238" s="2">
        <v>1131652</v>
      </c>
      <c r="J238" s="2" t="s">
        <v>3888</v>
      </c>
      <c r="K238" s="2" t="s">
        <v>3895</v>
      </c>
      <c r="L238" s="2">
        <v>2025</v>
      </c>
      <c r="M238" s="2">
        <v>-553394</v>
      </c>
      <c r="N238" s="2">
        <f xml:space="preserve"> (Table1[[#This Row],[Variance (USD)]] / Table1[[#This Row],[Actual Spending (USD)]]) * 100</f>
        <v>-48.901429061230836</v>
      </c>
      <c r="O238" s="5" t="s">
        <v>3897</v>
      </c>
    </row>
    <row r="239" spans="1:15" x14ac:dyDescent="0.25">
      <c r="A239" s="4" t="s">
        <v>252</v>
      </c>
      <c r="B239" s="2" t="s">
        <v>3223</v>
      </c>
      <c r="C239" s="2" t="s">
        <v>3871</v>
      </c>
      <c r="D239" s="2" t="s">
        <v>3882</v>
      </c>
      <c r="E239" s="3">
        <v>45197</v>
      </c>
      <c r="F239" s="3">
        <v>45352</v>
      </c>
      <c r="G239" s="2" t="s">
        <v>3884</v>
      </c>
      <c r="H239" s="2">
        <v>308989</v>
      </c>
      <c r="I239" s="2">
        <v>315498</v>
      </c>
      <c r="J239" s="2" t="s">
        <v>3888</v>
      </c>
      <c r="K239" s="2" t="s">
        <v>3896</v>
      </c>
      <c r="L239" s="2">
        <v>2024</v>
      </c>
      <c r="M239" s="2">
        <v>-6509</v>
      </c>
      <c r="N239" s="2">
        <f xml:space="preserve"> (Table1[[#This Row],[Variance (USD)]] / Table1[[#This Row],[Actual Spending (USD)]]) * 100</f>
        <v>-2.0630875631541246</v>
      </c>
      <c r="O239" s="5" t="s">
        <v>3897</v>
      </c>
    </row>
    <row r="240" spans="1:15" x14ac:dyDescent="0.25">
      <c r="A240" s="4" t="s">
        <v>253</v>
      </c>
      <c r="B240" s="2" t="s">
        <v>3163</v>
      </c>
      <c r="C240" s="2" t="s">
        <v>3874</v>
      </c>
      <c r="D240" s="2" t="s">
        <v>3882</v>
      </c>
      <c r="E240" s="3">
        <v>45527</v>
      </c>
      <c r="F240" s="3">
        <v>45811</v>
      </c>
      <c r="G240" s="2" t="s">
        <v>3884</v>
      </c>
      <c r="H240" s="2">
        <v>381679</v>
      </c>
      <c r="I240" s="2">
        <v>688672</v>
      </c>
      <c r="J240" s="2" t="s">
        <v>3889</v>
      </c>
      <c r="K240" s="2" t="s">
        <v>3896</v>
      </c>
      <c r="L240" s="2">
        <v>2025</v>
      </c>
      <c r="M240" s="2">
        <v>-306993</v>
      </c>
      <c r="N240" s="2">
        <f xml:space="preserve"> (Table1[[#This Row],[Variance (USD)]] / Table1[[#This Row],[Actual Spending (USD)]]) * 100</f>
        <v>-44.577534733516103</v>
      </c>
      <c r="O240" s="5" t="s">
        <v>3897</v>
      </c>
    </row>
    <row r="241" spans="1:15" x14ac:dyDescent="0.25">
      <c r="A241" s="4" t="s">
        <v>254</v>
      </c>
      <c r="B241" s="2" t="s">
        <v>3033</v>
      </c>
      <c r="C241" s="2" t="s">
        <v>3875</v>
      </c>
      <c r="D241" s="2" t="s">
        <v>3882</v>
      </c>
      <c r="E241" s="3">
        <v>45141</v>
      </c>
      <c r="F241" s="3">
        <v>45563</v>
      </c>
      <c r="G241" s="2" t="s">
        <v>3884</v>
      </c>
      <c r="H241" s="2">
        <v>923002</v>
      </c>
      <c r="I241" s="2">
        <v>392136</v>
      </c>
      <c r="J241" s="2" t="s">
        <v>3891</v>
      </c>
      <c r="K241" s="2" t="s">
        <v>3893</v>
      </c>
      <c r="L241" s="2">
        <v>2023</v>
      </c>
      <c r="M241" s="2">
        <v>530866</v>
      </c>
      <c r="N241" s="2">
        <f xml:space="preserve"> (Table1[[#This Row],[Variance (USD)]] / Table1[[#This Row],[Actual Spending (USD)]]) * 100</f>
        <v>135.37803211130833</v>
      </c>
      <c r="O241" s="5" t="s">
        <v>3897</v>
      </c>
    </row>
    <row r="242" spans="1:15" x14ac:dyDescent="0.25">
      <c r="A242" s="4" t="s">
        <v>255</v>
      </c>
      <c r="B242" s="2" t="s">
        <v>3224</v>
      </c>
      <c r="C242" s="2" t="s">
        <v>3872</v>
      </c>
      <c r="D242" s="2" t="s">
        <v>3877</v>
      </c>
      <c r="E242" s="3">
        <v>45370</v>
      </c>
      <c r="F242" s="3">
        <v>45537</v>
      </c>
      <c r="G242" s="2" t="s">
        <v>3884</v>
      </c>
      <c r="H242" s="2">
        <v>171315</v>
      </c>
      <c r="I242" s="2">
        <v>188264</v>
      </c>
      <c r="J242" s="2" t="s">
        <v>3889</v>
      </c>
      <c r="K242" s="2" t="s">
        <v>3894</v>
      </c>
      <c r="L242" s="2">
        <v>2023</v>
      </c>
      <c r="M242" s="2">
        <v>-16949</v>
      </c>
      <c r="N242" s="2">
        <f xml:space="preserve"> (Table1[[#This Row],[Variance (USD)]] / Table1[[#This Row],[Actual Spending (USD)]]) * 100</f>
        <v>-9.002783325542854</v>
      </c>
      <c r="O242" s="5" t="s">
        <v>3897</v>
      </c>
    </row>
    <row r="243" spans="1:15" x14ac:dyDescent="0.25">
      <c r="A243" s="4" t="s">
        <v>256</v>
      </c>
      <c r="B243" s="2" t="s">
        <v>3225</v>
      </c>
      <c r="C243" s="2" t="s">
        <v>3868</v>
      </c>
      <c r="D243" s="2" t="s">
        <v>3879</v>
      </c>
      <c r="E243" s="3">
        <v>45438</v>
      </c>
      <c r="F243" s="3">
        <v>45467</v>
      </c>
      <c r="G243" s="2" t="s">
        <v>3884</v>
      </c>
      <c r="H243" s="2">
        <v>424255</v>
      </c>
      <c r="I243" s="2">
        <v>1179302</v>
      </c>
      <c r="J243" s="2" t="s">
        <v>3889</v>
      </c>
      <c r="K243" s="2" t="s">
        <v>3895</v>
      </c>
      <c r="L243" s="2">
        <v>2024</v>
      </c>
      <c r="M243" s="2">
        <v>-755047</v>
      </c>
      <c r="N243" s="2">
        <f xml:space="preserve"> (Table1[[#This Row],[Variance (USD)]] / Table1[[#This Row],[Actual Spending (USD)]]) * 100</f>
        <v>-64.024906258108601</v>
      </c>
      <c r="O243" s="5" t="s">
        <v>3897</v>
      </c>
    </row>
    <row r="244" spans="1:15" x14ac:dyDescent="0.25">
      <c r="A244" s="4" t="s">
        <v>257</v>
      </c>
      <c r="B244" s="2" t="s">
        <v>3226</v>
      </c>
      <c r="C244" s="2" t="s">
        <v>3874</v>
      </c>
      <c r="D244" s="2" t="s">
        <v>3882</v>
      </c>
      <c r="E244" s="3">
        <v>45373</v>
      </c>
      <c r="F244" s="3">
        <v>45919</v>
      </c>
      <c r="G244" s="2" t="s">
        <v>3884</v>
      </c>
      <c r="H244" s="2">
        <v>353874</v>
      </c>
      <c r="I244" s="2">
        <v>119199</v>
      </c>
      <c r="J244" s="2" t="s">
        <v>3888</v>
      </c>
      <c r="K244" s="2" t="s">
        <v>3896</v>
      </c>
      <c r="L244" s="2">
        <v>2025</v>
      </c>
      <c r="M244" s="2">
        <v>234675</v>
      </c>
      <c r="N244" s="2">
        <f xml:space="preserve"> (Table1[[#This Row],[Variance (USD)]] / Table1[[#This Row],[Actual Spending (USD)]]) * 100</f>
        <v>196.87665164976215</v>
      </c>
      <c r="O244" s="5" t="s">
        <v>3897</v>
      </c>
    </row>
    <row r="245" spans="1:15" x14ac:dyDescent="0.25">
      <c r="A245" s="4" t="s">
        <v>258</v>
      </c>
      <c r="B245" s="2" t="s">
        <v>3227</v>
      </c>
      <c r="C245" s="2" t="s">
        <v>3869</v>
      </c>
      <c r="D245" s="2" t="s">
        <v>3883</v>
      </c>
      <c r="E245" s="3">
        <v>45641</v>
      </c>
      <c r="F245" s="3">
        <v>45608</v>
      </c>
      <c r="G245" s="2" t="s">
        <v>3885</v>
      </c>
      <c r="H245" s="2">
        <v>525384</v>
      </c>
      <c r="I245" s="2">
        <v>411339</v>
      </c>
      <c r="J245" s="2" t="s">
        <v>3888</v>
      </c>
      <c r="K245" s="2" t="s">
        <v>3895</v>
      </c>
      <c r="L245" s="2">
        <v>2025</v>
      </c>
      <c r="M245" s="2">
        <v>114045</v>
      </c>
      <c r="N245" s="2">
        <f xml:space="preserve"> (Table1[[#This Row],[Variance (USD)]] / Table1[[#This Row],[Actual Spending (USD)]]) * 100</f>
        <v>27.72530686368178</v>
      </c>
      <c r="O245" s="5" t="s">
        <v>3898</v>
      </c>
    </row>
    <row r="246" spans="1:15" x14ac:dyDescent="0.25">
      <c r="A246" s="4" t="s">
        <v>259</v>
      </c>
      <c r="B246" s="2" t="s">
        <v>3137</v>
      </c>
      <c r="C246" s="2" t="s">
        <v>3875</v>
      </c>
      <c r="D246" s="2" t="s">
        <v>3877</v>
      </c>
      <c r="E246" s="3">
        <v>45000</v>
      </c>
      <c r="F246" s="3">
        <v>45996</v>
      </c>
      <c r="G246" s="2" t="s">
        <v>3886</v>
      </c>
      <c r="H246" s="2">
        <v>718745</v>
      </c>
      <c r="I246" s="2">
        <v>1060412</v>
      </c>
      <c r="J246" s="2" t="s">
        <v>3888</v>
      </c>
      <c r="K246" s="2" t="s">
        <v>3893</v>
      </c>
      <c r="L246" s="2">
        <v>2025</v>
      </c>
      <c r="M246" s="2">
        <v>-341667</v>
      </c>
      <c r="N246" s="2">
        <f xml:space="preserve"> (Table1[[#This Row],[Variance (USD)]] / Table1[[#This Row],[Actual Spending (USD)]]) * 100</f>
        <v>-32.220212521171014</v>
      </c>
      <c r="O246" s="5" t="s">
        <v>3899</v>
      </c>
    </row>
    <row r="247" spans="1:15" x14ac:dyDescent="0.25">
      <c r="A247" s="4" t="s">
        <v>260</v>
      </c>
      <c r="B247" s="2" t="s">
        <v>3228</v>
      </c>
      <c r="C247" s="2" t="s">
        <v>3873</v>
      </c>
      <c r="D247" s="2" t="s">
        <v>3878</v>
      </c>
      <c r="E247" s="3">
        <v>45463</v>
      </c>
      <c r="F247" s="3">
        <v>45953</v>
      </c>
      <c r="G247" s="2" t="s">
        <v>3886</v>
      </c>
      <c r="H247" s="2">
        <v>173252</v>
      </c>
      <c r="I247" s="2">
        <v>198561</v>
      </c>
      <c r="J247" s="2" t="s">
        <v>3892</v>
      </c>
      <c r="K247" s="2" t="s">
        <v>3893</v>
      </c>
      <c r="L247" s="2">
        <v>2024</v>
      </c>
      <c r="M247" s="2">
        <v>-25309</v>
      </c>
      <c r="N247" s="2">
        <f xml:space="preserve"> (Table1[[#This Row],[Variance (USD)]] / Table1[[#This Row],[Actual Spending (USD)]]) * 100</f>
        <v>-12.746208973564798</v>
      </c>
      <c r="O247" s="5" t="s">
        <v>3899</v>
      </c>
    </row>
    <row r="248" spans="1:15" x14ac:dyDescent="0.25">
      <c r="A248" s="4" t="s">
        <v>261</v>
      </c>
      <c r="B248" s="2" t="s">
        <v>3229</v>
      </c>
      <c r="C248" s="2" t="s">
        <v>3874</v>
      </c>
      <c r="D248" s="2" t="s">
        <v>3880</v>
      </c>
      <c r="E248" s="3">
        <v>45027</v>
      </c>
      <c r="F248" s="3">
        <v>45422</v>
      </c>
      <c r="G248" s="2" t="s">
        <v>3884</v>
      </c>
      <c r="H248" s="2">
        <v>187022</v>
      </c>
      <c r="I248" s="2">
        <v>582561</v>
      </c>
      <c r="J248" s="2" t="s">
        <v>3891</v>
      </c>
      <c r="K248" s="2" t="s">
        <v>3894</v>
      </c>
      <c r="L248" s="2">
        <v>2025</v>
      </c>
      <c r="M248" s="2">
        <v>-395539</v>
      </c>
      <c r="N248" s="2">
        <f xml:space="preserve"> (Table1[[#This Row],[Variance (USD)]] / Table1[[#This Row],[Actual Spending (USD)]]) * 100</f>
        <v>-67.896580787248027</v>
      </c>
      <c r="O248" s="5" t="s">
        <v>3897</v>
      </c>
    </row>
    <row r="249" spans="1:15" x14ac:dyDescent="0.25">
      <c r="A249" s="4" t="s">
        <v>262</v>
      </c>
      <c r="B249" s="2" t="s">
        <v>3230</v>
      </c>
      <c r="C249" s="2" t="s">
        <v>3872</v>
      </c>
      <c r="D249" s="2" t="s">
        <v>3880</v>
      </c>
      <c r="E249" s="3">
        <v>45102</v>
      </c>
      <c r="F249" s="3">
        <v>45393</v>
      </c>
      <c r="G249" s="2" t="s">
        <v>3885</v>
      </c>
      <c r="H249" s="2">
        <v>806590</v>
      </c>
      <c r="I249" s="2">
        <v>583761</v>
      </c>
      <c r="J249" s="2" t="s">
        <v>3889</v>
      </c>
      <c r="K249" s="2" t="s">
        <v>3893</v>
      </c>
      <c r="L249" s="2">
        <v>2025</v>
      </c>
      <c r="M249" s="2">
        <v>222829</v>
      </c>
      <c r="N249" s="2">
        <f xml:space="preserve"> (Table1[[#This Row],[Variance (USD)]] / Table1[[#This Row],[Actual Spending (USD)]]) * 100</f>
        <v>38.171272147334264</v>
      </c>
      <c r="O249" s="5" t="s">
        <v>3898</v>
      </c>
    </row>
    <row r="250" spans="1:15" x14ac:dyDescent="0.25">
      <c r="A250" s="4" t="s">
        <v>263</v>
      </c>
      <c r="B250" s="2" t="s">
        <v>3231</v>
      </c>
      <c r="C250" s="2" t="s">
        <v>3870</v>
      </c>
      <c r="D250" s="2" t="s">
        <v>3876</v>
      </c>
      <c r="E250" s="3">
        <v>45353</v>
      </c>
      <c r="F250" s="3">
        <v>45601</v>
      </c>
      <c r="G250" s="2" t="s">
        <v>3886</v>
      </c>
      <c r="H250" s="2">
        <v>254583</v>
      </c>
      <c r="I250" s="2">
        <v>615698</v>
      </c>
      <c r="J250" s="2" t="s">
        <v>3891</v>
      </c>
      <c r="K250" s="2" t="s">
        <v>3894</v>
      </c>
      <c r="L250" s="2">
        <v>2025</v>
      </c>
      <c r="M250" s="2">
        <v>-361115</v>
      </c>
      <c r="N250" s="2">
        <f xml:space="preserve"> (Table1[[#This Row],[Variance (USD)]] / Table1[[#This Row],[Actual Spending (USD)]]) * 100</f>
        <v>-58.651319315638503</v>
      </c>
      <c r="O250" s="5" t="s">
        <v>3899</v>
      </c>
    </row>
    <row r="251" spans="1:15" x14ac:dyDescent="0.25">
      <c r="A251" s="4" t="s">
        <v>264</v>
      </c>
      <c r="B251" s="2" t="s">
        <v>3232</v>
      </c>
      <c r="C251" s="2" t="s">
        <v>3870</v>
      </c>
      <c r="D251" s="2" t="s">
        <v>3878</v>
      </c>
      <c r="E251" s="3">
        <v>45043</v>
      </c>
      <c r="F251" s="3">
        <v>45583</v>
      </c>
      <c r="G251" s="2" t="s">
        <v>3886</v>
      </c>
      <c r="H251" s="2">
        <v>990902</v>
      </c>
      <c r="I251" s="2">
        <v>436895</v>
      </c>
      <c r="J251" s="2" t="s">
        <v>3889</v>
      </c>
      <c r="K251" s="2" t="s">
        <v>3895</v>
      </c>
      <c r="L251" s="2">
        <v>2023</v>
      </c>
      <c r="M251" s="2">
        <v>554007</v>
      </c>
      <c r="N251" s="2">
        <f xml:space="preserve"> (Table1[[#This Row],[Variance (USD)]] / Table1[[#This Row],[Actual Spending (USD)]]) * 100</f>
        <v>126.80552535506241</v>
      </c>
      <c r="O251" s="5" t="s">
        <v>3899</v>
      </c>
    </row>
    <row r="252" spans="1:15" x14ac:dyDescent="0.25">
      <c r="A252" s="4" t="s">
        <v>265</v>
      </c>
      <c r="B252" s="2" t="s">
        <v>3233</v>
      </c>
      <c r="C252" s="2" t="s">
        <v>3868</v>
      </c>
      <c r="D252" s="2" t="s">
        <v>3876</v>
      </c>
      <c r="E252" s="3">
        <v>45092</v>
      </c>
      <c r="F252" s="3">
        <v>46013</v>
      </c>
      <c r="G252" s="2" t="s">
        <v>3884</v>
      </c>
      <c r="H252" s="2">
        <v>992781</v>
      </c>
      <c r="I252" s="2">
        <v>385125</v>
      </c>
      <c r="J252" s="2" t="s">
        <v>3889</v>
      </c>
      <c r="K252" s="2" t="s">
        <v>3896</v>
      </c>
      <c r="L252" s="2">
        <v>2024</v>
      </c>
      <c r="M252" s="2">
        <v>607656</v>
      </c>
      <c r="N252" s="2">
        <f xml:space="preserve"> (Table1[[#This Row],[Variance (USD)]] / Table1[[#This Row],[Actual Spending (USD)]]) * 100</f>
        <v>157.78149951314509</v>
      </c>
      <c r="O252" s="5" t="s">
        <v>3897</v>
      </c>
    </row>
    <row r="253" spans="1:15" x14ac:dyDescent="0.25">
      <c r="A253" s="4" t="s">
        <v>266</v>
      </c>
      <c r="B253" s="2" t="s">
        <v>3187</v>
      </c>
      <c r="C253" s="2" t="s">
        <v>3871</v>
      </c>
      <c r="D253" s="2" t="s">
        <v>3877</v>
      </c>
      <c r="E253" s="3">
        <v>44967</v>
      </c>
      <c r="F253" s="3">
        <v>45786</v>
      </c>
      <c r="G253" s="2" t="s">
        <v>3887</v>
      </c>
      <c r="H253" s="2">
        <v>732121</v>
      </c>
      <c r="I253" s="2">
        <v>75310</v>
      </c>
      <c r="J253" s="2" t="s">
        <v>3889</v>
      </c>
      <c r="K253" s="2" t="s">
        <v>3896</v>
      </c>
      <c r="L253" s="2">
        <v>2023</v>
      </c>
      <c r="M253" s="2">
        <v>656811</v>
      </c>
      <c r="N253" s="2">
        <f xml:space="preserve"> (Table1[[#This Row],[Variance (USD)]] / Table1[[#This Row],[Actual Spending (USD)]]) * 100</f>
        <v>872.14314168105159</v>
      </c>
      <c r="O253" s="5" t="s">
        <v>3900</v>
      </c>
    </row>
    <row r="254" spans="1:15" x14ac:dyDescent="0.25">
      <c r="A254" s="4" t="s">
        <v>267</v>
      </c>
      <c r="B254" s="2" t="s">
        <v>3234</v>
      </c>
      <c r="C254" s="2" t="s">
        <v>3868</v>
      </c>
      <c r="D254" s="2" t="s">
        <v>3881</v>
      </c>
      <c r="E254" s="3">
        <v>45355</v>
      </c>
      <c r="F254" s="3">
        <v>45652</v>
      </c>
      <c r="G254" s="2" t="s">
        <v>3885</v>
      </c>
      <c r="H254" s="2">
        <v>245507</v>
      </c>
      <c r="I254" s="2">
        <v>221755</v>
      </c>
      <c r="J254" s="2" t="s">
        <v>3889</v>
      </c>
      <c r="K254" s="2" t="s">
        <v>3894</v>
      </c>
      <c r="L254" s="2">
        <v>2024</v>
      </c>
      <c r="M254" s="2">
        <v>23752</v>
      </c>
      <c r="N254" s="2">
        <f xml:space="preserve"> (Table1[[#This Row],[Variance (USD)]] / Table1[[#This Row],[Actual Spending (USD)]]) * 100</f>
        <v>10.710919708687515</v>
      </c>
      <c r="O254" s="5" t="s">
        <v>3898</v>
      </c>
    </row>
    <row r="255" spans="1:15" x14ac:dyDescent="0.25">
      <c r="A255" s="4" t="s">
        <v>268</v>
      </c>
      <c r="B255" s="2" t="s">
        <v>3235</v>
      </c>
      <c r="C255" s="2" t="s">
        <v>3870</v>
      </c>
      <c r="D255" s="2" t="s">
        <v>3882</v>
      </c>
      <c r="E255" s="3">
        <v>45270</v>
      </c>
      <c r="F255" s="3">
        <v>45629</v>
      </c>
      <c r="G255" s="2" t="s">
        <v>3885</v>
      </c>
      <c r="H255" s="2">
        <v>113944</v>
      </c>
      <c r="I255" s="2">
        <v>1108009</v>
      </c>
      <c r="J255" s="2" t="s">
        <v>3890</v>
      </c>
      <c r="K255" s="2" t="s">
        <v>3896</v>
      </c>
      <c r="L255" s="2">
        <v>2025</v>
      </c>
      <c r="M255" s="2">
        <v>-994065</v>
      </c>
      <c r="N255" s="2">
        <f xml:space="preserve"> (Table1[[#This Row],[Variance (USD)]] / Table1[[#This Row],[Actual Spending (USD)]]) * 100</f>
        <v>-89.71632901898812</v>
      </c>
      <c r="O255" s="5" t="s">
        <v>3898</v>
      </c>
    </row>
    <row r="256" spans="1:15" x14ac:dyDescent="0.25">
      <c r="A256" s="4" t="s">
        <v>269</v>
      </c>
      <c r="B256" s="2" t="s">
        <v>3236</v>
      </c>
      <c r="C256" s="2" t="s">
        <v>3873</v>
      </c>
      <c r="D256" s="2" t="s">
        <v>3879</v>
      </c>
      <c r="E256" s="3">
        <v>45350</v>
      </c>
      <c r="F256" s="3">
        <v>45870</v>
      </c>
      <c r="G256" s="2" t="s">
        <v>3884</v>
      </c>
      <c r="H256" s="2">
        <v>999037</v>
      </c>
      <c r="I256" s="2">
        <v>499790</v>
      </c>
      <c r="J256" s="2" t="s">
        <v>3890</v>
      </c>
      <c r="K256" s="2" t="s">
        <v>3894</v>
      </c>
      <c r="L256" s="2">
        <v>2023</v>
      </c>
      <c r="M256" s="2">
        <v>499247</v>
      </c>
      <c r="N256" s="2">
        <f xml:space="preserve"> (Table1[[#This Row],[Variance (USD)]] / Table1[[#This Row],[Actual Spending (USD)]]) * 100</f>
        <v>99.891354368834911</v>
      </c>
      <c r="O256" s="5" t="s">
        <v>3897</v>
      </c>
    </row>
    <row r="257" spans="1:15" x14ac:dyDescent="0.25">
      <c r="A257" s="4" t="s">
        <v>270</v>
      </c>
      <c r="B257" s="2" t="s">
        <v>3042</v>
      </c>
      <c r="C257" s="2" t="s">
        <v>3869</v>
      </c>
      <c r="D257" s="2" t="s">
        <v>3878</v>
      </c>
      <c r="E257" s="3">
        <v>45292</v>
      </c>
      <c r="F257" s="3">
        <v>45301</v>
      </c>
      <c r="G257" s="2" t="s">
        <v>3884</v>
      </c>
      <c r="H257" s="2">
        <v>515718</v>
      </c>
      <c r="I257" s="2">
        <v>992524</v>
      </c>
      <c r="J257" s="2" t="s">
        <v>3892</v>
      </c>
      <c r="K257" s="2" t="s">
        <v>3894</v>
      </c>
      <c r="L257" s="2">
        <v>2025</v>
      </c>
      <c r="M257" s="2">
        <v>-476806</v>
      </c>
      <c r="N257" s="2">
        <f xml:space="preserve"> (Table1[[#This Row],[Variance (USD)]] / Table1[[#This Row],[Actual Spending (USD)]]) * 100</f>
        <v>-48.039745134626465</v>
      </c>
      <c r="O257" s="5" t="s">
        <v>3897</v>
      </c>
    </row>
    <row r="258" spans="1:15" x14ac:dyDescent="0.25">
      <c r="A258" s="4" t="s">
        <v>271</v>
      </c>
      <c r="B258" s="2" t="s">
        <v>3237</v>
      </c>
      <c r="C258" s="2" t="s">
        <v>3869</v>
      </c>
      <c r="D258" s="2" t="s">
        <v>3878</v>
      </c>
      <c r="E258" s="3">
        <v>45046</v>
      </c>
      <c r="F258" s="3">
        <v>45340</v>
      </c>
      <c r="G258" s="2" t="s">
        <v>3884</v>
      </c>
      <c r="H258" s="2">
        <v>157437</v>
      </c>
      <c r="I258" s="2">
        <v>695130</v>
      </c>
      <c r="J258" s="2" t="s">
        <v>3888</v>
      </c>
      <c r="K258" s="2" t="s">
        <v>3895</v>
      </c>
      <c r="L258" s="2">
        <v>2025</v>
      </c>
      <c r="M258" s="2">
        <v>-537693</v>
      </c>
      <c r="N258" s="2">
        <f xml:space="preserve"> (Table1[[#This Row],[Variance (USD)]] / Table1[[#This Row],[Actual Spending (USD)]]) * 100</f>
        <v>-77.351430667644905</v>
      </c>
      <c r="O258" s="5" t="s">
        <v>3897</v>
      </c>
    </row>
    <row r="259" spans="1:15" x14ac:dyDescent="0.25">
      <c r="A259" s="4" t="s">
        <v>272</v>
      </c>
      <c r="B259" s="2" t="s">
        <v>3230</v>
      </c>
      <c r="C259" s="2" t="s">
        <v>3872</v>
      </c>
      <c r="D259" s="2" t="s">
        <v>3878</v>
      </c>
      <c r="E259" s="3">
        <v>45535</v>
      </c>
      <c r="F259" s="3">
        <v>45778</v>
      </c>
      <c r="G259" s="2" t="s">
        <v>3884</v>
      </c>
      <c r="H259" s="2">
        <v>176794</v>
      </c>
      <c r="I259" s="2">
        <v>361429</v>
      </c>
      <c r="J259" s="2" t="s">
        <v>3889</v>
      </c>
      <c r="K259" s="2" t="s">
        <v>3895</v>
      </c>
      <c r="L259" s="2">
        <v>2024</v>
      </c>
      <c r="M259" s="2">
        <v>-184635</v>
      </c>
      <c r="N259" s="2">
        <f xml:space="preserve"> (Table1[[#This Row],[Variance (USD)]] / Table1[[#This Row],[Actual Spending (USD)]]) * 100</f>
        <v>-51.084722033926447</v>
      </c>
      <c r="O259" s="5" t="s">
        <v>3897</v>
      </c>
    </row>
    <row r="260" spans="1:15" x14ac:dyDescent="0.25">
      <c r="A260" s="4" t="s">
        <v>273</v>
      </c>
      <c r="B260" s="2" t="s">
        <v>3167</v>
      </c>
      <c r="C260" s="2" t="s">
        <v>3869</v>
      </c>
      <c r="D260" s="2" t="s">
        <v>3876</v>
      </c>
      <c r="E260" s="3">
        <v>45583</v>
      </c>
      <c r="F260" s="3">
        <v>45914</v>
      </c>
      <c r="G260" s="2" t="s">
        <v>3885</v>
      </c>
      <c r="H260" s="2">
        <v>384267</v>
      </c>
      <c r="I260" s="2">
        <v>926553</v>
      </c>
      <c r="J260" s="2" t="s">
        <v>3891</v>
      </c>
      <c r="K260" s="2" t="s">
        <v>3893</v>
      </c>
      <c r="L260" s="2">
        <v>2025</v>
      </c>
      <c r="M260" s="2">
        <v>-542286</v>
      </c>
      <c r="N260" s="2">
        <f xml:space="preserve"> (Table1[[#This Row],[Variance (USD)]] / Table1[[#This Row],[Actual Spending (USD)]]) * 100</f>
        <v>-58.527251004529688</v>
      </c>
      <c r="O260" s="5" t="s">
        <v>3898</v>
      </c>
    </row>
    <row r="261" spans="1:15" x14ac:dyDescent="0.25">
      <c r="A261" s="4" t="s">
        <v>274</v>
      </c>
      <c r="B261" s="2" t="s">
        <v>3238</v>
      </c>
      <c r="C261" s="2" t="s">
        <v>3872</v>
      </c>
      <c r="D261" s="2" t="s">
        <v>3877</v>
      </c>
      <c r="E261" s="3">
        <v>45654</v>
      </c>
      <c r="F261" s="3">
        <v>45612</v>
      </c>
      <c r="G261" s="2" t="s">
        <v>3884</v>
      </c>
      <c r="H261" s="2">
        <v>335024</v>
      </c>
      <c r="I261" s="2">
        <v>414891</v>
      </c>
      <c r="J261" s="2" t="s">
        <v>3890</v>
      </c>
      <c r="K261" s="2" t="s">
        <v>3894</v>
      </c>
      <c r="L261" s="2">
        <v>2023</v>
      </c>
      <c r="M261" s="2">
        <v>-79867</v>
      </c>
      <c r="N261" s="2">
        <f xml:space="preserve"> (Table1[[#This Row],[Variance (USD)]] / Table1[[#This Row],[Actual Spending (USD)]]) * 100</f>
        <v>-19.250116295605352</v>
      </c>
      <c r="O261" s="5" t="s">
        <v>3897</v>
      </c>
    </row>
    <row r="262" spans="1:15" x14ac:dyDescent="0.25">
      <c r="A262" s="4" t="s">
        <v>275</v>
      </c>
      <c r="B262" s="2" t="s">
        <v>3092</v>
      </c>
      <c r="C262" s="2" t="s">
        <v>3874</v>
      </c>
      <c r="D262" s="2" t="s">
        <v>3878</v>
      </c>
      <c r="E262" s="3">
        <v>45155</v>
      </c>
      <c r="F262" s="3">
        <v>46022</v>
      </c>
      <c r="G262" s="2" t="s">
        <v>3884</v>
      </c>
      <c r="H262" s="2">
        <v>484969</v>
      </c>
      <c r="I262" s="2">
        <v>458487</v>
      </c>
      <c r="J262" s="2" t="s">
        <v>3888</v>
      </c>
      <c r="K262" s="2" t="s">
        <v>3895</v>
      </c>
      <c r="L262" s="2">
        <v>2024</v>
      </c>
      <c r="M262" s="2">
        <v>26482</v>
      </c>
      <c r="N262" s="2">
        <f xml:space="preserve"> (Table1[[#This Row],[Variance (USD)]] / Table1[[#This Row],[Actual Spending (USD)]]) * 100</f>
        <v>5.7759543891102698</v>
      </c>
      <c r="O262" s="5" t="s">
        <v>3897</v>
      </c>
    </row>
    <row r="263" spans="1:15" x14ac:dyDescent="0.25">
      <c r="A263" s="4" t="s">
        <v>276</v>
      </c>
      <c r="B263" s="2" t="s">
        <v>3196</v>
      </c>
      <c r="C263" s="2" t="s">
        <v>3872</v>
      </c>
      <c r="D263" s="2" t="s">
        <v>3881</v>
      </c>
      <c r="E263" s="3">
        <v>45056</v>
      </c>
      <c r="F263" s="3">
        <v>45860</v>
      </c>
      <c r="G263" s="2" t="s">
        <v>3884</v>
      </c>
      <c r="H263" s="2">
        <v>924261</v>
      </c>
      <c r="I263" s="2">
        <v>794993</v>
      </c>
      <c r="J263" s="2" t="s">
        <v>3892</v>
      </c>
      <c r="K263" s="2" t="s">
        <v>3894</v>
      </c>
      <c r="L263" s="2">
        <v>2024</v>
      </c>
      <c r="M263" s="2">
        <v>129268</v>
      </c>
      <c r="N263" s="2">
        <f xml:space="preserve"> (Table1[[#This Row],[Variance (USD)]] / Table1[[#This Row],[Actual Spending (USD)]]) * 100</f>
        <v>16.26026895834303</v>
      </c>
      <c r="O263" s="5" t="s">
        <v>3897</v>
      </c>
    </row>
    <row r="264" spans="1:15" x14ac:dyDescent="0.25">
      <c r="A264" s="4" t="s">
        <v>277</v>
      </c>
      <c r="B264" s="2" t="s">
        <v>3230</v>
      </c>
      <c r="C264" s="2" t="s">
        <v>3874</v>
      </c>
      <c r="D264" s="2" t="s">
        <v>3878</v>
      </c>
      <c r="E264" s="3">
        <v>45278</v>
      </c>
      <c r="F264" s="3">
        <v>45916</v>
      </c>
      <c r="G264" s="2" t="s">
        <v>3884</v>
      </c>
      <c r="H264" s="2">
        <v>706921</v>
      </c>
      <c r="I264" s="2">
        <v>53439</v>
      </c>
      <c r="J264" s="2" t="s">
        <v>3888</v>
      </c>
      <c r="K264" s="2" t="s">
        <v>3894</v>
      </c>
      <c r="L264" s="2">
        <v>2023</v>
      </c>
      <c r="M264" s="2">
        <v>653482</v>
      </c>
      <c r="N264" s="2">
        <f xml:space="preserve"> (Table1[[#This Row],[Variance (USD)]] / Table1[[#This Row],[Actual Spending (USD)]]) * 100</f>
        <v>1222.8559666161418</v>
      </c>
      <c r="O264" s="5" t="s">
        <v>3897</v>
      </c>
    </row>
    <row r="265" spans="1:15" x14ac:dyDescent="0.25">
      <c r="A265" s="4" t="s">
        <v>278</v>
      </c>
      <c r="B265" s="2" t="s">
        <v>3094</v>
      </c>
      <c r="C265" s="2" t="s">
        <v>3872</v>
      </c>
      <c r="D265" s="2" t="s">
        <v>3880</v>
      </c>
      <c r="E265" s="3">
        <v>45244</v>
      </c>
      <c r="F265" s="3">
        <v>45424</v>
      </c>
      <c r="G265" s="2" t="s">
        <v>3884</v>
      </c>
      <c r="H265" s="2">
        <v>103205</v>
      </c>
      <c r="I265" s="2">
        <v>434317</v>
      </c>
      <c r="J265" s="2" t="s">
        <v>3889</v>
      </c>
      <c r="K265" s="2" t="s">
        <v>3894</v>
      </c>
      <c r="L265" s="2">
        <v>2025</v>
      </c>
      <c r="M265" s="2">
        <v>-331112</v>
      </c>
      <c r="N265" s="2">
        <f xml:space="preserve"> (Table1[[#This Row],[Variance (USD)]] / Table1[[#This Row],[Actual Spending (USD)]]) * 100</f>
        <v>-76.237402634481271</v>
      </c>
      <c r="O265" s="5" t="s">
        <v>3897</v>
      </c>
    </row>
    <row r="266" spans="1:15" x14ac:dyDescent="0.25">
      <c r="A266" s="4" t="s">
        <v>279</v>
      </c>
      <c r="B266" s="2" t="s">
        <v>3239</v>
      </c>
      <c r="C266" s="2" t="s">
        <v>3870</v>
      </c>
      <c r="D266" s="2" t="s">
        <v>3882</v>
      </c>
      <c r="E266" s="3">
        <v>45575</v>
      </c>
      <c r="F266" s="3">
        <v>45874</v>
      </c>
      <c r="G266" s="2" t="s">
        <v>3886</v>
      </c>
      <c r="H266" s="2">
        <v>156948</v>
      </c>
      <c r="I266" s="2">
        <v>647064</v>
      </c>
      <c r="J266" s="2" t="s">
        <v>3888</v>
      </c>
      <c r="K266" s="2" t="s">
        <v>3895</v>
      </c>
      <c r="L266" s="2">
        <v>2025</v>
      </c>
      <c r="M266" s="2">
        <v>-490116</v>
      </c>
      <c r="N266" s="2">
        <f xml:space="preserve"> (Table1[[#This Row],[Variance (USD)]] / Table1[[#This Row],[Actual Spending (USD)]]) * 100</f>
        <v>-75.744594043247659</v>
      </c>
      <c r="O266" s="5" t="s">
        <v>3899</v>
      </c>
    </row>
    <row r="267" spans="1:15" x14ac:dyDescent="0.25">
      <c r="A267" s="4" t="s">
        <v>280</v>
      </c>
      <c r="B267" s="2" t="s">
        <v>3240</v>
      </c>
      <c r="C267" s="2" t="s">
        <v>3870</v>
      </c>
      <c r="D267" s="2" t="s">
        <v>3879</v>
      </c>
      <c r="E267" s="3">
        <v>45263</v>
      </c>
      <c r="F267" s="3">
        <v>45374</v>
      </c>
      <c r="G267" s="2" t="s">
        <v>3886</v>
      </c>
      <c r="H267" s="2">
        <v>371954</v>
      </c>
      <c r="I267" s="2">
        <v>767679</v>
      </c>
      <c r="J267" s="2" t="s">
        <v>3889</v>
      </c>
      <c r="K267" s="2" t="s">
        <v>3894</v>
      </c>
      <c r="L267" s="2">
        <v>2025</v>
      </c>
      <c r="M267" s="2">
        <v>-395725</v>
      </c>
      <c r="N267" s="2">
        <f xml:space="preserve"> (Table1[[#This Row],[Variance (USD)]] / Table1[[#This Row],[Actual Spending (USD)]]) * 100</f>
        <v>-51.548238261043998</v>
      </c>
      <c r="O267" s="5" t="s">
        <v>3899</v>
      </c>
    </row>
    <row r="268" spans="1:15" x14ac:dyDescent="0.25">
      <c r="A268" s="4" t="s">
        <v>281</v>
      </c>
      <c r="B268" s="2" t="s">
        <v>3096</v>
      </c>
      <c r="C268" s="2" t="s">
        <v>3871</v>
      </c>
      <c r="D268" s="2" t="s">
        <v>3882</v>
      </c>
      <c r="E268" s="3">
        <v>45199</v>
      </c>
      <c r="F268" s="3">
        <v>45348</v>
      </c>
      <c r="G268" s="2" t="s">
        <v>3884</v>
      </c>
      <c r="H268" s="2">
        <v>425233</v>
      </c>
      <c r="I268" s="2">
        <v>384489</v>
      </c>
      <c r="J268" s="2" t="s">
        <v>3890</v>
      </c>
      <c r="K268" s="2" t="s">
        <v>3894</v>
      </c>
      <c r="L268" s="2">
        <v>2025</v>
      </c>
      <c r="M268" s="2">
        <v>40744</v>
      </c>
      <c r="N268" s="2">
        <f xml:space="preserve"> (Table1[[#This Row],[Variance (USD)]] / Table1[[#This Row],[Actual Spending (USD)]]) * 100</f>
        <v>10.596922148618036</v>
      </c>
      <c r="O268" s="5" t="s">
        <v>3897</v>
      </c>
    </row>
    <row r="269" spans="1:15" x14ac:dyDescent="0.25">
      <c r="A269" s="4" t="s">
        <v>282</v>
      </c>
      <c r="B269" s="2" t="s">
        <v>3241</v>
      </c>
      <c r="C269" s="2" t="s">
        <v>3874</v>
      </c>
      <c r="D269" s="2" t="s">
        <v>3880</v>
      </c>
      <c r="E269" s="3">
        <v>45043</v>
      </c>
      <c r="F269" s="3">
        <v>45667</v>
      </c>
      <c r="G269" s="2" t="s">
        <v>3884</v>
      </c>
      <c r="H269" s="2">
        <v>638770</v>
      </c>
      <c r="I269" s="2">
        <v>929355</v>
      </c>
      <c r="J269" s="2" t="s">
        <v>3890</v>
      </c>
      <c r="K269" s="2" t="s">
        <v>3893</v>
      </c>
      <c r="L269" s="2">
        <v>2025</v>
      </c>
      <c r="M269" s="2">
        <v>-290585</v>
      </c>
      <c r="N269" s="2">
        <f xml:space="preserve"> (Table1[[#This Row],[Variance (USD)]] / Table1[[#This Row],[Actual Spending (USD)]]) * 100</f>
        <v>-31.267384368728852</v>
      </c>
      <c r="O269" s="5" t="s">
        <v>3897</v>
      </c>
    </row>
    <row r="270" spans="1:15" x14ac:dyDescent="0.25">
      <c r="A270" s="4" t="s">
        <v>283</v>
      </c>
      <c r="B270" s="2" t="s">
        <v>3242</v>
      </c>
      <c r="C270" s="2" t="s">
        <v>3875</v>
      </c>
      <c r="D270" s="2" t="s">
        <v>3880</v>
      </c>
      <c r="E270" s="3">
        <v>45294</v>
      </c>
      <c r="F270" s="3">
        <v>45640</v>
      </c>
      <c r="G270" s="2" t="s">
        <v>3884</v>
      </c>
      <c r="H270" s="2">
        <v>381336</v>
      </c>
      <c r="I270" s="2">
        <v>899891</v>
      </c>
      <c r="J270" s="2" t="s">
        <v>3889</v>
      </c>
      <c r="K270" s="2" t="s">
        <v>3894</v>
      </c>
      <c r="L270" s="2">
        <v>2024</v>
      </c>
      <c r="M270" s="2">
        <v>-518555</v>
      </c>
      <c r="N270" s="2">
        <f xml:space="preserve"> (Table1[[#This Row],[Variance (USD)]] / Table1[[#This Row],[Actual Spending (USD)]]) * 100</f>
        <v>-57.624201153250787</v>
      </c>
      <c r="O270" s="5" t="s">
        <v>3897</v>
      </c>
    </row>
    <row r="271" spans="1:15" x14ac:dyDescent="0.25">
      <c r="A271" s="4" t="s">
        <v>284</v>
      </c>
      <c r="B271" s="2" t="s">
        <v>3209</v>
      </c>
      <c r="C271" s="2" t="s">
        <v>3874</v>
      </c>
      <c r="D271" s="2" t="s">
        <v>3879</v>
      </c>
      <c r="E271" s="3">
        <v>45020</v>
      </c>
      <c r="F271" s="3">
        <v>45562</v>
      </c>
      <c r="G271" s="2" t="s">
        <v>3884</v>
      </c>
      <c r="H271" s="2">
        <v>661442</v>
      </c>
      <c r="I271" s="2">
        <v>274361</v>
      </c>
      <c r="J271" s="2" t="s">
        <v>3891</v>
      </c>
      <c r="K271" s="2" t="s">
        <v>3893</v>
      </c>
      <c r="L271" s="2">
        <v>2024</v>
      </c>
      <c r="M271" s="2">
        <v>387081</v>
      </c>
      <c r="N271" s="2">
        <f xml:space="preserve"> (Table1[[#This Row],[Variance (USD)]] / Table1[[#This Row],[Actual Spending (USD)]]) * 100</f>
        <v>141.08455647850823</v>
      </c>
      <c r="O271" s="5" t="s">
        <v>3897</v>
      </c>
    </row>
    <row r="272" spans="1:15" x14ac:dyDescent="0.25">
      <c r="A272" s="4" t="s">
        <v>285</v>
      </c>
      <c r="B272" s="2" t="s">
        <v>3210</v>
      </c>
      <c r="C272" s="2" t="s">
        <v>3872</v>
      </c>
      <c r="D272" s="2" t="s">
        <v>3881</v>
      </c>
      <c r="E272" s="3">
        <v>45094</v>
      </c>
      <c r="F272" s="3">
        <v>45774</v>
      </c>
      <c r="G272" s="2" t="s">
        <v>3886</v>
      </c>
      <c r="H272" s="2">
        <v>660354</v>
      </c>
      <c r="I272" s="2">
        <v>765922</v>
      </c>
      <c r="J272" s="2" t="s">
        <v>3890</v>
      </c>
      <c r="K272" s="2" t="s">
        <v>3894</v>
      </c>
      <c r="L272" s="2">
        <v>2023</v>
      </c>
      <c r="M272" s="2">
        <v>-105568</v>
      </c>
      <c r="N272" s="2">
        <f xml:space="preserve"> (Table1[[#This Row],[Variance (USD)]] / Table1[[#This Row],[Actual Spending (USD)]]) * 100</f>
        <v>-13.78312674136531</v>
      </c>
      <c r="O272" s="5" t="s">
        <v>3899</v>
      </c>
    </row>
    <row r="273" spans="1:15" x14ac:dyDescent="0.25">
      <c r="A273" s="4" t="s">
        <v>286</v>
      </c>
      <c r="B273" s="2" t="s">
        <v>3243</v>
      </c>
      <c r="C273" s="2" t="s">
        <v>3872</v>
      </c>
      <c r="D273" s="2" t="s">
        <v>3877</v>
      </c>
      <c r="E273" s="3">
        <v>45641</v>
      </c>
      <c r="F273" s="3">
        <v>45402</v>
      </c>
      <c r="G273" s="2" t="s">
        <v>3886</v>
      </c>
      <c r="H273" s="2">
        <v>268480</v>
      </c>
      <c r="I273" s="2">
        <v>708929</v>
      </c>
      <c r="J273" s="2" t="s">
        <v>3891</v>
      </c>
      <c r="K273" s="2" t="s">
        <v>3893</v>
      </c>
      <c r="L273" s="2">
        <v>2025</v>
      </c>
      <c r="M273" s="2">
        <v>-440449</v>
      </c>
      <c r="N273" s="2">
        <f xml:space="preserve"> (Table1[[#This Row],[Variance (USD)]] / Table1[[#This Row],[Actual Spending (USD)]]) * 100</f>
        <v>-62.128788637508123</v>
      </c>
      <c r="O273" s="5" t="s">
        <v>3899</v>
      </c>
    </row>
    <row r="274" spans="1:15" x14ac:dyDescent="0.25">
      <c r="A274" s="4" t="s">
        <v>287</v>
      </c>
      <c r="B274" s="2" t="s">
        <v>3244</v>
      </c>
      <c r="C274" s="2" t="s">
        <v>3875</v>
      </c>
      <c r="D274" s="2" t="s">
        <v>3880</v>
      </c>
      <c r="E274" s="3">
        <v>45267</v>
      </c>
      <c r="F274" s="3">
        <v>45367</v>
      </c>
      <c r="G274" s="2" t="s">
        <v>3886</v>
      </c>
      <c r="H274" s="2">
        <v>565985</v>
      </c>
      <c r="I274" s="2">
        <v>936030</v>
      </c>
      <c r="J274" s="2" t="s">
        <v>3889</v>
      </c>
      <c r="K274" s="2" t="s">
        <v>3895</v>
      </c>
      <c r="L274" s="2">
        <v>2025</v>
      </c>
      <c r="M274" s="2">
        <v>-370045</v>
      </c>
      <c r="N274" s="2">
        <f xml:space="preserve"> (Table1[[#This Row],[Variance (USD)]] / Table1[[#This Row],[Actual Spending (USD)]]) * 100</f>
        <v>-39.533455124301568</v>
      </c>
      <c r="O274" s="5" t="s">
        <v>3899</v>
      </c>
    </row>
    <row r="275" spans="1:15" x14ac:dyDescent="0.25">
      <c r="A275" s="4" t="s">
        <v>288</v>
      </c>
      <c r="B275" s="2" t="s">
        <v>3245</v>
      </c>
      <c r="C275" s="2" t="s">
        <v>3868</v>
      </c>
      <c r="D275" s="2" t="s">
        <v>3877</v>
      </c>
      <c r="E275" s="3">
        <v>45587</v>
      </c>
      <c r="F275" s="3">
        <v>45449</v>
      </c>
      <c r="G275" s="2" t="s">
        <v>3886</v>
      </c>
      <c r="H275" s="2">
        <v>733690</v>
      </c>
      <c r="I275" s="2">
        <v>727247</v>
      </c>
      <c r="J275" s="2" t="s">
        <v>3889</v>
      </c>
      <c r="K275" s="2" t="s">
        <v>3895</v>
      </c>
      <c r="L275" s="2">
        <v>2025</v>
      </c>
      <c r="M275" s="2">
        <v>6443</v>
      </c>
      <c r="N275" s="2">
        <f xml:space="preserve"> (Table1[[#This Row],[Variance (USD)]] / Table1[[#This Row],[Actual Spending (USD)]]) * 100</f>
        <v>0.88594384026334927</v>
      </c>
      <c r="O275" s="5" t="s">
        <v>3899</v>
      </c>
    </row>
    <row r="276" spans="1:15" x14ac:dyDescent="0.25">
      <c r="A276" s="4" t="s">
        <v>289</v>
      </c>
      <c r="B276" s="2" t="s">
        <v>3121</v>
      </c>
      <c r="C276" s="2" t="s">
        <v>3872</v>
      </c>
      <c r="D276" s="2" t="s">
        <v>3880</v>
      </c>
      <c r="E276" s="3">
        <v>45621</v>
      </c>
      <c r="F276" s="3">
        <v>45823</v>
      </c>
      <c r="G276" s="2" t="s">
        <v>3884</v>
      </c>
      <c r="H276" s="2">
        <v>459355</v>
      </c>
      <c r="I276" s="2">
        <v>968397</v>
      </c>
      <c r="J276" s="2" t="s">
        <v>3890</v>
      </c>
      <c r="K276" s="2" t="s">
        <v>3896</v>
      </c>
      <c r="L276" s="2">
        <v>2023</v>
      </c>
      <c r="M276" s="2">
        <v>-509042</v>
      </c>
      <c r="N276" s="2">
        <f xml:space="preserve"> (Table1[[#This Row],[Variance (USD)]] / Table1[[#This Row],[Actual Spending (USD)]]) * 100</f>
        <v>-52.565425130395901</v>
      </c>
      <c r="O276" s="5" t="s">
        <v>3897</v>
      </c>
    </row>
    <row r="277" spans="1:15" x14ac:dyDescent="0.25">
      <c r="A277" s="4" t="s">
        <v>290</v>
      </c>
      <c r="B277" s="2" t="s">
        <v>3163</v>
      </c>
      <c r="C277" s="2" t="s">
        <v>3871</v>
      </c>
      <c r="D277" s="2" t="s">
        <v>3883</v>
      </c>
      <c r="E277" s="3">
        <v>45078</v>
      </c>
      <c r="F277" s="3">
        <v>45934</v>
      </c>
      <c r="G277" s="2" t="s">
        <v>3887</v>
      </c>
      <c r="H277" s="2">
        <v>178514</v>
      </c>
      <c r="I277" s="2">
        <v>904403</v>
      </c>
      <c r="J277" s="2" t="s">
        <v>3891</v>
      </c>
      <c r="K277" s="2" t="s">
        <v>3894</v>
      </c>
      <c r="L277" s="2">
        <v>2025</v>
      </c>
      <c r="M277" s="2">
        <v>-725889</v>
      </c>
      <c r="N277" s="2">
        <f xml:space="preserve"> (Table1[[#This Row],[Variance (USD)]] / Table1[[#This Row],[Actual Spending (USD)]]) * 100</f>
        <v>-80.261675381439474</v>
      </c>
      <c r="O277" s="5" t="s">
        <v>3900</v>
      </c>
    </row>
    <row r="278" spans="1:15" x14ac:dyDescent="0.25">
      <c r="A278" s="4" t="s">
        <v>291</v>
      </c>
      <c r="B278" s="2" t="s">
        <v>3103</v>
      </c>
      <c r="C278" s="2" t="s">
        <v>3869</v>
      </c>
      <c r="D278" s="2" t="s">
        <v>3879</v>
      </c>
      <c r="E278" s="3">
        <v>45512</v>
      </c>
      <c r="F278" s="3">
        <v>45620</v>
      </c>
      <c r="G278" s="2" t="s">
        <v>3885</v>
      </c>
      <c r="H278" s="2">
        <v>869409</v>
      </c>
      <c r="I278" s="2">
        <v>478520</v>
      </c>
      <c r="J278" s="2" t="s">
        <v>3889</v>
      </c>
      <c r="K278" s="2" t="s">
        <v>3896</v>
      </c>
      <c r="L278" s="2">
        <v>2024</v>
      </c>
      <c r="M278" s="2">
        <v>390889</v>
      </c>
      <c r="N278" s="2">
        <f xml:space="preserve"> (Table1[[#This Row],[Variance (USD)]] / Table1[[#This Row],[Actual Spending (USD)]]) * 100</f>
        <v>81.6870768201956</v>
      </c>
      <c r="O278" s="5" t="s">
        <v>3898</v>
      </c>
    </row>
    <row r="279" spans="1:15" x14ac:dyDescent="0.25">
      <c r="A279" s="4" t="s">
        <v>292</v>
      </c>
      <c r="B279" s="2" t="s">
        <v>3226</v>
      </c>
      <c r="C279" s="2" t="s">
        <v>3869</v>
      </c>
      <c r="D279" s="2" t="s">
        <v>3880</v>
      </c>
      <c r="E279" s="3">
        <v>45200</v>
      </c>
      <c r="F279" s="3">
        <v>45413</v>
      </c>
      <c r="G279" s="2" t="s">
        <v>3885</v>
      </c>
      <c r="H279" s="2">
        <v>54983</v>
      </c>
      <c r="I279" s="2">
        <v>525644</v>
      </c>
      <c r="J279" s="2" t="s">
        <v>3890</v>
      </c>
      <c r="K279" s="2" t="s">
        <v>3896</v>
      </c>
      <c r="L279" s="2">
        <v>2025</v>
      </c>
      <c r="M279" s="2">
        <v>-470661</v>
      </c>
      <c r="N279" s="2">
        <f xml:space="preserve"> (Table1[[#This Row],[Variance (USD)]] / Table1[[#This Row],[Actual Spending (USD)]]) * 100</f>
        <v>-89.539878701174175</v>
      </c>
      <c r="O279" s="5" t="s">
        <v>3898</v>
      </c>
    </row>
    <row r="280" spans="1:15" x14ac:dyDescent="0.25">
      <c r="A280" s="4" t="s">
        <v>293</v>
      </c>
      <c r="B280" s="2" t="s">
        <v>3218</v>
      </c>
      <c r="C280" s="2" t="s">
        <v>3873</v>
      </c>
      <c r="D280" s="2" t="s">
        <v>3883</v>
      </c>
      <c r="E280" s="3">
        <v>45480</v>
      </c>
      <c r="F280" s="3">
        <v>45332</v>
      </c>
      <c r="G280" s="2" t="s">
        <v>3884</v>
      </c>
      <c r="H280" s="2">
        <v>745269</v>
      </c>
      <c r="I280" s="2">
        <v>455615</v>
      </c>
      <c r="J280" s="2" t="s">
        <v>3889</v>
      </c>
      <c r="K280" s="2" t="s">
        <v>3893</v>
      </c>
      <c r="L280" s="2">
        <v>2023</v>
      </c>
      <c r="M280" s="2">
        <v>289654</v>
      </c>
      <c r="N280" s="2">
        <f xml:space="preserve"> (Table1[[#This Row],[Variance (USD)]] / Table1[[#This Row],[Actual Spending (USD)]]) * 100</f>
        <v>63.574289696344501</v>
      </c>
      <c r="O280" s="5" t="s">
        <v>3897</v>
      </c>
    </row>
    <row r="281" spans="1:15" x14ac:dyDescent="0.25">
      <c r="A281" s="4" t="s">
        <v>294</v>
      </c>
      <c r="B281" s="2" t="s">
        <v>3246</v>
      </c>
      <c r="C281" s="2" t="s">
        <v>3873</v>
      </c>
      <c r="D281" s="2" t="s">
        <v>3882</v>
      </c>
      <c r="E281" s="3">
        <v>45422</v>
      </c>
      <c r="F281" s="3">
        <v>45458</v>
      </c>
      <c r="G281" s="2" t="s">
        <v>3885</v>
      </c>
      <c r="H281" s="2">
        <v>245552</v>
      </c>
      <c r="I281" s="2">
        <v>802443</v>
      </c>
      <c r="J281" s="2" t="s">
        <v>3888</v>
      </c>
      <c r="K281" s="2" t="s">
        <v>3895</v>
      </c>
      <c r="L281" s="2">
        <v>2024</v>
      </c>
      <c r="M281" s="2">
        <v>-556891</v>
      </c>
      <c r="N281" s="2">
        <f xml:space="preserve"> (Table1[[#This Row],[Variance (USD)]] / Table1[[#This Row],[Actual Spending (USD)]]) * 100</f>
        <v>-69.399446440432527</v>
      </c>
      <c r="O281" s="5" t="s">
        <v>3898</v>
      </c>
    </row>
    <row r="282" spans="1:15" x14ac:dyDescent="0.25">
      <c r="A282" s="4" t="s">
        <v>295</v>
      </c>
      <c r="B282" s="2" t="s">
        <v>3247</v>
      </c>
      <c r="C282" s="2" t="s">
        <v>3869</v>
      </c>
      <c r="D282" s="2" t="s">
        <v>3876</v>
      </c>
      <c r="E282" s="3">
        <v>45650</v>
      </c>
      <c r="F282" s="3">
        <v>45933</v>
      </c>
      <c r="G282" s="2" t="s">
        <v>3885</v>
      </c>
      <c r="H282" s="2">
        <v>361173</v>
      </c>
      <c r="I282" s="2">
        <v>997035</v>
      </c>
      <c r="J282" s="2" t="s">
        <v>3888</v>
      </c>
      <c r="K282" s="2" t="s">
        <v>3894</v>
      </c>
      <c r="L282" s="2">
        <v>2024</v>
      </c>
      <c r="M282" s="2">
        <v>-635862</v>
      </c>
      <c r="N282" s="2">
        <f xml:space="preserve"> (Table1[[#This Row],[Variance (USD)]] / Table1[[#This Row],[Actual Spending (USD)]]) * 100</f>
        <v>-63.775293745956759</v>
      </c>
      <c r="O282" s="5" t="s">
        <v>3898</v>
      </c>
    </row>
    <row r="283" spans="1:15" x14ac:dyDescent="0.25">
      <c r="A283" s="4" t="s">
        <v>296</v>
      </c>
      <c r="B283" s="2" t="s">
        <v>3248</v>
      </c>
      <c r="C283" s="2" t="s">
        <v>3869</v>
      </c>
      <c r="D283" s="2" t="s">
        <v>3883</v>
      </c>
      <c r="E283" s="3">
        <v>45027</v>
      </c>
      <c r="F283" s="3">
        <v>45314</v>
      </c>
      <c r="G283" s="2" t="s">
        <v>3885</v>
      </c>
      <c r="H283" s="2">
        <v>726689</v>
      </c>
      <c r="I283" s="2">
        <v>110570</v>
      </c>
      <c r="J283" s="2" t="s">
        <v>3890</v>
      </c>
      <c r="K283" s="2" t="s">
        <v>3894</v>
      </c>
      <c r="L283" s="2">
        <v>2024</v>
      </c>
      <c r="M283" s="2">
        <v>616119</v>
      </c>
      <c r="N283" s="2">
        <f xml:space="preserve"> (Table1[[#This Row],[Variance (USD)]] / Table1[[#This Row],[Actual Spending (USD)]]) * 100</f>
        <v>557.22076512616445</v>
      </c>
      <c r="O283" s="5" t="s">
        <v>3898</v>
      </c>
    </row>
    <row r="284" spans="1:15" x14ac:dyDescent="0.25">
      <c r="A284" s="4" t="s">
        <v>297</v>
      </c>
      <c r="B284" s="2" t="s">
        <v>3249</v>
      </c>
      <c r="C284" s="2" t="s">
        <v>3870</v>
      </c>
      <c r="D284" s="2" t="s">
        <v>3878</v>
      </c>
      <c r="E284" s="3">
        <v>45483</v>
      </c>
      <c r="F284" s="3">
        <v>45570</v>
      </c>
      <c r="G284" s="2" t="s">
        <v>3884</v>
      </c>
      <c r="H284" s="2">
        <v>696956</v>
      </c>
      <c r="I284" s="2">
        <v>348581</v>
      </c>
      <c r="J284" s="2" t="s">
        <v>3889</v>
      </c>
      <c r="K284" s="2" t="s">
        <v>3893</v>
      </c>
      <c r="L284" s="2">
        <v>2025</v>
      </c>
      <c r="M284" s="2">
        <v>348375</v>
      </c>
      <c r="N284" s="2">
        <f xml:space="preserve"> (Table1[[#This Row],[Variance (USD)]] / Table1[[#This Row],[Actual Spending (USD)]]) * 100</f>
        <v>99.940903262082557</v>
      </c>
      <c r="O284" s="5" t="s">
        <v>3897</v>
      </c>
    </row>
    <row r="285" spans="1:15" x14ac:dyDescent="0.25">
      <c r="A285" s="4" t="s">
        <v>298</v>
      </c>
      <c r="B285" s="2" t="s">
        <v>3250</v>
      </c>
      <c r="C285" s="2" t="s">
        <v>3871</v>
      </c>
      <c r="D285" s="2" t="s">
        <v>3880</v>
      </c>
      <c r="E285" s="3">
        <v>45008</v>
      </c>
      <c r="F285" s="3">
        <v>45760</v>
      </c>
      <c r="G285" s="2" t="s">
        <v>3886</v>
      </c>
      <c r="H285" s="2">
        <v>217806</v>
      </c>
      <c r="I285" s="2">
        <v>370323</v>
      </c>
      <c r="J285" s="2" t="s">
        <v>3890</v>
      </c>
      <c r="K285" s="2" t="s">
        <v>3896</v>
      </c>
      <c r="L285" s="2">
        <v>2023</v>
      </c>
      <c r="M285" s="2">
        <v>-152517</v>
      </c>
      <c r="N285" s="2">
        <f xml:space="preserve"> (Table1[[#This Row],[Variance (USD)]] / Table1[[#This Row],[Actual Spending (USD)]]) * 100</f>
        <v>-41.184857543279783</v>
      </c>
      <c r="O285" s="5" t="s">
        <v>3899</v>
      </c>
    </row>
    <row r="286" spans="1:15" x14ac:dyDescent="0.25">
      <c r="A286" s="4" t="s">
        <v>299</v>
      </c>
      <c r="B286" s="2" t="s">
        <v>3251</v>
      </c>
      <c r="C286" s="2" t="s">
        <v>3875</v>
      </c>
      <c r="D286" s="2" t="s">
        <v>3883</v>
      </c>
      <c r="E286" s="3">
        <v>45455</v>
      </c>
      <c r="F286" s="3">
        <v>45691</v>
      </c>
      <c r="G286" s="2" t="s">
        <v>3887</v>
      </c>
      <c r="H286" s="2">
        <v>879269</v>
      </c>
      <c r="I286" s="2">
        <v>982573</v>
      </c>
      <c r="J286" s="2" t="s">
        <v>3892</v>
      </c>
      <c r="K286" s="2" t="s">
        <v>3893</v>
      </c>
      <c r="L286" s="2">
        <v>2023</v>
      </c>
      <c r="M286" s="2">
        <v>-103304</v>
      </c>
      <c r="N286" s="2">
        <f xml:space="preserve"> (Table1[[#This Row],[Variance (USD)]] / Table1[[#This Row],[Actual Spending (USD)]]) * 100</f>
        <v>-10.513620870917478</v>
      </c>
      <c r="O286" s="5" t="s">
        <v>3900</v>
      </c>
    </row>
    <row r="287" spans="1:15" x14ac:dyDescent="0.25">
      <c r="A287" s="4" t="s">
        <v>300</v>
      </c>
      <c r="B287" s="2" t="s">
        <v>3252</v>
      </c>
      <c r="C287" s="2" t="s">
        <v>3873</v>
      </c>
      <c r="D287" s="2" t="s">
        <v>3877</v>
      </c>
      <c r="E287" s="3">
        <v>44999</v>
      </c>
      <c r="F287" s="3">
        <v>45300</v>
      </c>
      <c r="G287" s="2" t="s">
        <v>3886</v>
      </c>
      <c r="H287" s="2">
        <v>779714</v>
      </c>
      <c r="I287" s="2">
        <v>723920</v>
      </c>
      <c r="J287" s="2" t="s">
        <v>3890</v>
      </c>
      <c r="K287" s="2" t="s">
        <v>3896</v>
      </c>
      <c r="L287" s="2">
        <v>2025</v>
      </c>
      <c r="M287" s="2">
        <v>55794</v>
      </c>
      <c r="N287" s="2">
        <f xml:space="preserve"> (Table1[[#This Row],[Variance (USD)]] / Table1[[#This Row],[Actual Spending (USD)]]) * 100</f>
        <v>7.7072052160459714</v>
      </c>
      <c r="O287" s="5" t="s">
        <v>3899</v>
      </c>
    </row>
    <row r="288" spans="1:15" x14ac:dyDescent="0.25">
      <c r="A288" s="4" t="s">
        <v>301</v>
      </c>
      <c r="B288" s="2" t="s">
        <v>3253</v>
      </c>
      <c r="C288" s="2" t="s">
        <v>3870</v>
      </c>
      <c r="D288" s="2" t="s">
        <v>3876</v>
      </c>
      <c r="E288" s="3">
        <v>44940</v>
      </c>
      <c r="F288" s="3">
        <v>45304</v>
      </c>
      <c r="G288" s="2" t="s">
        <v>3886</v>
      </c>
      <c r="H288" s="2">
        <v>257526</v>
      </c>
      <c r="I288" s="2">
        <v>465643</v>
      </c>
      <c r="J288" s="2" t="s">
        <v>3890</v>
      </c>
      <c r="K288" s="2" t="s">
        <v>3894</v>
      </c>
      <c r="L288" s="2">
        <v>2023</v>
      </c>
      <c r="M288" s="2">
        <v>-208117</v>
      </c>
      <c r="N288" s="2">
        <f xml:space="preserve"> (Table1[[#This Row],[Variance (USD)]] / Table1[[#This Row],[Actual Spending (USD)]]) * 100</f>
        <v>-44.69454066742118</v>
      </c>
      <c r="O288" s="5" t="s">
        <v>3899</v>
      </c>
    </row>
    <row r="289" spans="1:15" x14ac:dyDescent="0.25">
      <c r="A289" s="4" t="s">
        <v>302</v>
      </c>
      <c r="B289" s="2" t="s">
        <v>3172</v>
      </c>
      <c r="C289" s="2" t="s">
        <v>3870</v>
      </c>
      <c r="D289" s="2" t="s">
        <v>3881</v>
      </c>
      <c r="E289" s="3">
        <v>45359</v>
      </c>
      <c r="F289" s="3">
        <v>45343</v>
      </c>
      <c r="G289" s="2" t="s">
        <v>3885</v>
      </c>
      <c r="H289" s="2">
        <v>289026</v>
      </c>
      <c r="I289" s="2">
        <v>942040</v>
      </c>
      <c r="J289" s="2" t="s">
        <v>3888</v>
      </c>
      <c r="K289" s="2" t="s">
        <v>3893</v>
      </c>
      <c r="L289" s="2">
        <v>2024</v>
      </c>
      <c r="M289" s="2">
        <v>-653014</v>
      </c>
      <c r="N289" s="2">
        <f xml:space="preserve"> (Table1[[#This Row],[Variance (USD)]] / Table1[[#This Row],[Actual Spending (USD)]]) * 100</f>
        <v>-69.31913719162668</v>
      </c>
      <c r="O289" s="5" t="s">
        <v>3898</v>
      </c>
    </row>
    <row r="290" spans="1:15" x14ac:dyDescent="0.25">
      <c r="A290" s="4" t="s">
        <v>303</v>
      </c>
      <c r="B290" s="2" t="s">
        <v>3254</v>
      </c>
      <c r="C290" s="2" t="s">
        <v>3875</v>
      </c>
      <c r="D290" s="2" t="s">
        <v>3880</v>
      </c>
      <c r="E290" s="3">
        <v>45083</v>
      </c>
      <c r="F290" s="3">
        <v>45500</v>
      </c>
      <c r="G290" s="2" t="s">
        <v>3884</v>
      </c>
      <c r="H290" s="2">
        <v>691800</v>
      </c>
      <c r="I290" s="2">
        <v>1008000</v>
      </c>
      <c r="J290" s="2" t="s">
        <v>3888</v>
      </c>
      <c r="K290" s="2" t="s">
        <v>3896</v>
      </c>
      <c r="L290" s="2">
        <v>2024</v>
      </c>
      <c r="M290" s="2">
        <v>-316200</v>
      </c>
      <c r="N290" s="2">
        <f xml:space="preserve"> (Table1[[#This Row],[Variance (USD)]] / Table1[[#This Row],[Actual Spending (USD)]]) * 100</f>
        <v>-31.36904761904762</v>
      </c>
      <c r="O290" s="5" t="s">
        <v>3897</v>
      </c>
    </row>
    <row r="291" spans="1:15" x14ac:dyDescent="0.25">
      <c r="A291" s="4" t="s">
        <v>304</v>
      </c>
      <c r="B291" s="2" t="s">
        <v>3255</v>
      </c>
      <c r="C291" s="2" t="s">
        <v>3870</v>
      </c>
      <c r="D291" s="2" t="s">
        <v>3878</v>
      </c>
      <c r="E291" s="3">
        <v>45058</v>
      </c>
      <c r="F291" s="3">
        <v>45841</v>
      </c>
      <c r="G291" s="2" t="s">
        <v>3886</v>
      </c>
      <c r="H291" s="2">
        <v>116786</v>
      </c>
      <c r="I291" s="2">
        <v>627040</v>
      </c>
      <c r="J291" s="2" t="s">
        <v>3889</v>
      </c>
      <c r="K291" s="2" t="s">
        <v>3893</v>
      </c>
      <c r="L291" s="2">
        <v>2023</v>
      </c>
      <c r="M291" s="2">
        <v>-510254</v>
      </c>
      <c r="N291" s="2">
        <f xml:space="preserve"> (Table1[[#This Row],[Variance (USD)]] / Table1[[#This Row],[Actual Spending (USD)]]) * 100</f>
        <v>-81.375031895891809</v>
      </c>
      <c r="O291" s="5" t="s">
        <v>3899</v>
      </c>
    </row>
    <row r="292" spans="1:15" x14ac:dyDescent="0.25">
      <c r="A292" s="4" t="s">
        <v>305</v>
      </c>
      <c r="B292" s="2" t="s">
        <v>3256</v>
      </c>
      <c r="C292" s="2" t="s">
        <v>3874</v>
      </c>
      <c r="D292" s="2" t="s">
        <v>3881</v>
      </c>
      <c r="E292" s="3">
        <v>45264</v>
      </c>
      <c r="F292" s="3">
        <v>45903</v>
      </c>
      <c r="G292" s="2" t="s">
        <v>3884</v>
      </c>
      <c r="H292" s="2">
        <v>316902</v>
      </c>
      <c r="I292" s="2">
        <v>231513</v>
      </c>
      <c r="J292" s="2" t="s">
        <v>3890</v>
      </c>
      <c r="K292" s="2" t="s">
        <v>3895</v>
      </c>
      <c r="L292" s="2">
        <v>2023</v>
      </c>
      <c r="M292" s="2">
        <v>85389</v>
      </c>
      <c r="N292" s="2">
        <f xml:space="preserve"> (Table1[[#This Row],[Variance (USD)]] / Table1[[#This Row],[Actual Spending (USD)]]) * 100</f>
        <v>36.883026007178863</v>
      </c>
      <c r="O292" s="5" t="s">
        <v>3897</v>
      </c>
    </row>
    <row r="293" spans="1:15" x14ac:dyDescent="0.25">
      <c r="A293" s="4" t="s">
        <v>306</v>
      </c>
      <c r="B293" s="2" t="s">
        <v>3257</v>
      </c>
      <c r="C293" s="2" t="s">
        <v>3871</v>
      </c>
      <c r="D293" s="2" t="s">
        <v>3883</v>
      </c>
      <c r="E293" s="3">
        <v>45330</v>
      </c>
      <c r="F293" s="3">
        <v>45996</v>
      </c>
      <c r="G293" s="2" t="s">
        <v>3885</v>
      </c>
      <c r="H293" s="2">
        <v>414811</v>
      </c>
      <c r="I293" s="2">
        <v>396447</v>
      </c>
      <c r="J293" s="2" t="s">
        <v>3890</v>
      </c>
      <c r="K293" s="2" t="s">
        <v>3893</v>
      </c>
      <c r="L293" s="2">
        <v>2025</v>
      </c>
      <c r="M293" s="2">
        <v>18364</v>
      </c>
      <c r="N293" s="2">
        <f xml:space="preserve"> (Table1[[#This Row],[Variance (USD)]] / Table1[[#This Row],[Actual Spending (USD)]]) * 100</f>
        <v>4.6321450282131025</v>
      </c>
      <c r="O293" s="5" t="s">
        <v>3898</v>
      </c>
    </row>
    <row r="294" spans="1:15" x14ac:dyDescent="0.25">
      <c r="A294" s="4" t="s">
        <v>307</v>
      </c>
      <c r="B294" s="2" t="s">
        <v>3258</v>
      </c>
      <c r="C294" s="2" t="s">
        <v>3869</v>
      </c>
      <c r="D294" s="2" t="s">
        <v>3881</v>
      </c>
      <c r="E294" s="3">
        <v>45302</v>
      </c>
      <c r="F294" s="3">
        <v>45693</v>
      </c>
      <c r="G294" s="2" t="s">
        <v>3884</v>
      </c>
      <c r="H294" s="2">
        <v>510915</v>
      </c>
      <c r="I294" s="2">
        <v>774402</v>
      </c>
      <c r="J294" s="2" t="s">
        <v>3889</v>
      </c>
      <c r="K294" s="2" t="s">
        <v>3894</v>
      </c>
      <c r="L294" s="2">
        <v>2025</v>
      </c>
      <c r="M294" s="2">
        <v>-263487</v>
      </c>
      <c r="N294" s="2">
        <f xml:space="preserve"> (Table1[[#This Row],[Variance (USD)]] / Table1[[#This Row],[Actual Spending (USD)]]) * 100</f>
        <v>-34.024576382808931</v>
      </c>
      <c r="O294" s="5" t="s">
        <v>3897</v>
      </c>
    </row>
    <row r="295" spans="1:15" x14ac:dyDescent="0.25">
      <c r="A295" s="4" t="s">
        <v>308</v>
      </c>
      <c r="B295" s="2" t="s">
        <v>3259</v>
      </c>
      <c r="C295" s="2" t="s">
        <v>3872</v>
      </c>
      <c r="D295" s="2" t="s">
        <v>3881</v>
      </c>
      <c r="E295" s="3">
        <v>45485</v>
      </c>
      <c r="F295" s="3">
        <v>45482</v>
      </c>
      <c r="G295" s="2" t="s">
        <v>3884</v>
      </c>
      <c r="H295" s="2">
        <v>682407</v>
      </c>
      <c r="I295" s="2">
        <v>823720</v>
      </c>
      <c r="J295" s="2" t="s">
        <v>3891</v>
      </c>
      <c r="K295" s="2" t="s">
        <v>3893</v>
      </c>
      <c r="L295" s="2">
        <v>2025</v>
      </c>
      <c r="M295" s="2">
        <v>-141313</v>
      </c>
      <c r="N295" s="2">
        <f xml:space="preserve"> (Table1[[#This Row],[Variance (USD)]] / Table1[[#This Row],[Actual Spending (USD)]]) * 100</f>
        <v>-17.155465449424561</v>
      </c>
      <c r="O295" s="5" t="s">
        <v>3897</v>
      </c>
    </row>
    <row r="296" spans="1:15" x14ac:dyDescent="0.25">
      <c r="A296" s="4" t="s">
        <v>309</v>
      </c>
      <c r="B296" s="2" t="s">
        <v>3055</v>
      </c>
      <c r="C296" s="2" t="s">
        <v>3875</v>
      </c>
      <c r="D296" s="2" t="s">
        <v>3876</v>
      </c>
      <c r="E296" s="3">
        <v>45033</v>
      </c>
      <c r="F296" s="3">
        <v>45342</v>
      </c>
      <c r="G296" s="2" t="s">
        <v>3886</v>
      </c>
      <c r="H296" s="2">
        <v>412301</v>
      </c>
      <c r="I296" s="2">
        <v>1188146</v>
      </c>
      <c r="J296" s="2" t="s">
        <v>3889</v>
      </c>
      <c r="K296" s="2" t="s">
        <v>3894</v>
      </c>
      <c r="L296" s="2">
        <v>2025</v>
      </c>
      <c r="M296" s="2">
        <v>-775845</v>
      </c>
      <c r="N296" s="2">
        <f xml:space="preserve"> (Table1[[#This Row],[Variance (USD)]] / Table1[[#This Row],[Actual Spending (USD)]]) * 100</f>
        <v>-65.298793245947877</v>
      </c>
      <c r="O296" s="5" t="s">
        <v>3899</v>
      </c>
    </row>
    <row r="297" spans="1:15" x14ac:dyDescent="0.25">
      <c r="A297" s="4" t="s">
        <v>310</v>
      </c>
      <c r="B297" s="2" t="s">
        <v>3260</v>
      </c>
      <c r="C297" s="2" t="s">
        <v>3869</v>
      </c>
      <c r="D297" s="2" t="s">
        <v>3882</v>
      </c>
      <c r="E297" s="3">
        <v>45546</v>
      </c>
      <c r="F297" s="3">
        <v>45684</v>
      </c>
      <c r="G297" s="2" t="s">
        <v>3886</v>
      </c>
      <c r="H297" s="2">
        <v>132673</v>
      </c>
      <c r="I297" s="2">
        <v>911979</v>
      </c>
      <c r="J297" s="2" t="s">
        <v>3888</v>
      </c>
      <c r="K297" s="2" t="s">
        <v>3894</v>
      </c>
      <c r="L297" s="2">
        <v>2025</v>
      </c>
      <c r="M297" s="2">
        <v>-779306</v>
      </c>
      <c r="N297" s="2">
        <f xml:space="preserve"> (Table1[[#This Row],[Variance (USD)]] / Table1[[#This Row],[Actual Spending (USD)]]) * 100</f>
        <v>-85.452186947287174</v>
      </c>
      <c r="O297" s="5" t="s">
        <v>3899</v>
      </c>
    </row>
    <row r="298" spans="1:15" x14ac:dyDescent="0.25">
      <c r="A298" s="4" t="s">
        <v>311</v>
      </c>
      <c r="B298" s="2" t="s">
        <v>3261</v>
      </c>
      <c r="C298" s="2" t="s">
        <v>3869</v>
      </c>
      <c r="D298" s="2" t="s">
        <v>3881</v>
      </c>
      <c r="E298" s="3">
        <v>45191</v>
      </c>
      <c r="F298" s="3">
        <v>45944</v>
      </c>
      <c r="G298" s="2" t="s">
        <v>3886</v>
      </c>
      <c r="H298" s="2">
        <v>409783</v>
      </c>
      <c r="I298" s="2">
        <v>552699</v>
      </c>
      <c r="J298" s="2" t="s">
        <v>3888</v>
      </c>
      <c r="K298" s="2" t="s">
        <v>3893</v>
      </c>
      <c r="L298" s="2">
        <v>2025</v>
      </c>
      <c r="M298" s="2">
        <v>-142916</v>
      </c>
      <c r="N298" s="2">
        <f xml:space="preserve"> (Table1[[#This Row],[Variance (USD)]] / Table1[[#This Row],[Actual Spending (USD)]]) * 100</f>
        <v>-25.857835820220409</v>
      </c>
      <c r="O298" s="5" t="s">
        <v>3899</v>
      </c>
    </row>
    <row r="299" spans="1:15" x14ac:dyDescent="0.25">
      <c r="A299" s="4" t="s">
        <v>312</v>
      </c>
      <c r="B299" s="2" t="s">
        <v>3262</v>
      </c>
      <c r="C299" s="2" t="s">
        <v>3868</v>
      </c>
      <c r="D299" s="2" t="s">
        <v>3881</v>
      </c>
      <c r="E299" s="3">
        <v>45131</v>
      </c>
      <c r="F299" s="3">
        <v>45971</v>
      </c>
      <c r="G299" s="2" t="s">
        <v>3885</v>
      </c>
      <c r="H299" s="2">
        <v>202904</v>
      </c>
      <c r="I299" s="2">
        <v>1110976</v>
      </c>
      <c r="J299" s="2" t="s">
        <v>3890</v>
      </c>
      <c r="K299" s="2" t="s">
        <v>3893</v>
      </c>
      <c r="L299" s="2">
        <v>2024</v>
      </c>
      <c r="M299" s="2">
        <v>-908072</v>
      </c>
      <c r="N299" s="2">
        <f xml:space="preserve"> (Table1[[#This Row],[Variance (USD)]] / Table1[[#This Row],[Actual Spending (USD)]]) * 100</f>
        <v>-81.736419148568459</v>
      </c>
      <c r="O299" s="5" t="s">
        <v>3898</v>
      </c>
    </row>
    <row r="300" spans="1:15" x14ac:dyDescent="0.25">
      <c r="A300" s="4" t="s">
        <v>313</v>
      </c>
      <c r="B300" s="2" t="s">
        <v>3152</v>
      </c>
      <c r="C300" s="2" t="s">
        <v>3874</v>
      </c>
      <c r="D300" s="2" t="s">
        <v>3880</v>
      </c>
      <c r="E300" s="3">
        <v>45005</v>
      </c>
      <c r="F300" s="3">
        <v>45912</v>
      </c>
      <c r="G300" s="2" t="s">
        <v>3885</v>
      </c>
      <c r="H300" s="2">
        <v>969372</v>
      </c>
      <c r="I300" s="2">
        <v>939041</v>
      </c>
      <c r="J300" s="2" t="s">
        <v>3888</v>
      </c>
      <c r="K300" s="2" t="s">
        <v>3893</v>
      </c>
      <c r="L300" s="2">
        <v>2023</v>
      </c>
      <c r="M300" s="2">
        <v>30331</v>
      </c>
      <c r="N300" s="2">
        <f xml:space="preserve"> (Table1[[#This Row],[Variance (USD)]] / Table1[[#This Row],[Actual Spending (USD)]]) * 100</f>
        <v>3.2299974122535651</v>
      </c>
      <c r="O300" s="5" t="s">
        <v>3898</v>
      </c>
    </row>
    <row r="301" spans="1:15" x14ac:dyDescent="0.25">
      <c r="A301" s="4" t="s">
        <v>314</v>
      </c>
      <c r="B301" s="2" t="s">
        <v>3263</v>
      </c>
      <c r="C301" s="2" t="s">
        <v>3875</v>
      </c>
      <c r="D301" s="2" t="s">
        <v>3882</v>
      </c>
      <c r="E301" s="3">
        <v>45081</v>
      </c>
      <c r="F301" s="3">
        <v>46010</v>
      </c>
      <c r="G301" s="2" t="s">
        <v>3884</v>
      </c>
      <c r="H301" s="2">
        <v>309111</v>
      </c>
      <c r="I301" s="2">
        <v>162639</v>
      </c>
      <c r="J301" s="2" t="s">
        <v>3889</v>
      </c>
      <c r="K301" s="2" t="s">
        <v>3895</v>
      </c>
      <c r="L301" s="2">
        <v>2025</v>
      </c>
      <c r="M301" s="2">
        <v>146472</v>
      </c>
      <c r="N301" s="2">
        <f xml:space="preserve"> (Table1[[#This Row],[Variance (USD)]] / Table1[[#This Row],[Actual Spending (USD)]]) * 100</f>
        <v>90.059579805581691</v>
      </c>
      <c r="O301" s="5" t="s">
        <v>3897</v>
      </c>
    </row>
    <row r="302" spans="1:15" x14ac:dyDescent="0.25">
      <c r="A302" s="4" t="s">
        <v>315</v>
      </c>
      <c r="B302" s="2" t="s">
        <v>3264</v>
      </c>
      <c r="C302" s="2" t="s">
        <v>3870</v>
      </c>
      <c r="D302" s="2" t="s">
        <v>3876</v>
      </c>
      <c r="E302" s="3">
        <v>45173</v>
      </c>
      <c r="F302" s="3">
        <v>45591</v>
      </c>
      <c r="G302" s="2" t="s">
        <v>3884</v>
      </c>
      <c r="H302" s="2">
        <v>689157</v>
      </c>
      <c r="I302" s="2">
        <v>602166</v>
      </c>
      <c r="J302" s="2" t="s">
        <v>3890</v>
      </c>
      <c r="K302" s="2" t="s">
        <v>3895</v>
      </c>
      <c r="L302" s="2">
        <v>2024</v>
      </c>
      <c r="M302" s="2">
        <v>86991</v>
      </c>
      <c r="N302" s="2">
        <f xml:space="preserve"> (Table1[[#This Row],[Variance (USD)]] / Table1[[#This Row],[Actual Spending (USD)]]) * 100</f>
        <v>14.446348681260648</v>
      </c>
      <c r="O302" s="5" t="s">
        <v>3897</v>
      </c>
    </row>
    <row r="303" spans="1:15" x14ac:dyDescent="0.25">
      <c r="A303" s="4" t="s">
        <v>316</v>
      </c>
      <c r="B303" s="2" t="s">
        <v>3265</v>
      </c>
      <c r="C303" s="2" t="s">
        <v>3872</v>
      </c>
      <c r="D303" s="2" t="s">
        <v>3878</v>
      </c>
      <c r="E303" s="3">
        <v>45457</v>
      </c>
      <c r="F303" s="3">
        <v>45913</v>
      </c>
      <c r="G303" s="2" t="s">
        <v>3884</v>
      </c>
      <c r="H303" s="2">
        <v>493881</v>
      </c>
      <c r="I303" s="2">
        <v>78850</v>
      </c>
      <c r="J303" s="2" t="s">
        <v>3889</v>
      </c>
      <c r="K303" s="2" t="s">
        <v>3896</v>
      </c>
      <c r="L303" s="2">
        <v>2023</v>
      </c>
      <c r="M303" s="2">
        <v>415031</v>
      </c>
      <c r="N303" s="2">
        <f xml:space="preserve"> (Table1[[#This Row],[Variance (USD)]] / Table1[[#This Row],[Actual Spending (USD)]]) * 100</f>
        <v>526.35510462904244</v>
      </c>
      <c r="O303" s="5" t="s">
        <v>3897</v>
      </c>
    </row>
    <row r="304" spans="1:15" x14ac:dyDescent="0.25">
      <c r="A304" s="4" t="s">
        <v>317</v>
      </c>
      <c r="B304" s="2" t="s">
        <v>3266</v>
      </c>
      <c r="C304" s="2" t="s">
        <v>3875</v>
      </c>
      <c r="D304" s="2" t="s">
        <v>3883</v>
      </c>
      <c r="E304" s="3">
        <v>45464</v>
      </c>
      <c r="F304" s="3">
        <v>45487</v>
      </c>
      <c r="G304" s="2" t="s">
        <v>3884</v>
      </c>
      <c r="H304" s="2">
        <v>294944</v>
      </c>
      <c r="I304" s="2">
        <v>948598</v>
      </c>
      <c r="J304" s="2" t="s">
        <v>3889</v>
      </c>
      <c r="K304" s="2" t="s">
        <v>3893</v>
      </c>
      <c r="L304" s="2">
        <v>2023</v>
      </c>
      <c r="M304" s="2">
        <v>-653654</v>
      </c>
      <c r="N304" s="2">
        <f xml:space="preserve"> (Table1[[#This Row],[Variance (USD)]] / Table1[[#This Row],[Actual Spending (USD)]]) * 100</f>
        <v>-68.907376992150532</v>
      </c>
      <c r="O304" s="5" t="s">
        <v>3897</v>
      </c>
    </row>
    <row r="305" spans="1:15" x14ac:dyDescent="0.25">
      <c r="A305" s="4" t="s">
        <v>318</v>
      </c>
      <c r="B305" s="2" t="s">
        <v>3267</v>
      </c>
      <c r="C305" s="2" t="s">
        <v>3870</v>
      </c>
      <c r="D305" s="2" t="s">
        <v>3876</v>
      </c>
      <c r="E305" s="3">
        <v>45655</v>
      </c>
      <c r="F305" s="3">
        <v>45708</v>
      </c>
      <c r="G305" s="2" t="s">
        <v>3884</v>
      </c>
      <c r="H305" s="2">
        <v>485078</v>
      </c>
      <c r="I305" s="2">
        <v>696495</v>
      </c>
      <c r="J305" s="2" t="s">
        <v>3890</v>
      </c>
      <c r="K305" s="2" t="s">
        <v>3896</v>
      </c>
      <c r="L305" s="2">
        <v>2023</v>
      </c>
      <c r="M305" s="2">
        <v>-211417</v>
      </c>
      <c r="N305" s="2">
        <f xml:space="preserve"> (Table1[[#This Row],[Variance (USD)]] / Table1[[#This Row],[Actual Spending (USD)]]) * 100</f>
        <v>-30.354417476076641</v>
      </c>
      <c r="O305" s="5" t="s">
        <v>3897</v>
      </c>
    </row>
    <row r="306" spans="1:15" x14ac:dyDescent="0.25">
      <c r="A306" s="4" t="s">
        <v>319</v>
      </c>
      <c r="B306" s="2" t="s">
        <v>3268</v>
      </c>
      <c r="C306" s="2" t="s">
        <v>3869</v>
      </c>
      <c r="D306" s="2" t="s">
        <v>3876</v>
      </c>
      <c r="E306" s="3">
        <v>45080</v>
      </c>
      <c r="F306" s="3">
        <v>45955</v>
      </c>
      <c r="G306" s="2" t="s">
        <v>3885</v>
      </c>
      <c r="H306" s="2">
        <v>331872</v>
      </c>
      <c r="I306" s="2">
        <v>1123689</v>
      </c>
      <c r="J306" s="2" t="s">
        <v>3891</v>
      </c>
      <c r="K306" s="2" t="s">
        <v>3896</v>
      </c>
      <c r="L306" s="2">
        <v>2025</v>
      </c>
      <c r="M306" s="2">
        <v>-791817</v>
      </c>
      <c r="N306" s="2">
        <f xml:space="preserve"> (Table1[[#This Row],[Variance (USD)]] / Table1[[#This Row],[Actual Spending (USD)]]) * 100</f>
        <v>-70.465849536660059</v>
      </c>
      <c r="O306" s="5" t="s">
        <v>3898</v>
      </c>
    </row>
    <row r="307" spans="1:15" x14ac:dyDescent="0.25">
      <c r="A307" s="4" t="s">
        <v>320</v>
      </c>
      <c r="B307" s="2" t="s">
        <v>3269</v>
      </c>
      <c r="C307" s="2" t="s">
        <v>3872</v>
      </c>
      <c r="D307" s="2" t="s">
        <v>3879</v>
      </c>
      <c r="E307" s="3">
        <v>45080</v>
      </c>
      <c r="F307" s="3">
        <v>45711</v>
      </c>
      <c r="G307" s="2" t="s">
        <v>3885</v>
      </c>
      <c r="H307" s="2">
        <v>939974</v>
      </c>
      <c r="I307" s="2">
        <v>88791</v>
      </c>
      <c r="J307" s="2" t="s">
        <v>3888</v>
      </c>
      <c r="K307" s="2" t="s">
        <v>3894</v>
      </c>
      <c r="L307" s="2">
        <v>2025</v>
      </c>
      <c r="M307" s="2">
        <v>851183</v>
      </c>
      <c r="N307" s="2">
        <f xml:space="preserve"> (Table1[[#This Row],[Variance (USD)]] / Table1[[#This Row],[Actual Spending (USD)]]) * 100</f>
        <v>958.63657352659607</v>
      </c>
      <c r="O307" s="5" t="s">
        <v>3898</v>
      </c>
    </row>
    <row r="308" spans="1:15" x14ac:dyDescent="0.25">
      <c r="A308" s="4" t="s">
        <v>321</v>
      </c>
      <c r="B308" s="2" t="s">
        <v>3124</v>
      </c>
      <c r="C308" s="2" t="s">
        <v>3870</v>
      </c>
      <c r="D308" s="2" t="s">
        <v>3876</v>
      </c>
      <c r="E308" s="3">
        <v>45612</v>
      </c>
      <c r="F308" s="3">
        <v>45931</v>
      </c>
      <c r="G308" s="2" t="s">
        <v>3884</v>
      </c>
      <c r="H308" s="2">
        <v>929997</v>
      </c>
      <c r="I308" s="2">
        <v>826116</v>
      </c>
      <c r="J308" s="2" t="s">
        <v>3892</v>
      </c>
      <c r="K308" s="2" t="s">
        <v>3896</v>
      </c>
      <c r="L308" s="2">
        <v>2025</v>
      </c>
      <c r="M308" s="2">
        <v>103881</v>
      </c>
      <c r="N308" s="2">
        <f xml:space="preserve"> (Table1[[#This Row],[Variance (USD)]] / Table1[[#This Row],[Actual Spending (USD)]]) * 100</f>
        <v>12.57462632366399</v>
      </c>
      <c r="O308" s="5" t="s">
        <v>3897</v>
      </c>
    </row>
    <row r="309" spans="1:15" x14ac:dyDescent="0.25">
      <c r="A309" s="4" t="s">
        <v>322</v>
      </c>
      <c r="B309" s="2" t="s">
        <v>3243</v>
      </c>
      <c r="C309" s="2" t="s">
        <v>3871</v>
      </c>
      <c r="D309" s="2" t="s">
        <v>3882</v>
      </c>
      <c r="E309" s="3">
        <v>45018</v>
      </c>
      <c r="F309" s="3">
        <v>45908</v>
      </c>
      <c r="G309" s="2" t="s">
        <v>3884</v>
      </c>
      <c r="H309" s="2">
        <v>483073</v>
      </c>
      <c r="I309" s="2">
        <v>909215</v>
      </c>
      <c r="J309" s="2" t="s">
        <v>3892</v>
      </c>
      <c r="K309" s="2" t="s">
        <v>3893</v>
      </c>
      <c r="L309" s="2">
        <v>2023</v>
      </c>
      <c r="M309" s="2">
        <v>-426142</v>
      </c>
      <c r="N309" s="2">
        <f xml:space="preserve"> (Table1[[#This Row],[Variance (USD)]] / Table1[[#This Row],[Actual Spending (USD)]]) * 100</f>
        <v>-46.86922235114907</v>
      </c>
      <c r="O309" s="5" t="s">
        <v>3897</v>
      </c>
    </row>
    <row r="310" spans="1:15" x14ac:dyDescent="0.25">
      <c r="A310" s="4" t="s">
        <v>323</v>
      </c>
      <c r="B310" s="2" t="s">
        <v>3080</v>
      </c>
      <c r="C310" s="2" t="s">
        <v>3870</v>
      </c>
      <c r="D310" s="2" t="s">
        <v>3879</v>
      </c>
      <c r="E310" s="3">
        <v>45359</v>
      </c>
      <c r="F310" s="3">
        <v>45813</v>
      </c>
      <c r="G310" s="2" t="s">
        <v>3886</v>
      </c>
      <c r="H310" s="2">
        <v>471399</v>
      </c>
      <c r="I310" s="2">
        <v>169118</v>
      </c>
      <c r="J310" s="2" t="s">
        <v>3892</v>
      </c>
      <c r="K310" s="2" t="s">
        <v>3895</v>
      </c>
      <c r="L310" s="2">
        <v>2023</v>
      </c>
      <c r="M310" s="2">
        <v>302281</v>
      </c>
      <c r="N310" s="2">
        <f xml:space="preserve"> (Table1[[#This Row],[Variance (USD)]] / Table1[[#This Row],[Actual Spending (USD)]]) * 100</f>
        <v>178.73969654324199</v>
      </c>
      <c r="O310" s="5" t="s">
        <v>3899</v>
      </c>
    </row>
    <row r="311" spans="1:15" x14ac:dyDescent="0.25">
      <c r="A311" s="4" t="s">
        <v>324</v>
      </c>
      <c r="B311" s="2" t="s">
        <v>3055</v>
      </c>
      <c r="C311" s="2" t="s">
        <v>3868</v>
      </c>
      <c r="D311" s="2" t="s">
        <v>3883</v>
      </c>
      <c r="E311" s="3">
        <v>45264</v>
      </c>
      <c r="F311" s="3">
        <v>45647</v>
      </c>
      <c r="G311" s="2" t="s">
        <v>3884</v>
      </c>
      <c r="H311" s="2">
        <v>531537</v>
      </c>
      <c r="I311" s="2">
        <v>559222</v>
      </c>
      <c r="J311" s="2" t="s">
        <v>3888</v>
      </c>
      <c r="K311" s="2" t="s">
        <v>3896</v>
      </c>
      <c r="L311" s="2">
        <v>2024</v>
      </c>
      <c r="M311" s="2">
        <v>-27685</v>
      </c>
      <c r="N311" s="2">
        <f xml:space="preserve"> (Table1[[#This Row],[Variance (USD)]] / Table1[[#This Row],[Actual Spending (USD)]]) * 100</f>
        <v>-4.9506278365300371</v>
      </c>
      <c r="O311" s="5" t="s">
        <v>3897</v>
      </c>
    </row>
    <row r="312" spans="1:15" x14ac:dyDescent="0.25">
      <c r="A312" s="4" t="s">
        <v>325</v>
      </c>
      <c r="B312" s="2" t="s">
        <v>3270</v>
      </c>
      <c r="C312" s="2" t="s">
        <v>3874</v>
      </c>
      <c r="D312" s="2" t="s">
        <v>3881</v>
      </c>
      <c r="E312" s="3">
        <v>45406</v>
      </c>
      <c r="F312" s="3">
        <v>45439</v>
      </c>
      <c r="G312" s="2" t="s">
        <v>3884</v>
      </c>
      <c r="H312" s="2">
        <v>833842</v>
      </c>
      <c r="I312" s="2">
        <v>1007060</v>
      </c>
      <c r="J312" s="2" t="s">
        <v>3891</v>
      </c>
      <c r="K312" s="2" t="s">
        <v>3896</v>
      </c>
      <c r="L312" s="2">
        <v>2024</v>
      </c>
      <c r="M312" s="2">
        <v>-173218</v>
      </c>
      <c r="N312" s="2">
        <f xml:space="preserve"> (Table1[[#This Row],[Variance (USD)]] / Table1[[#This Row],[Actual Spending (USD)]]) * 100</f>
        <v>-17.200365420133856</v>
      </c>
      <c r="O312" s="5" t="s">
        <v>3897</v>
      </c>
    </row>
    <row r="313" spans="1:15" x14ac:dyDescent="0.25">
      <c r="A313" s="4" t="s">
        <v>326</v>
      </c>
      <c r="B313" s="2" t="s">
        <v>3271</v>
      </c>
      <c r="C313" s="2" t="s">
        <v>3869</v>
      </c>
      <c r="D313" s="2" t="s">
        <v>3880</v>
      </c>
      <c r="E313" s="3">
        <v>45619</v>
      </c>
      <c r="F313" s="3">
        <v>45656</v>
      </c>
      <c r="G313" s="2" t="s">
        <v>3885</v>
      </c>
      <c r="H313" s="2">
        <v>462156</v>
      </c>
      <c r="I313" s="2">
        <v>293498</v>
      </c>
      <c r="J313" s="2" t="s">
        <v>3889</v>
      </c>
      <c r="K313" s="2" t="s">
        <v>3895</v>
      </c>
      <c r="L313" s="2">
        <v>2024</v>
      </c>
      <c r="M313" s="2">
        <v>168658</v>
      </c>
      <c r="N313" s="2">
        <f xml:space="preserve"> (Table1[[#This Row],[Variance (USD)]] / Table1[[#This Row],[Actual Spending (USD)]]) * 100</f>
        <v>57.464786812857326</v>
      </c>
      <c r="O313" s="5" t="s">
        <v>3898</v>
      </c>
    </row>
    <row r="314" spans="1:15" x14ac:dyDescent="0.25">
      <c r="A314" s="4" t="s">
        <v>327</v>
      </c>
      <c r="B314" s="2" t="s">
        <v>3184</v>
      </c>
      <c r="C314" s="2" t="s">
        <v>3870</v>
      </c>
      <c r="D314" s="2" t="s">
        <v>3880</v>
      </c>
      <c r="E314" s="3">
        <v>45057</v>
      </c>
      <c r="F314" s="3">
        <v>45655</v>
      </c>
      <c r="G314" s="2" t="s">
        <v>3885</v>
      </c>
      <c r="H314" s="2">
        <v>699307</v>
      </c>
      <c r="I314" s="2">
        <v>659065</v>
      </c>
      <c r="J314" s="2" t="s">
        <v>3890</v>
      </c>
      <c r="K314" s="2" t="s">
        <v>3896</v>
      </c>
      <c r="L314" s="2">
        <v>2024</v>
      </c>
      <c r="M314" s="2">
        <v>40242</v>
      </c>
      <c r="N314" s="2">
        <f xml:space="preserve"> (Table1[[#This Row],[Variance (USD)]] / Table1[[#This Row],[Actual Spending (USD)]]) * 100</f>
        <v>6.1059227845508408</v>
      </c>
      <c r="O314" s="5" t="s">
        <v>3898</v>
      </c>
    </row>
    <row r="315" spans="1:15" x14ac:dyDescent="0.25">
      <c r="A315" s="4" t="s">
        <v>328</v>
      </c>
      <c r="B315" s="2" t="s">
        <v>3272</v>
      </c>
      <c r="C315" s="2" t="s">
        <v>3874</v>
      </c>
      <c r="D315" s="2" t="s">
        <v>3883</v>
      </c>
      <c r="E315" s="3">
        <v>45376</v>
      </c>
      <c r="F315" s="3">
        <v>45943</v>
      </c>
      <c r="G315" s="2" t="s">
        <v>3884</v>
      </c>
      <c r="H315" s="2">
        <v>448496</v>
      </c>
      <c r="I315" s="2">
        <v>284164</v>
      </c>
      <c r="J315" s="2" t="s">
        <v>3891</v>
      </c>
      <c r="K315" s="2" t="s">
        <v>3893</v>
      </c>
      <c r="L315" s="2">
        <v>2023</v>
      </c>
      <c r="M315" s="2">
        <v>164332</v>
      </c>
      <c r="N315" s="2">
        <f xml:space="preserve"> (Table1[[#This Row],[Variance (USD)]] / Table1[[#This Row],[Actual Spending (USD)]]) * 100</f>
        <v>57.829985501330214</v>
      </c>
      <c r="O315" s="5" t="s">
        <v>3897</v>
      </c>
    </row>
    <row r="316" spans="1:15" x14ac:dyDescent="0.25">
      <c r="A316" s="4" t="s">
        <v>329</v>
      </c>
      <c r="B316" s="2" t="s">
        <v>3273</v>
      </c>
      <c r="C316" s="2" t="s">
        <v>3873</v>
      </c>
      <c r="D316" s="2" t="s">
        <v>3883</v>
      </c>
      <c r="E316" s="3">
        <v>45199</v>
      </c>
      <c r="F316" s="3">
        <v>45993</v>
      </c>
      <c r="G316" s="2" t="s">
        <v>3885</v>
      </c>
      <c r="H316" s="2">
        <v>152548</v>
      </c>
      <c r="I316" s="2">
        <v>1131622</v>
      </c>
      <c r="J316" s="2" t="s">
        <v>3892</v>
      </c>
      <c r="K316" s="2" t="s">
        <v>3896</v>
      </c>
      <c r="L316" s="2">
        <v>2025</v>
      </c>
      <c r="M316" s="2">
        <v>-979074</v>
      </c>
      <c r="N316" s="2">
        <f xml:space="preserve"> (Table1[[#This Row],[Variance (USD)]] / Table1[[#This Row],[Actual Spending (USD)]]) * 100</f>
        <v>-86.519526838467272</v>
      </c>
      <c r="O316" s="5" t="s">
        <v>3898</v>
      </c>
    </row>
    <row r="317" spans="1:15" x14ac:dyDescent="0.25">
      <c r="A317" s="4" t="s">
        <v>330</v>
      </c>
      <c r="B317" s="2" t="s">
        <v>3274</v>
      </c>
      <c r="C317" s="2" t="s">
        <v>3873</v>
      </c>
      <c r="D317" s="2" t="s">
        <v>3882</v>
      </c>
      <c r="E317" s="3">
        <v>45514</v>
      </c>
      <c r="F317" s="3">
        <v>45693</v>
      </c>
      <c r="G317" s="2" t="s">
        <v>3884</v>
      </c>
      <c r="H317" s="2">
        <v>445380</v>
      </c>
      <c r="I317" s="2">
        <v>403242</v>
      </c>
      <c r="J317" s="2" t="s">
        <v>3888</v>
      </c>
      <c r="K317" s="2" t="s">
        <v>3894</v>
      </c>
      <c r="L317" s="2">
        <v>2025</v>
      </c>
      <c r="M317" s="2">
        <v>42138</v>
      </c>
      <c r="N317" s="2">
        <f xml:space="preserve"> (Table1[[#This Row],[Variance (USD)]] / Table1[[#This Row],[Actual Spending (USD)]]) * 100</f>
        <v>10.449804335857872</v>
      </c>
      <c r="O317" s="5" t="s">
        <v>3897</v>
      </c>
    </row>
    <row r="318" spans="1:15" x14ac:dyDescent="0.25">
      <c r="A318" s="4" t="s">
        <v>331</v>
      </c>
      <c r="B318" s="2" t="s">
        <v>3205</v>
      </c>
      <c r="C318" s="2" t="s">
        <v>3874</v>
      </c>
      <c r="D318" s="2" t="s">
        <v>3877</v>
      </c>
      <c r="E318" s="3">
        <v>45103</v>
      </c>
      <c r="F318" s="3">
        <v>45897</v>
      </c>
      <c r="G318" s="2" t="s">
        <v>3886</v>
      </c>
      <c r="H318" s="2">
        <v>433433</v>
      </c>
      <c r="I318" s="2">
        <v>619352</v>
      </c>
      <c r="J318" s="2" t="s">
        <v>3888</v>
      </c>
      <c r="K318" s="2" t="s">
        <v>3896</v>
      </c>
      <c r="L318" s="2">
        <v>2025</v>
      </c>
      <c r="M318" s="2">
        <v>-185919</v>
      </c>
      <c r="N318" s="2">
        <f xml:space="preserve"> (Table1[[#This Row],[Variance (USD)]] / Table1[[#This Row],[Actual Spending (USD)]]) * 100</f>
        <v>-30.018309458918353</v>
      </c>
      <c r="O318" s="5" t="s">
        <v>3899</v>
      </c>
    </row>
    <row r="319" spans="1:15" x14ac:dyDescent="0.25">
      <c r="A319" s="4" t="s">
        <v>332</v>
      </c>
      <c r="B319" s="2" t="s">
        <v>3275</v>
      </c>
      <c r="C319" s="2" t="s">
        <v>3874</v>
      </c>
      <c r="D319" s="2" t="s">
        <v>3881</v>
      </c>
      <c r="E319" s="3">
        <v>45622</v>
      </c>
      <c r="F319" s="3">
        <v>45783</v>
      </c>
      <c r="G319" s="2" t="s">
        <v>3884</v>
      </c>
      <c r="H319" s="2">
        <v>535940</v>
      </c>
      <c r="I319" s="2">
        <v>688323</v>
      </c>
      <c r="J319" s="2" t="s">
        <v>3890</v>
      </c>
      <c r="K319" s="2" t="s">
        <v>3894</v>
      </c>
      <c r="L319" s="2">
        <v>2025</v>
      </c>
      <c r="M319" s="2">
        <v>-152383</v>
      </c>
      <c r="N319" s="2">
        <f xml:space="preserve"> (Table1[[#This Row],[Variance (USD)]] / Table1[[#This Row],[Actual Spending (USD)]]) * 100</f>
        <v>-22.138298444189719</v>
      </c>
      <c r="O319" s="5" t="s">
        <v>3897</v>
      </c>
    </row>
    <row r="320" spans="1:15" x14ac:dyDescent="0.25">
      <c r="A320" s="4" t="s">
        <v>333</v>
      </c>
      <c r="B320" s="2" t="s">
        <v>3119</v>
      </c>
      <c r="C320" s="2" t="s">
        <v>3868</v>
      </c>
      <c r="D320" s="2" t="s">
        <v>3883</v>
      </c>
      <c r="E320" s="3">
        <v>45569</v>
      </c>
      <c r="F320" s="3">
        <v>45520</v>
      </c>
      <c r="G320" s="2" t="s">
        <v>3884</v>
      </c>
      <c r="H320" s="2">
        <v>818813</v>
      </c>
      <c r="I320" s="2">
        <v>57424</v>
      </c>
      <c r="J320" s="2" t="s">
        <v>3889</v>
      </c>
      <c r="K320" s="2" t="s">
        <v>3895</v>
      </c>
      <c r="L320" s="2">
        <v>2024</v>
      </c>
      <c r="M320" s="2">
        <v>761389</v>
      </c>
      <c r="N320" s="2">
        <f xml:space="preserve"> (Table1[[#This Row],[Variance (USD)]] / Table1[[#This Row],[Actual Spending (USD)]]) * 100</f>
        <v>1325.9072861521315</v>
      </c>
      <c r="O320" s="5" t="s">
        <v>3897</v>
      </c>
    </row>
    <row r="321" spans="1:15" x14ac:dyDescent="0.25">
      <c r="A321" s="4" t="s">
        <v>334</v>
      </c>
      <c r="B321" s="2" t="s">
        <v>3032</v>
      </c>
      <c r="C321" s="2" t="s">
        <v>3871</v>
      </c>
      <c r="D321" s="2" t="s">
        <v>3876</v>
      </c>
      <c r="E321" s="3">
        <v>44975</v>
      </c>
      <c r="F321" s="3">
        <v>45866</v>
      </c>
      <c r="G321" s="2" t="s">
        <v>3885</v>
      </c>
      <c r="H321" s="2">
        <v>441212</v>
      </c>
      <c r="I321" s="2">
        <v>765399</v>
      </c>
      <c r="J321" s="2" t="s">
        <v>3891</v>
      </c>
      <c r="K321" s="2" t="s">
        <v>3895</v>
      </c>
      <c r="L321" s="2">
        <v>2023</v>
      </c>
      <c r="M321" s="2">
        <v>-324187</v>
      </c>
      <c r="N321" s="2">
        <f xml:space="preserve"> (Table1[[#This Row],[Variance (USD)]] / Table1[[#This Row],[Actual Spending (USD)]]) * 100</f>
        <v>-42.355294428134869</v>
      </c>
      <c r="O321" s="5" t="s">
        <v>3898</v>
      </c>
    </row>
    <row r="322" spans="1:15" x14ac:dyDescent="0.25">
      <c r="A322" s="4" t="s">
        <v>335</v>
      </c>
      <c r="B322" s="2" t="s">
        <v>3276</v>
      </c>
      <c r="C322" s="2" t="s">
        <v>3869</v>
      </c>
      <c r="D322" s="2" t="s">
        <v>3882</v>
      </c>
      <c r="E322" s="3">
        <v>45493</v>
      </c>
      <c r="F322" s="3">
        <v>45828</v>
      </c>
      <c r="G322" s="2" t="s">
        <v>3884</v>
      </c>
      <c r="H322" s="2">
        <v>391768</v>
      </c>
      <c r="I322" s="2">
        <v>1043281</v>
      </c>
      <c r="J322" s="2" t="s">
        <v>3891</v>
      </c>
      <c r="K322" s="2" t="s">
        <v>3896</v>
      </c>
      <c r="L322" s="2">
        <v>2025</v>
      </c>
      <c r="M322" s="2">
        <v>-651513</v>
      </c>
      <c r="N322" s="2">
        <f xml:space="preserve"> (Table1[[#This Row],[Variance (USD)]] / Table1[[#This Row],[Actual Spending (USD)]]) * 100</f>
        <v>-62.448467862445497</v>
      </c>
      <c r="O322" s="5" t="s">
        <v>3897</v>
      </c>
    </row>
    <row r="323" spans="1:15" x14ac:dyDescent="0.25">
      <c r="A323" s="4" t="s">
        <v>336</v>
      </c>
      <c r="B323" s="2" t="s">
        <v>3277</v>
      </c>
      <c r="C323" s="2" t="s">
        <v>3875</v>
      </c>
      <c r="D323" s="2" t="s">
        <v>3880</v>
      </c>
      <c r="E323" s="3">
        <v>45592</v>
      </c>
      <c r="F323" s="3">
        <v>45559</v>
      </c>
      <c r="G323" s="2" t="s">
        <v>3886</v>
      </c>
      <c r="H323" s="2">
        <v>723765</v>
      </c>
      <c r="I323" s="2">
        <v>299283</v>
      </c>
      <c r="J323" s="2" t="s">
        <v>3891</v>
      </c>
      <c r="K323" s="2" t="s">
        <v>3896</v>
      </c>
      <c r="L323" s="2">
        <v>2023</v>
      </c>
      <c r="M323" s="2">
        <v>424482</v>
      </c>
      <c r="N323" s="2">
        <f xml:space="preserve"> (Table1[[#This Row],[Variance (USD)]] / Table1[[#This Row],[Actual Spending (USD)]]) * 100</f>
        <v>141.83298082416977</v>
      </c>
      <c r="O323" s="5" t="s">
        <v>3899</v>
      </c>
    </row>
    <row r="324" spans="1:15" x14ac:dyDescent="0.25">
      <c r="A324" s="4" t="s">
        <v>337</v>
      </c>
      <c r="B324" s="2" t="s">
        <v>3208</v>
      </c>
      <c r="C324" s="2" t="s">
        <v>3868</v>
      </c>
      <c r="D324" s="2" t="s">
        <v>3878</v>
      </c>
      <c r="E324" s="3">
        <v>45281</v>
      </c>
      <c r="F324" s="3">
        <v>45696</v>
      </c>
      <c r="G324" s="2" t="s">
        <v>3884</v>
      </c>
      <c r="H324" s="2">
        <v>577109</v>
      </c>
      <c r="I324" s="2">
        <v>303370</v>
      </c>
      <c r="J324" s="2" t="s">
        <v>3889</v>
      </c>
      <c r="K324" s="2" t="s">
        <v>3895</v>
      </c>
      <c r="L324" s="2">
        <v>2024</v>
      </c>
      <c r="M324" s="2">
        <v>273739</v>
      </c>
      <c r="N324" s="2">
        <f xml:space="preserve"> (Table1[[#This Row],[Variance (USD)]] / Table1[[#This Row],[Actual Spending (USD)]]) * 100</f>
        <v>90.232719121864392</v>
      </c>
      <c r="O324" s="5" t="s">
        <v>3897</v>
      </c>
    </row>
    <row r="325" spans="1:15" x14ac:dyDescent="0.25">
      <c r="A325" s="4" t="s">
        <v>338</v>
      </c>
      <c r="B325" s="2" t="s">
        <v>3278</v>
      </c>
      <c r="C325" s="2" t="s">
        <v>3871</v>
      </c>
      <c r="D325" s="2" t="s">
        <v>3882</v>
      </c>
      <c r="E325" s="3">
        <v>45638</v>
      </c>
      <c r="F325" s="3">
        <v>45302</v>
      </c>
      <c r="G325" s="2" t="s">
        <v>3884</v>
      </c>
      <c r="H325" s="2">
        <v>367234</v>
      </c>
      <c r="I325" s="2">
        <v>503514</v>
      </c>
      <c r="J325" s="2" t="s">
        <v>3889</v>
      </c>
      <c r="K325" s="2" t="s">
        <v>3894</v>
      </c>
      <c r="L325" s="2">
        <v>2024</v>
      </c>
      <c r="M325" s="2">
        <v>-136280</v>
      </c>
      <c r="N325" s="2">
        <f xml:space="preserve"> (Table1[[#This Row],[Variance (USD)]] / Table1[[#This Row],[Actual Spending (USD)]]) * 100</f>
        <v>-27.065781686308622</v>
      </c>
      <c r="O325" s="5" t="s">
        <v>3897</v>
      </c>
    </row>
    <row r="326" spans="1:15" x14ac:dyDescent="0.25">
      <c r="A326" s="4" t="s">
        <v>339</v>
      </c>
      <c r="B326" s="2" t="s">
        <v>3279</v>
      </c>
      <c r="C326" s="2" t="s">
        <v>3874</v>
      </c>
      <c r="D326" s="2" t="s">
        <v>3880</v>
      </c>
      <c r="E326" s="3">
        <v>45234</v>
      </c>
      <c r="F326" s="3">
        <v>45611</v>
      </c>
      <c r="G326" s="2" t="s">
        <v>3884</v>
      </c>
      <c r="H326" s="2">
        <v>465732</v>
      </c>
      <c r="I326" s="2">
        <v>375796</v>
      </c>
      <c r="J326" s="2" t="s">
        <v>3889</v>
      </c>
      <c r="K326" s="2" t="s">
        <v>3895</v>
      </c>
      <c r="L326" s="2">
        <v>2025</v>
      </c>
      <c r="M326" s="2">
        <v>89936</v>
      </c>
      <c r="N326" s="2">
        <f xml:space="preserve"> (Table1[[#This Row],[Variance (USD)]] / Table1[[#This Row],[Actual Spending (USD)]]) * 100</f>
        <v>23.932133391520932</v>
      </c>
      <c r="O326" s="5" t="s">
        <v>3897</v>
      </c>
    </row>
    <row r="327" spans="1:15" x14ac:dyDescent="0.25">
      <c r="A327" s="4" t="s">
        <v>340</v>
      </c>
      <c r="B327" s="2" t="s">
        <v>3280</v>
      </c>
      <c r="C327" s="2" t="s">
        <v>3875</v>
      </c>
      <c r="D327" s="2" t="s">
        <v>3879</v>
      </c>
      <c r="E327" s="3">
        <v>45556</v>
      </c>
      <c r="F327" s="3">
        <v>46004</v>
      </c>
      <c r="G327" s="2" t="s">
        <v>3884</v>
      </c>
      <c r="H327" s="2">
        <v>977977</v>
      </c>
      <c r="I327" s="2">
        <v>1070062</v>
      </c>
      <c r="J327" s="2" t="s">
        <v>3890</v>
      </c>
      <c r="K327" s="2" t="s">
        <v>3895</v>
      </c>
      <c r="L327" s="2">
        <v>2025</v>
      </c>
      <c r="M327" s="2">
        <v>-92085</v>
      </c>
      <c r="N327" s="2">
        <f xml:space="preserve"> (Table1[[#This Row],[Variance (USD)]] / Table1[[#This Row],[Actual Spending (USD)]]) * 100</f>
        <v>-8.6055761254955314</v>
      </c>
      <c r="O327" s="5" t="s">
        <v>3897</v>
      </c>
    </row>
    <row r="328" spans="1:15" x14ac:dyDescent="0.25">
      <c r="A328" s="4" t="s">
        <v>341</v>
      </c>
      <c r="B328" s="2" t="s">
        <v>3281</v>
      </c>
      <c r="C328" s="2" t="s">
        <v>3874</v>
      </c>
      <c r="D328" s="2" t="s">
        <v>3882</v>
      </c>
      <c r="E328" s="3">
        <v>44972</v>
      </c>
      <c r="F328" s="3">
        <v>45417</v>
      </c>
      <c r="G328" s="2" t="s">
        <v>3886</v>
      </c>
      <c r="H328" s="2">
        <v>882886</v>
      </c>
      <c r="I328" s="2">
        <v>723468</v>
      </c>
      <c r="J328" s="2" t="s">
        <v>3888</v>
      </c>
      <c r="K328" s="2" t="s">
        <v>3894</v>
      </c>
      <c r="L328" s="2">
        <v>2024</v>
      </c>
      <c r="M328" s="2">
        <v>159418</v>
      </c>
      <c r="N328" s="2">
        <f xml:space="preserve"> (Table1[[#This Row],[Variance (USD)]] / Table1[[#This Row],[Actual Spending (USD)]]) * 100</f>
        <v>22.035252423051194</v>
      </c>
      <c r="O328" s="5" t="s">
        <v>3899</v>
      </c>
    </row>
    <row r="329" spans="1:15" x14ac:dyDescent="0.25">
      <c r="A329" s="4" t="s">
        <v>342</v>
      </c>
      <c r="B329" s="2" t="s">
        <v>3282</v>
      </c>
      <c r="C329" s="2" t="s">
        <v>3874</v>
      </c>
      <c r="D329" s="2" t="s">
        <v>3880</v>
      </c>
      <c r="E329" s="3">
        <v>45228</v>
      </c>
      <c r="F329" s="3">
        <v>45597</v>
      </c>
      <c r="G329" s="2" t="s">
        <v>3884</v>
      </c>
      <c r="H329" s="2">
        <v>223602</v>
      </c>
      <c r="I329" s="2">
        <v>624935</v>
      </c>
      <c r="J329" s="2" t="s">
        <v>3892</v>
      </c>
      <c r="K329" s="2" t="s">
        <v>3895</v>
      </c>
      <c r="L329" s="2">
        <v>2024</v>
      </c>
      <c r="M329" s="2">
        <v>-401333</v>
      </c>
      <c r="N329" s="2">
        <f xml:space="preserve"> (Table1[[#This Row],[Variance (USD)]] / Table1[[#This Row],[Actual Spending (USD)]]) * 100</f>
        <v>-64.219958875723066</v>
      </c>
      <c r="O329" s="5" t="s">
        <v>3897</v>
      </c>
    </row>
    <row r="330" spans="1:15" x14ac:dyDescent="0.25">
      <c r="A330" s="4" t="s">
        <v>343</v>
      </c>
      <c r="B330" s="2" t="s">
        <v>3124</v>
      </c>
      <c r="C330" s="2" t="s">
        <v>3873</v>
      </c>
      <c r="D330" s="2" t="s">
        <v>3877</v>
      </c>
      <c r="E330" s="3">
        <v>45334</v>
      </c>
      <c r="F330" s="3">
        <v>45993</v>
      </c>
      <c r="G330" s="2" t="s">
        <v>3886</v>
      </c>
      <c r="H330" s="2">
        <v>154273</v>
      </c>
      <c r="I330" s="2">
        <v>190887</v>
      </c>
      <c r="J330" s="2" t="s">
        <v>3889</v>
      </c>
      <c r="K330" s="2" t="s">
        <v>3896</v>
      </c>
      <c r="L330" s="2">
        <v>2023</v>
      </c>
      <c r="M330" s="2">
        <v>-36614</v>
      </c>
      <c r="N330" s="2">
        <f xml:space="preserve"> (Table1[[#This Row],[Variance (USD)]] / Table1[[#This Row],[Actual Spending (USD)]]) * 100</f>
        <v>-19.180981418326027</v>
      </c>
      <c r="O330" s="5" t="s">
        <v>3899</v>
      </c>
    </row>
    <row r="331" spans="1:15" x14ac:dyDescent="0.25">
      <c r="A331" s="4" t="s">
        <v>344</v>
      </c>
      <c r="B331" s="2" t="s">
        <v>3261</v>
      </c>
      <c r="C331" s="2" t="s">
        <v>3873</v>
      </c>
      <c r="D331" s="2" t="s">
        <v>3882</v>
      </c>
      <c r="E331" s="3">
        <v>45115</v>
      </c>
      <c r="F331" s="3">
        <v>45802</v>
      </c>
      <c r="G331" s="2" t="s">
        <v>3886</v>
      </c>
      <c r="H331" s="2">
        <v>306196</v>
      </c>
      <c r="I331" s="2">
        <v>727590</v>
      </c>
      <c r="J331" s="2" t="s">
        <v>3888</v>
      </c>
      <c r="K331" s="2" t="s">
        <v>3896</v>
      </c>
      <c r="L331" s="2">
        <v>2024</v>
      </c>
      <c r="M331" s="2">
        <v>-421394</v>
      </c>
      <c r="N331" s="2">
        <f xml:space="preserve"> (Table1[[#This Row],[Variance (USD)]] / Table1[[#This Row],[Actual Spending (USD)]]) * 100</f>
        <v>-57.916408966588328</v>
      </c>
      <c r="O331" s="5" t="s">
        <v>3899</v>
      </c>
    </row>
    <row r="332" spans="1:15" x14ac:dyDescent="0.25">
      <c r="A332" s="4" t="s">
        <v>345</v>
      </c>
      <c r="B332" s="2" t="s">
        <v>3080</v>
      </c>
      <c r="C332" s="2" t="s">
        <v>3875</v>
      </c>
      <c r="D332" s="2" t="s">
        <v>3882</v>
      </c>
      <c r="E332" s="3">
        <v>45055</v>
      </c>
      <c r="F332" s="3">
        <v>45380</v>
      </c>
      <c r="G332" s="2" t="s">
        <v>3886</v>
      </c>
      <c r="H332" s="2">
        <v>940904</v>
      </c>
      <c r="I332" s="2">
        <v>1069719</v>
      </c>
      <c r="J332" s="2" t="s">
        <v>3889</v>
      </c>
      <c r="K332" s="2" t="s">
        <v>3895</v>
      </c>
      <c r="L332" s="2">
        <v>2023</v>
      </c>
      <c r="M332" s="2">
        <v>-128815</v>
      </c>
      <c r="N332" s="2">
        <f xml:space="preserve"> (Table1[[#This Row],[Variance (USD)]] / Table1[[#This Row],[Actual Spending (USD)]]) * 100</f>
        <v>-12.041947464708022</v>
      </c>
      <c r="O332" s="5" t="s">
        <v>3899</v>
      </c>
    </row>
    <row r="333" spans="1:15" x14ac:dyDescent="0.25">
      <c r="A333" s="4" t="s">
        <v>346</v>
      </c>
      <c r="B333" s="2" t="s">
        <v>3283</v>
      </c>
      <c r="C333" s="2" t="s">
        <v>3868</v>
      </c>
      <c r="D333" s="2" t="s">
        <v>3881</v>
      </c>
      <c r="E333" s="3">
        <v>45487</v>
      </c>
      <c r="F333" s="3">
        <v>45646</v>
      </c>
      <c r="G333" s="2" t="s">
        <v>3884</v>
      </c>
      <c r="H333" s="2">
        <v>273626</v>
      </c>
      <c r="I333" s="2">
        <v>506665</v>
      </c>
      <c r="J333" s="2" t="s">
        <v>3892</v>
      </c>
      <c r="K333" s="2" t="s">
        <v>3896</v>
      </c>
      <c r="L333" s="2">
        <v>2024</v>
      </c>
      <c r="M333" s="2">
        <v>-233039</v>
      </c>
      <c r="N333" s="2">
        <f xml:space="preserve"> (Table1[[#This Row],[Variance (USD)]] / Table1[[#This Row],[Actual Spending (USD)]]) * 100</f>
        <v>-45.994690772009115</v>
      </c>
      <c r="O333" s="5" t="s">
        <v>3897</v>
      </c>
    </row>
    <row r="334" spans="1:15" x14ac:dyDescent="0.25">
      <c r="A334" s="4" t="s">
        <v>347</v>
      </c>
      <c r="B334" s="2" t="s">
        <v>3284</v>
      </c>
      <c r="C334" s="2" t="s">
        <v>3873</v>
      </c>
      <c r="D334" s="2" t="s">
        <v>3883</v>
      </c>
      <c r="E334" s="3">
        <v>45463</v>
      </c>
      <c r="F334" s="3">
        <v>45919</v>
      </c>
      <c r="G334" s="2" t="s">
        <v>3885</v>
      </c>
      <c r="H334" s="2">
        <v>260704</v>
      </c>
      <c r="I334" s="2">
        <v>431210</v>
      </c>
      <c r="J334" s="2" t="s">
        <v>3889</v>
      </c>
      <c r="K334" s="2" t="s">
        <v>3893</v>
      </c>
      <c r="L334" s="2">
        <v>2023</v>
      </c>
      <c r="M334" s="2">
        <v>-170506</v>
      </c>
      <c r="N334" s="2">
        <f xml:space="preserve"> (Table1[[#This Row],[Variance (USD)]] / Table1[[#This Row],[Actual Spending (USD)]]) * 100</f>
        <v>-39.541290786391784</v>
      </c>
      <c r="O334" s="5" t="s">
        <v>3898</v>
      </c>
    </row>
    <row r="335" spans="1:15" x14ac:dyDescent="0.25">
      <c r="A335" s="4" t="s">
        <v>348</v>
      </c>
      <c r="B335" s="2" t="s">
        <v>3285</v>
      </c>
      <c r="C335" s="2" t="s">
        <v>3869</v>
      </c>
      <c r="D335" s="2" t="s">
        <v>3881</v>
      </c>
      <c r="E335" s="3">
        <v>45192</v>
      </c>
      <c r="F335" s="3">
        <v>45643</v>
      </c>
      <c r="G335" s="2" t="s">
        <v>3884</v>
      </c>
      <c r="H335" s="2">
        <v>286579</v>
      </c>
      <c r="I335" s="2">
        <v>482282</v>
      </c>
      <c r="J335" s="2" t="s">
        <v>3888</v>
      </c>
      <c r="K335" s="2" t="s">
        <v>3895</v>
      </c>
      <c r="L335" s="2">
        <v>2024</v>
      </c>
      <c r="M335" s="2">
        <v>-195703</v>
      </c>
      <c r="N335" s="2">
        <f xml:space="preserve"> (Table1[[#This Row],[Variance (USD)]] / Table1[[#This Row],[Actual Spending (USD)]]) * 100</f>
        <v>-40.57854118544752</v>
      </c>
      <c r="O335" s="5" t="s">
        <v>3897</v>
      </c>
    </row>
    <row r="336" spans="1:15" x14ac:dyDescent="0.25">
      <c r="A336" s="4" t="s">
        <v>349</v>
      </c>
      <c r="B336" s="2" t="s">
        <v>3094</v>
      </c>
      <c r="C336" s="2" t="s">
        <v>3874</v>
      </c>
      <c r="D336" s="2" t="s">
        <v>3882</v>
      </c>
      <c r="E336" s="3">
        <v>45044</v>
      </c>
      <c r="F336" s="3">
        <v>45980</v>
      </c>
      <c r="G336" s="2" t="s">
        <v>3884</v>
      </c>
      <c r="H336" s="2">
        <v>992302</v>
      </c>
      <c r="I336" s="2">
        <v>784380</v>
      </c>
      <c r="J336" s="2" t="s">
        <v>3890</v>
      </c>
      <c r="K336" s="2" t="s">
        <v>3893</v>
      </c>
      <c r="L336" s="2">
        <v>2024</v>
      </c>
      <c r="M336" s="2">
        <v>207922</v>
      </c>
      <c r="N336" s="2">
        <f xml:space="preserve"> (Table1[[#This Row],[Variance (USD)]] / Table1[[#This Row],[Actual Spending (USD)]]) * 100</f>
        <v>26.507815089624927</v>
      </c>
      <c r="O336" s="5" t="s">
        <v>3897</v>
      </c>
    </row>
    <row r="337" spans="1:15" x14ac:dyDescent="0.25">
      <c r="A337" s="4" t="s">
        <v>350</v>
      </c>
      <c r="B337" s="2" t="s">
        <v>3286</v>
      </c>
      <c r="C337" s="2" t="s">
        <v>3872</v>
      </c>
      <c r="D337" s="2" t="s">
        <v>3883</v>
      </c>
      <c r="E337" s="3">
        <v>45390</v>
      </c>
      <c r="F337" s="3">
        <v>45305</v>
      </c>
      <c r="G337" s="2" t="s">
        <v>3884</v>
      </c>
      <c r="H337" s="2">
        <v>444079</v>
      </c>
      <c r="I337" s="2">
        <v>953733</v>
      </c>
      <c r="J337" s="2" t="s">
        <v>3892</v>
      </c>
      <c r="K337" s="2" t="s">
        <v>3895</v>
      </c>
      <c r="L337" s="2">
        <v>2023</v>
      </c>
      <c r="M337" s="2">
        <v>-509654</v>
      </c>
      <c r="N337" s="2">
        <f xml:space="preserve"> (Table1[[#This Row],[Variance (USD)]] / Table1[[#This Row],[Actual Spending (USD)]]) * 100</f>
        <v>-53.437807017267936</v>
      </c>
      <c r="O337" s="5" t="s">
        <v>3897</v>
      </c>
    </row>
    <row r="338" spans="1:15" x14ac:dyDescent="0.25">
      <c r="A338" s="4" t="s">
        <v>351</v>
      </c>
      <c r="B338" s="2" t="s">
        <v>3287</v>
      </c>
      <c r="C338" s="2" t="s">
        <v>3870</v>
      </c>
      <c r="D338" s="2" t="s">
        <v>3880</v>
      </c>
      <c r="E338" s="3">
        <v>45070</v>
      </c>
      <c r="F338" s="3">
        <v>45548</v>
      </c>
      <c r="G338" s="2" t="s">
        <v>3884</v>
      </c>
      <c r="H338" s="2">
        <v>590436</v>
      </c>
      <c r="I338" s="2">
        <v>777662</v>
      </c>
      <c r="J338" s="2" t="s">
        <v>3888</v>
      </c>
      <c r="K338" s="2" t="s">
        <v>3895</v>
      </c>
      <c r="L338" s="2">
        <v>2023</v>
      </c>
      <c r="M338" s="2">
        <v>-187226</v>
      </c>
      <c r="N338" s="2">
        <f xml:space="preserve"> (Table1[[#This Row],[Variance (USD)]] / Table1[[#This Row],[Actual Spending (USD)]]) * 100</f>
        <v>-24.075498095573657</v>
      </c>
      <c r="O338" s="5" t="s">
        <v>3897</v>
      </c>
    </row>
    <row r="339" spans="1:15" x14ac:dyDescent="0.25">
      <c r="A339" s="4" t="s">
        <v>352</v>
      </c>
      <c r="B339" s="2" t="s">
        <v>3288</v>
      </c>
      <c r="C339" s="2" t="s">
        <v>3875</v>
      </c>
      <c r="D339" s="2" t="s">
        <v>3878</v>
      </c>
      <c r="E339" s="3">
        <v>45368</v>
      </c>
      <c r="F339" s="3">
        <v>45500</v>
      </c>
      <c r="G339" s="2" t="s">
        <v>3884</v>
      </c>
      <c r="H339" s="2">
        <v>136545</v>
      </c>
      <c r="I339" s="2">
        <v>1160700</v>
      </c>
      <c r="J339" s="2" t="s">
        <v>3891</v>
      </c>
      <c r="K339" s="2" t="s">
        <v>3893</v>
      </c>
      <c r="L339" s="2">
        <v>2025</v>
      </c>
      <c r="M339" s="2">
        <v>-1024155</v>
      </c>
      <c r="N339" s="2">
        <f xml:space="preserve"> (Table1[[#This Row],[Variance (USD)]] / Table1[[#This Row],[Actual Spending (USD)]]) * 100</f>
        <v>-88.235978288963551</v>
      </c>
      <c r="O339" s="5" t="s">
        <v>3897</v>
      </c>
    </row>
    <row r="340" spans="1:15" x14ac:dyDescent="0.25">
      <c r="A340" s="4" t="s">
        <v>353</v>
      </c>
      <c r="B340" s="2" t="s">
        <v>3289</v>
      </c>
      <c r="C340" s="2" t="s">
        <v>3875</v>
      </c>
      <c r="D340" s="2" t="s">
        <v>3878</v>
      </c>
      <c r="E340" s="3">
        <v>45126</v>
      </c>
      <c r="F340" s="3">
        <v>45572</v>
      </c>
      <c r="G340" s="2" t="s">
        <v>3886</v>
      </c>
      <c r="H340" s="2">
        <v>104459</v>
      </c>
      <c r="I340" s="2">
        <v>511920</v>
      </c>
      <c r="J340" s="2" t="s">
        <v>3891</v>
      </c>
      <c r="K340" s="2" t="s">
        <v>3895</v>
      </c>
      <c r="L340" s="2">
        <v>2025</v>
      </c>
      <c r="M340" s="2">
        <v>-407461</v>
      </c>
      <c r="N340" s="2">
        <f xml:space="preserve"> (Table1[[#This Row],[Variance (USD)]] / Table1[[#This Row],[Actual Spending (USD)]]) * 100</f>
        <v>-79.594663228629472</v>
      </c>
      <c r="O340" s="5" t="s">
        <v>3899</v>
      </c>
    </row>
    <row r="341" spans="1:15" x14ac:dyDescent="0.25">
      <c r="A341" s="4" t="s">
        <v>354</v>
      </c>
      <c r="B341" s="2" t="s">
        <v>3290</v>
      </c>
      <c r="C341" s="2" t="s">
        <v>3873</v>
      </c>
      <c r="D341" s="2" t="s">
        <v>3882</v>
      </c>
      <c r="E341" s="3">
        <v>45083</v>
      </c>
      <c r="F341" s="3">
        <v>45734</v>
      </c>
      <c r="G341" s="2" t="s">
        <v>3884</v>
      </c>
      <c r="H341" s="2">
        <v>788705</v>
      </c>
      <c r="I341" s="2">
        <v>730149</v>
      </c>
      <c r="J341" s="2" t="s">
        <v>3891</v>
      </c>
      <c r="K341" s="2" t="s">
        <v>3896</v>
      </c>
      <c r="L341" s="2">
        <v>2024</v>
      </c>
      <c r="M341" s="2">
        <v>58556</v>
      </c>
      <c r="N341" s="2">
        <f xml:space="preserve"> (Table1[[#This Row],[Variance (USD)]] / Table1[[#This Row],[Actual Spending (USD)]]) * 100</f>
        <v>8.019732958615295</v>
      </c>
      <c r="O341" s="5" t="s">
        <v>3897</v>
      </c>
    </row>
    <row r="342" spans="1:15" x14ac:dyDescent="0.25">
      <c r="A342" s="4" t="s">
        <v>355</v>
      </c>
      <c r="B342" s="2" t="s">
        <v>3291</v>
      </c>
      <c r="C342" s="2" t="s">
        <v>3868</v>
      </c>
      <c r="D342" s="2" t="s">
        <v>3877</v>
      </c>
      <c r="E342" s="3">
        <v>45413</v>
      </c>
      <c r="F342" s="3">
        <v>45680</v>
      </c>
      <c r="G342" s="2" t="s">
        <v>3884</v>
      </c>
      <c r="H342" s="2">
        <v>920656</v>
      </c>
      <c r="I342" s="2">
        <v>787758</v>
      </c>
      <c r="J342" s="2" t="s">
        <v>3890</v>
      </c>
      <c r="K342" s="2" t="s">
        <v>3893</v>
      </c>
      <c r="L342" s="2">
        <v>2024</v>
      </c>
      <c r="M342" s="2">
        <v>132898</v>
      </c>
      <c r="N342" s="2">
        <f xml:space="preserve"> (Table1[[#This Row],[Variance (USD)]] / Table1[[#This Row],[Actual Spending (USD)]]) * 100</f>
        <v>16.87040944046268</v>
      </c>
      <c r="O342" s="5" t="s">
        <v>3897</v>
      </c>
    </row>
    <row r="343" spans="1:15" x14ac:dyDescent="0.25">
      <c r="A343" s="4" t="s">
        <v>356</v>
      </c>
      <c r="B343" s="2" t="s">
        <v>3195</v>
      </c>
      <c r="C343" s="2" t="s">
        <v>3874</v>
      </c>
      <c r="D343" s="2" t="s">
        <v>3879</v>
      </c>
      <c r="E343" s="3">
        <v>45060</v>
      </c>
      <c r="F343" s="3">
        <v>45908</v>
      </c>
      <c r="G343" s="2" t="s">
        <v>3886</v>
      </c>
      <c r="H343" s="2">
        <v>378333</v>
      </c>
      <c r="I343" s="2">
        <v>957028</v>
      </c>
      <c r="J343" s="2" t="s">
        <v>3889</v>
      </c>
      <c r="K343" s="2" t="s">
        <v>3895</v>
      </c>
      <c r="L343" s="2">
        <v>2023</v>
      </c>
      <c r="M343" s="2">
        <v>-578695</v>
      </c>
      <c r="N343" s="2">
        <f xml:space="preserve"> (Table1[[#This Row],[Variance (USD)]] / Table1[[#This Row],[Actual Spending (USD)]]) * 100</f>
        <v>-60.467927793126222</v>
      </c>
      <c r="O343" s="5" t="s">
        <v>3899</v>
      </c>
    </row>
    <row r="344" spans="1:15" x14ac:dyDescent="0.25">
      <c r="A344" s="4" t="s">
        <v>357</v>
      </c>
      <c r="B344" s="2" t="s">
        <v>3292</v>
      </c>
      <c r="C344" s="2" t="s">
        <v>3869</v>
      </c>
      <c r="D344" s="2" t="s">
        <v>3880</v>
      </c>
      <c r="E344" s="3">
        <v>45074</v>
      </c>
      <c r="F344" s="3">
        <v>45774</v>
      </c>
      <c r="G344" s="2" t="s">
        <v>3884</v>
      </c>
      <c r="H344" s="2">
        <v>567255</v>
      </c>
      <c r="I344" s="2">
        <v>118074</v>
      </c>
      <c r="J344" s="2" t="s">
        <v>3889</v>
      </c>
      <c r="K344" s="2" t="s">
        <v>3896</v>
      </c>
      <c r="L344" s="2">
        <v>2024</v>
      </c>
      <c r="M344" s="2">
        <v>449181</v>
      </c>
      <c r="N344" s="2">
        <f xml:space="preserve"> (Table1[[#This Row],[Variance (USD)]] / Table1[[#This Row],[Actual Spending (USD)]]) * 100</f>
        <v>380.42329386655825</v>
      </c>
      <c r="O344" s="5" t="s">
        <v>3897</v>
      </c>
    </row>
    <row r="345" spans="1:15" x14ac:dyDescent="0.25">
      <c r="A345" s="4" t="s">
        <v>358</v>
      </c>
      <c r="B345" s="2" t="s">
        <v>3228</v>
      </c>
      <c r="C345" s="2" t="s">
        <v>3868</v>
      </c>
      <c r="D345" s="2" t="s">
        <v>3883</v>
      </c>
      <c r="E345" s="3">
        <v>45262</v>
      </c>
      <c r="F345" s="3">
        <v>45438</v>
      </c>
      <c r="G345" s="2" t="s">
        <v>3884</v>
      </c>
      <c r="H345" s="2">
        <v>451345</v>
      </c>
      <c r="I345" s="2">
        <v>1186921</v>
      </c>
      <c r="J345" s="2" t="s">
        <v>3889</v>
      </c>
      <c r="K345" s="2" t="s">
        <v>3893</v>
      </c>
      <c r="L345" s="2">
        <v>2025</v>
      </c>
      <c r="M345" s="2">
        <v>-735576</v>
      </c>
      <c r="N345" s="2">
        <f xml:space="preserve"> (Table1[[#This Row],[Variance (USD)]] / Table1[[#This Row],[Actual Spending (USD)]]) * 100</f>
        <v>-61.973459059196024</v>
      </c>
      <c r="O345" s="5" t="s">
        <v>3897</v>
      </c>
    </row>
    <row r="346" spans="1:15" x14ac:dyDescent="0.25">
      <c r="A346" s="4" t="s">
        <v>359</v>
      </c>
      <c r="B346" s="2" t="s">
        <v>3162</v>
      </c>
      <c r="C346" s="2" t="s">
        <v>3871</v>
      </c>
      <c r="D346" s="2" t="s">
        <v>3882</v>
      </c>
      <c r="E346" s="3">
        <v>44997</v>
      </c>
      <c r="F346" s="3">
        <v>45570</v>
      </c>
      <c r="G346" s="2" t="s">
        <v>3884</v>
      </c>
      <c r="H346" s="2">
        <v>141954</v>
      </c>
      <c r="I346" s="2">
        <v>955607</v>
      </c>
      <c r="J346" s="2" t="s">
        <v>3890</v>
      </c>
      <c r="K346" s="2" t="s">
        <v>3893</v>
      </c>
      <c r="L346" s="2">
        <v>2023</v>
      </c>
      <c r="M346" s="2">
        <v>-813653</v>
      </c>
      <c r="N346" s="2">
        <f xml:space="preserve"> (Table1[[#This Row],[Variance (USD)]] / Table1[[#This Row],[Actual Spending (USD)]]) * 100</f>
        <v>-85.145148580954299</v>
      </c>
      <c r="O346" s="5" t="s">
        <v>3897</v>
      </c>
    </row>
    <row r="347" spans="1:15" x14ac:dyDescent="0.25">
      <c r="A347" s="4" t="s">
        <v>360</v>
      </c>
      <c r="B347" s="2" t="s">
        <v>3293</v>
      </c>
      <c r="C347" s="2" t="s">
        <v>3871</v>
      </c>
      <c r="D347" s="2" t="s">
        <v>3880</v>
      </c>
      <c r="E347" s="3">
        <v>45159</v>
      </c>
      <c r="F347" s="3">
        <v>45812</v>
      </c>
      <c r="G347" s="2" t="s">
        <v>3886</v>
      </c>
      <c r="H347" s="2">
        <v>859550</v>
      </c>
      <c r="I347" s="2">
        <v>1132779</v>
      </c>
      <c r="J347" s="2" t="s">
        <v>3891</v>
      </c>
      <c r="K347" s="2" t="s">
        <v>3896</v>
      </c>
      <c r="L347" s="2">
        <v>2024</v>
      </c>
      <c r="M347" s="2">
        <v>-273229</v>
      </c>
      <c r="N347" s="2">
        <f xml:space="preserve"> (Table1[[#This Row],[Variance (USD)]] / Table1[[#This Row],[Actual Spending (USD)]]) * 100</f>
        <v>-24.120238810924285</v>
      </c>
      <c r="O347" s="5" t="s">
        <v>3899</v>
      </c>
    </row>
    <row r="348" spans="1:15" x14ac:dyDescent="0.25">
      <c r="A348" s="4" t="s">
        <v>361</v>
      </c>
      <c r="B348" s="2" t="s">
        <v>3109</v>
      </c>
      <c r="C348" s="2" t="s">
        <v>3872</v>
      </c>
      <c r="D348" s="2" t="s">
        <v>3882</v>
      </c>
      <c r="E348" s="3">
        <v>45260</v>
      </c>
      <c r="F348" s="3">
        <v>45921</v>
      </c>
      <c r="G348" s="2" t="s">
        <v>3884</v>
      </c>
      <c r="H348" s="2">
        <v>705803</v>
      </c>
      <c r="I348" s="2">
        <v>408884</v>
      </c>
      <c r="J348" s="2" t="s">
        <v>3889</v>
      </c>
      <c r="K348" s="2" t="s">
        <v>3895</v>
      </c>
      <c r="L348" s="2">
        <v>2023</v>
      </c>
      <c r="M348" s="2">
        <v>296919</v>
      </c>
      <c r="N348" s="2">
        <f xml:space="preserve"> (Table1[[#This Row],[Variance (USD)]] / Table1[[#This Row],[Actual Spending (USD)]]) * 100</f>
        <v>72.616928028487294</v>
      </c>
      <c r="O348" s="5" t="s">
        <v>3897</v>
      </c>
    </row>
    <row r="349" spans="1:15" x14ac:dyDescent="0.25">
      <c r="A349" s="4" t="s">
        <v>362</v>
      </c>
      <c r="B349" s="2" t="s">
        <v>3294</v>
      </c>
      <c r="C349" s="2" t="s">
        <v>3873</v>
      </c>
      <c r="D349" s="2" t="s">
        <v>3877</v>
      </c>
      <c r="E349" s="3">
        <v>45592</v>
      </c>
      <c r="F349" s="3">
        <v>45897</v>
      </c>
      <c r="G349" s="2" t="s">
        <v>3884</v>
      </c>
      <c r="H349" s="2">
        <v>994545</v>
      </c>
      <c r="I349" s="2">
        <v>152217</v>
      </c>
      <c r="J349" s="2" t="s">
        <v>3890</v>
      </c>
      <c r="K349" s="2" t="s">
        <v>3895</v>
      </c>
      <c r="L349" s="2">
        <v>2025</v>
      </c>
      <c r="M349" s="2">
        <v>842328</v>
      </c>
      <c r="N349" s="2">
        <f xml:space="preserve"> (Table1[[#This Row],[Variance (USD)]] / Table1[[#This Row],[Actual Spending (USD)]]) * 100</f>
        <v>553.37314491811037</v>
      </c>
      <c r="O349" s="5" t="s">
        <v>3897</v>
      </c>
    </row>
    <row r="350" spans="1:15" x14ac:dyDescent="0.25">
      <c r="A350" s="4" t="s">
        <v>363</v>
      </c>
      <c r="B350" s="2" t="s">
        <v>3034</v>
      </c>
      <c r="C350" s="2" t="s">
        <v>3873</v>
      </c>
      <c r="D350" s="2" t="s">
        <v>3876</v>
      </c>
      <c r="E350" s="3">
        <v>45016</v>
      </c>
      <c r="F350" s="3">
        <v>45725</v>
      </c>
      <c r="G350" s="2" t="s">
        <v>3884</v>
      </c>
      <c r="H350" s="2">
        <v>663667</v>
      </c>
      <c r="I350" s="2">
        <v>176101</v>
      </c>
      <c r="J350" s="2" t="s">
        <v>3890</v>
      </c>
      <c r="K350" s="2" t="s">
        <v>3893</v>
      </c>
      <c r="L350" s="2">
        <v>2025</v>
      </c>
      <c r="M350" s="2">
        <v>487566</v>
      </c>
      <c r="N350" s="2">
        <f xml:space="preserve"> (Table1[[#This Row],[Variance (USD)]] / Table1[[#This Row],[Actual Spending (USD)]]) * 100</f>
        <v>276.86725231543261</v>
      </c>
      <c r="O350" s="5" t="s">
        <v>3897</v>
      </c>
    </row>
    <row r="351" spans="1:15" x14ac:dyDescent="0.25">
      <c r="A351" s="4" t="s">
        <v>364</v>
      </c>
      <c r="B351" s="2" t="s">
        <v>3295</v>
      </c>
      <c r="C351" s="2" t="s">
        <v>3873</v>
      </c>
      <c r="D351" s="2" t="s">
        <v>3876</v>
      </c>
      <c r="E351" s="3">
        <v>45260</v>
      </c>
      <c r="F351" s="3">
        <v>45435</v>
      </c>
      <c r="G351" s="2" t="s">
        <v>3886</v>
      </c>
      <c r="H351" s="2">
        <v>333197</v>
      </c>
      <c r="I351" s="2">
        <v>781727</v>
      </c>
      <c r="J351" s="2" t="s">
        <v>3888</v>
      </c>
      <c r="K351" s="2" t="s">
        <v>3894</v>
      </c>
      <c r="L351" s="2">
        <v>2025</v>
      </c>
      <c r="M351" s="2">
        <v>-448530</v>
      </c>
      <c r="N351" s="2">
        <f xml:space="preserve"> (Table1[[#This Row],[Variance (USD)]] / Table1[[#This Row],[Actual Spending (USD)]]) * 100</f>
        <v>-57.376808016097691</v>
      </c>
      <c r="O351" s="5" t="s">
        <v>3899</v>
      </c>
    </row>
    <row r="352" spans="1:15" x14ac:dyDescent="0.25">
      <c r="A352" s="4" t="s">
        <v>365</v>
      </c>
      <c r="B352" s="2" t="s">
        <v>3296</v>
      </c>
      <c r="C352" s="2" t="s">
        <v>3872</v>
      </c>
      <c r="D352" s="2" t="s">
        <v>3877</v>
      </c>
      <c r="E352" s="3">
        <v>45125</v>
      </c>
      <c r="F352" s="3">
        <v>45580</v>
      </c>
      <c r="G352" s="2" t="s">
        <v>3886</v>
      </c>
      <c r="H352" s="2">
        <v>932816</v>
      </c>
      <c r="I352" s="2">
        <v>119067</v>
      </c>
      <c r="J352" s="2" t="s">
        <v>3889</v>
      </c>
      <c r="K352" s="2" t="s">
        <v>3895</v>
      </c>
      <c r="L352" s="2">
        <v>2024</v>
      </c>
      <c r="M352" s="2">
        <v>813749</v>
      </c>
      <c r="N352" s="2">
        <f xml:space="preserve"> (Table1[[#This Row],[Variance (USD)]] / Table1[[#This Row],[Actual Spending (USD)]]) * 100</f>
        <v>683.43789631048071</v>
      </c>
      <c r="O352" s="5" t="s">
        <v>3899</v>
      </c>
    </row>
    <row r="353" spans="1:15" x14ac:dyDescent="0.25">
      <c r="A353" s="4" t="s">
        <v>366</v>
      </c>
      <c r="B353" s="2" t="s">
        <v>3297</v>
      </c>
      <c r="C353" s="2" t="s">
        <v>3871</v>
      </c>
      <c r="D353" s="2" t="s">
        <v>3883</v>
      </c>
      <c r="E353" s="3">
        <v>45087</v>
      </c>
      <c r="F353" s="3">
        <v>45677</v>
      </c>
      <c r="G353" s="2" t="s">
        <v>3885</v>
      </c>
      <c r="H353" s="2">
        <v>546626</v>
      </c>
      <c r="I353" s="2">
        <v>83520</v>
      </c>
      <c r="J353" s="2" t="s">
        <v>3891</v>
      </c>
      <c r="K353" s="2" t="s">
        <v>3895</v>
      </c>
      <c r="L353" s="2">
        <v>2024</v>
      </c>
      <c r="M353" s="2">
        <v>463106</v>
      </c>
      <c r="N353" s="2">
        <f xml:space="preserve"> (Table1[[#This Row],[Variance (USD)]] / Table1[[#This Row],[Actual Spending (USD)]]) * 100</f>
        <v>554.48515325670496</v>
      </c>
      <c r="O353" s="5" t="s">
        <v>3898</v>
      </c>
    </row>
    <row r="354" spans="1:15" x14ac:dyDescent="0.25">
      <c r="A354" s="4" t="s">
        <v>367</v>
      </c>
      <c r="B354" s="2" t="s">
        <v>3298</v>
      </c>
      <c r="C354" s="2" t="s">
        <v>3868</v>
      </c>
      <c r="D354" s="2" t="s">
        <v>3881</v>
      </c>
      <c r="E354" s="3">
        <v>45464</v>
      </c>
      <c r="F354" s="3">
        <v>45305</v>
      </c>
      <c r="G354" s="2" t="s">
        <v>3884</v>
      </c>
      <c r="H354" s="2">
        <v>218276</v>
      </c>
      <c r="I354" s="2">
        <v>1148629</v>
      </c>
      <c r="J354" s="2" t="s">
        <v>3892</v>
      </c>
      <c r="K354" s="2" t="s">
        <v>3896</v>
      </c>
      <c r="L354" s="2">
        <v>2024</v>
      </c>
      <c r="M354" s="2">
        <v>-930353</v>
      </c>
      <c r="N354" s="2">
        <f xml:space="preserve"> (Table1[[#This Row],[Variance (USD)]] / Table1[[#This Row],[Actual Spending (USD)]]) * 100</f>
        <v>-80.996823169186911</v>
      </c>
      <c r="O354" s="5" t="s">
        <v>3897</v>
      </c>
    </row>
    <row r="355" spans="1:15" x14ac:dyDescent="0.25">
      <c r="A355" s="4" t="s">
        <v>368</v>
      </c>
      <c r="B355" s="2" t="s">
        <v>3299</v>
      </c>
      <c r="C355" s="2" t="s">
        <v>3872</v>
      </c>
      <c r="D355" s="2" t="s">
        <v>3877</v>
      </c>
      <c r="E355" s="3">
        <v>45047</v>
      </c>
      <c r="F355" s="3">
        <v>45548</v>
      </c>
      <c r="G355" s="2" t="s">
        <v>3884</v>
      </c>
      <c r="H355" s="2">
        <v>953977</v>
      </c>
      <c r="I355" s="2">
        <v>81464</v>
      </c>
      <c r="J355" s="2" t="s">
        <v>3890</v>
      </c>
      <c r="K355" s="2" t="s">
        <v>3894</v>
      </c>
      <c r="L355" s="2">
        <v>2024</v>
      </c>
      <c r="M355" s="2">
        <v>872513</v>
      </c>
      <c r="N355" s="2">
        <f xml:space="preserve"> (Table1[[#This Row],[Variance (USD)]] / Table1[[#This Row],[Actual Spending (USD)]]) * 100</f>
        <v>1071.0411961111656</v>
      </c>
      <c r="O355" s="5" t="s">
        <v>3897</v>
      </c>
    </row>
    <row r="356" spans="1:15" x14ac:dyDescent="0.25">
      <c r="A356" s="4" t="s">
        <v>369</v>
      </c>
      <c r="B356" s="2" t="s">
        <v>3214</v>
      </c>
      <c r="C356" s="2" t="s">
        <v>3872</v>
      </c>
      <c r="D356" s="2" t="s">
        <v>3882</v>
      </c>
      <c r="E356" s="3">
        <v>45227</v>
      </c>
      <c r="F356" s="3">
        <v>45637</v>
      </c>
      <c r="G356" s="2" t="s">
        <v>3884</v>
      </c>
      <c r="H356" s="2">
        <v>747600</v>
      </c>
      <c r="I356" s="2">
        <v>183033</v>
      </c>
      <c r="J356" s="2" t="s">
        <v>3888</v>
      </c>
      <c r="K356" s="2" t="s">
        <v>3894</v>
      </c>
      <c r="L356" s="2">
        <v>2024</v>
      </c>
      <c r="M356" s="2">
        <v>564567</v>
      </c>
      <c r="N356" s="2">
        <f xml:space="preserve"> (Table1[[#This Row],[Variance (USD)]] / Table1[[#This Row],[Actual Spending (USD)]]) * 100</f>
        <v>308.45093507728114</v>
      </c>
      <c r="O356" s="5" t="s">
        <v>3897</v>
      </c>
    </row>
    <row r="357" spans="1:15" x14ac:dyDescent="0.25">
      <c r="A357" s="4" t="s">
        <v>370</v>
      </c>
      <c r="B357" s="2" t="s">
        <v>3300</v>
      </c>
      <c r="C357" s="2" t="s">
        <v>3868</v>
      </c>
      <c r="D357" s="2" t="s">
        <v>3883</v>
      </c>
      <c r="E357" s="3">
        <v>45650</v>
      </c>
      <c r="F357" s="3">
        <v>45989</v>
      </c>
      <c r="G357" s="2" t="s">
        <v>3884</v>
      </c>
      <c r="H357" s="2">
        <v>282415</v>
      </c>
      <c r="I357" s="2">
        <v>974339</v>
      </c>
      <c r="J357" s="2" t="s">
        <v>3892</v>
      </c>
      <c r="K357" s="2" t="s">
        <v>3893</v>
      </c>
      <c r="L357" s="2">
        <v>2024</v>
      </c>
      <c r="M357" s="2">
        <v>-691924</v>
      </c>
      <c r="N357" s="2">
        <f xml:space="preserve"> (Table1[[#This Row],[Variance (USD)]] / Table1[[#This Row],[Actual Spending (USD)]]) * 100</f>
        <v>-71.014708433101831</v>
      </c>
      <c r="O357" s="5" t="s">
        <v>3897</v>
      </c>
    </row>
    <row r="358" spans="1:15" x14ac:dyDescent="0.25">
      <c r="A358" s="4" t="s">
        <v>371</v>
      </c>
      <c r="B358" s="2" t="s">
        <v>3238</v>
      </c>
      <c r="C358" s="2" t="s">
        <v>3873</v>
      </c>
      <c r="D358" s="2" t="s">
        <v>3878</v>
      </c>
      <c r="E358" s="3">
        <v>45501</v>
      </c>
      <c r="F358" s="3">
        <v>45636</v>
      </c>
      <c r="G358" s="2" t="s">
        <v>3884</v>
      </c>
      <c r="H358" s="2">
        <v>963107</v>
      </c>
      <c r="I358" s="2">
        <v>975229</v>
      </c>
      <c r="J358" s="2" t="s">
        <v>3890</v>
      </c>
      <c r="K358" s="2" t="s">
        <v>3896</v>
      </c>
      <c r="L358" s="2">
        <v>2025</v>
      </c>
      <c r="M358" s="2">
        <v>-12122</v>
      </c>
      <c r="N358" s="2">
        <f xml:space="preserve"> (Table1[[#This Row],[Variance (USD)]] / Table1[[#This Row],[Actual Spending (USD)]]) * 100</f>
        <v>-1.2429901079643857</v>
      </c>
      <c r="O358" s="5" t="s">
        <v>3897</v>
      </c>
    </row>
    <row r="359" spans="1:15" x14ac:dyDescent="0.25">
      <c r="A359" s="4" t="s">
        <v>372</v>
      </c>
      <c r="B359" s="2" t="s">
        <v>3301</v>
      </c>
      <c r="C359" s="2" t="s">
        <v>3869</v>
      </c>
      <c r="D359" s="2" t="s">
        <v>3877</v>
      </c>
      <c r="E359" s="3">
        <v>45362</v>
      </c>
      <c r="F359" s="3">
        <v>45691</v>
      </c>
      <c r="G359" s="2" t="s">
        <v>3884</v>
      </c>
      <c r="H359" s="2">
        <v>405893</v>
      </c>
      <c r="I359" s="2">
        <v>841789</v>
      </c>
      <c r="J359" s="2" t="s">
        <v>3888</v>
      </c>
      <c r="K359" s="2" t="s">
        <v>3896</v>
      </c>
      <c r="L359" s="2">
        <v>2025</v>
      </c>
      <c r="M359" s="2">
        <v>-435896</v>
      </c>
      <c r="N359" s="2">
        <f xml:space="preserve"> (Table1[[#This Row],[Variance (USD)]] / Table1[[#This Row],[Actual Spending (USD)]]) * 100</f>
        <v>-51.782097413960024</v>
      </c>
      <c r="O359" s="5" t="s">
        <v>3897</v>
      </c>
    </row>
    <row r="360" spans="1:15" x14ac:dyDescent="0.25">
      <c r="A360" s="4" t="s">
        <v>373</v>
      </c>
      <c r="B360" s="2" t="s">
        <v>3302</v>
      </c>
      <c r="C360" s="2" t="s">
        <v>3868</v>
      </c>
      <c r="D360" s="2" t="s">
        <v>3883</v>
      </c>
      <c r="E360" s="3">
        <v>44994</v>
      </c>
      <c r="F360" s="3">
        <v>45498</v>
      </c>
      <c r="G360" s="2" t="s">
        <v>3884</v>
      </c>
      <c r="H360" s="2">
        <v>504318</v>
      </c>
      <c r="I360" s="2">
        <v>1056713</v>
      </c>
      <c r="J360" s="2" t="s">
        <v>3889</v>
      </c>
      <c r="K360" s="2" t="s">
        <v>3895</v>
      </c>
      <c r="L360" s="2">
        <v>2024</v>
      </c>
      <c r="M360" s="2">
        <v>-552395</v>
      </c>
      <c r="N360" s="2">
        <f xml:space="preserve"> (Table1[[#This Row],[Variance (USD)]] / Table1[[#This Row],[Actual Spending (USD)]]) * 100</f>
        <v>-52.274837160137146</v>
      </c>
      <c r="O360" s="5" t="s">
        <v>3897</v>
      </c>
    </row>
    <row r="361" spans="1:15" x14ac:dyDescent="0.25">
      <c r="A361" s="4" t="s">
        <v>374</v>
      </c>
      <c r="B361" s="2" t="s">
        <v>3303</v>
      </c>
      <c r="C361" s="2" t="s">
        <v>3871</v>
      </c>
      <c r="D361" s="2" t="s">
        <v>3877</v>
      </c>
      <c r="E361" s="3">
        <v>45385</v>
      </c>
      <c r="F361" s="3">
        <v>45463</v>
      </c>
      <c r="G361" s="2" t="s">
        <v>3886</v>
      </c>
      <c r="H361" s="2">
        <v>189363</v>
      </c>
      <c r="I361" s="2">
        <v>162316</v>
      </c>
      <c r="J361" s="2" t="s">
        <v>3888</v>
      </c>
      <c r="K361" s="2" t="s">
        <v>3893</v>
      </c>
      <c r="L361" s="2">
        <v>2025</v>
      </c>
      <c r="M361" s="2">
        <v>27047</v>
      </c>
      <c r="N361" s="2">
        <f xml:space="preserve"> (Table1[[#This Row],[Variance (USD)]] / Table1[[#This Row],[Actual Spending (USD)]]) * 100</f>
        <v>16.663175534143278</v>
      </c>
      <c r="O361" s="5" t="s">
        <v>3899</v>
      </c>
    </row>
    <row r="362" spans="1:15" x14ac:dyDescent="0.25">
      <c r="A362" s="4" t="s">
        <v>375</v>
      </c>
      <c r="B362" s="2" t="s">
        <v>3304</v>
      </c>
      <c r="C362" s="2" t="s">
        <v>3875</v>
      </c>
      <c r="D362" s="2" t="s">
        <v>3877</v>
      </c>
      <c r="E362" s="3">
        <v>45440</v>
      </c>
      <c r="F362" s="3">
        <v>45755</v>
      </c>
      <c r="G362" s="2" t="s">
        <v>3884</v>
      </c>
      <c r="H362" s="2">
        <v>813942</v>
      </c>
      <c r="I362" s="2">
        <v>97952</v>
      </c>
      <c r="J362" s="2" t="s">
        <v>3890</v>
      </c>
      <c r="K362" s="2" t="s">
        <v>3895</v>
      </c>
      <c r="L362" s="2">
        <v>2023</v>
      </c>
      <c r="M362" s="2">
        <v>715990</v>
      </c>
      <c r="N362" s="2">
        <f xml:space="preserve"> (Table1[[#This Row],[Variance (USD)]] / Table1[[#This Row],[Actual Spending (USD)]]) * 100</f>
        <v>730.96006207121854</v>
      </c>
      <c r="O362" s="5" t="s">
        <v>3897</v>
      </c>
    </row>
    <row r="363" spans="1:15" x14ac:dyDescent="0.25">
      <c r="A363" s="4" t="s">
        <v>376</v>
      </c>
      <c r="B363" s="2" t="s">
        <v>3288</v>
      </c>
      <c r="C363" s="2" t="s">
        <v>3874</v>
      </c>
      <c r="D363" s="2" t="s">
        <v>3881</v>
      </c>
      <c r="E363" s="3">
        <v>45324</v>
      </c>
      <c r="F363" s="3">
        <v>45561</v>
      </c>
      <c r="G363" s="2" t="s">
        <v>3886</v>
      </c>
      <c r="H363" s="2">
        <v>328429</v>
      </c>
      <c r="I363" s="2">
        <v>1126637</v>
      </c>
      <c r="J363" s="2" t="s">
        <v>3889</v>
      </c>
      <c r="K363" s="2" t="s">
        <v>3894</v>
      </c>
      <c r="L363" s="2">
        <v>2024</v>
      </c>
      <c r="M363" s="2">
        <v>-798208</v>
      </c>
      <c r="N363" s="2">
        <f xml:space="preserve"> (Table1[[#This Row],[Variance (USD)]] / Table1[[#This Row],[Actual Spending (USD)]]) * 100</f>
        <v>-70.848729448793179</v>
      </c>
      <c r="O363" s="5" t="s">
        <v>3899</v>
      </c>
    </row>
    <row r="364" spans="1:15" x14ac:dyDescent="0.25">
      <c r="A364" s="4" t="s">
        <v>377</v>
      </c>
      <c r="B364" s="2" t="s">
        <v>3305</v>
      </c>
      <c r="C364" s="2" t="s">
        <v>3875</v>
      </c>
      <c r="D364" s="2" t="s">
        <v>3881</v>
      </c>
      <c r="E364" s="3">
        <v>45546</v>
      </c>
      <c r="F364" s="3">
        <v>45512</v>
      </c>
      <c r="G364" s="2" t="s">
        <v>3884</v>
      </c>
      <c r="H364" s="2">
        <v>373733</v>
      </c>
      <c r="I364" s="2">
        <v>822922</v>
      </c>
      <c r="J364" s="2" t="s">
        <v>3891</v>
      </c>
      <c r="K364" s="2" t="s">
        <v>3896</v>
      </c>
      <c r="L364" s="2">
        <v>2023</v>
      </c>
      <c r="M364" s="2">
        <v>-449189</v>
      </c>
      <c r="N364" s="2">
        <f xml:space="preserve"> (Table1[[#This Row],[Variance (USD)]] / Table1[[#This Row],[Actual Spending (USD)]]) * 100</f>
        <v>-54.584638641329306</v>
      </c>
      <c r="O364" s="5" t="s">
        <v>3897</v>
      </c>
    </row>
    <row r="365" spans="1:15" x14ac:dyDescent="0.25">
      <c r="A365" s="4" t="s">
        <v>378</v>
      </c>
      <c r="B365" s="2" t="s">
        <v>3306</v>
      </c>
      <c r="C365" s="2" t="s">
        <v>3870</v>
      </c>
      <c r="D365" s="2" t="s">
        <v>3882</v>
      </c>
      <c r="E365" s="3">
        <v>45212</v>
      </c>
      <c r="F365" s="3">
        <v>45443</v>
      </c>
      <c r="G365" s="2" t="s">
        <v>3884</v>
      </c>
      <c r="H365" s="2">
        <v>63944</v>
      </c>
      <c r="I365" s="2">
        <v>544072</v>
      </c>
      <c r="J365" s="2" t="s">
        <v>3888</v>
      </c>
      <c r="K365" s="2" t="s">
        <v>3893</v>
      </c>
      <c r="L365" s="2">
        <v>2024</v>
      </c>
      <c r="M365" s="2">
        <v>-480128</v>
      </c>
      <c r="N365" s="2">
        <f xml:space="preserve"> (Table1[[#This Row],[Variance (USD)]] / Table1[[#This Row],[Actual Spending (USD)]]) * 100</f>
        <v>-88.247143760384645</v>
      </c>
      <c r="O365" s="5" t="s">
        <v>3897</v>
      </c>
    </row>
    <row r="366" spans="1:15" x14ac:dyDescent="0.25">
      <c r="A366" s="4" t="s">
        <v>379</v>
      </c>
      <c r="B366" s="2" t="s">
        <v>3235</v>
      </c>
      <c r="C366" s="2" t="s">
        <v>3870</v>
      </c>
      <c r="D366" s="2" t="s">
        <v>3883</v>
      </c>
      <c r="E366" s="3">
        <v>45487</v>
      </c>
      <c r="F366" s="3">
        <v>45914</v>
      </c>
      <c r="G366" s="2" t="s">
        <v>3884</v>
      </c>
      <c r="H366" s="2">
        <v>675329</v>
      </c>
      <c r="I366" s="2">
        <v>942737</v>
      </c>
      <c r="J366" s="2" t="s">
        <v>3892</v>
      </c>
      <c r="K366" s="2" t="s">
        <v>3895</v>
      </c>
      <c r="L366" s="2">
        <v>2024</v>
      </c>
      <c r="M366" s="2">
        <v>-267408</v>
      </c>
      <c r="N366" s="2">
        <f xml:space="preserve"> (Table1[[#This Row],[Variance (USD)]] / Table1[[#This Row],[Actual Spending (USD)]]) * 100</f>
        <v>-28.365068942875904</v>
      </c>
      <c r="O366" s="5" t="s">
        <v>3897</v>
      </c>
    </row>
    <row r="367" spans="1:15" x14ac:dyDescent="0.25">
      <c r="A367" s="4" t="s">
        <v>380</v>
      </c>
      <c r="B367" s="2" t="s">
        <v>3208</v>
      </c>
      <c r="C367" s="2" t="s">
        <v>3872</v>
      </c>
      <c r="D367" s="2" t="s">
        <v>3883</v>
      </c>
      <c r="E367" s="3">
        <v>45066</v>
      </c>
      <c r="F367" s="3">
        <v>45474</v>
      </c>
      <c r="G367" s="2" t="s">
        <v>3884</v>
      </c>
      <c r="H367" s="2">
        <v>925308</v>
      </c>
      <c r="I367" s="2">
        <v>1103568</v>
      </c>
      <c r="J367" s="2" t="s">
        <v>3889</v>
      </c>
      <c r="K367" s="2" t="s">
        <v>3895</v>
      </c>
      <c r="L367" s="2">
        <v>2025</v>
      </c>
      <c r="M367" s="2">
        <v>-178260</v>
      </c>
      <c r="N367" s="2">
        <f xml:space="preserve"> (Table1[[#This Row],[Variance (USD)]] / Table1[[#This Row],[Actual Spending (USD)]]) * 100</f>
        <v>-16.153059893001608</v>
      </c>
      <c r="O367" s="5" t="s">
        <v>3897</v>
      </c>
    </row>
    <row r="368" spans="1:15" x14ac:dyDescent="0.25">
      <c r="A368" s="4" t="s">
        <v>381</v>
      </c>
      <c r="B368" s="2" t="s">
        <v>3162</v>
      </c>
      <c r="C368" s="2" t="s">
        <v>3874</v>
      </c>
      <c r="D368" s="2" t="s">
        <v>3879</v>
      </c>
      <c r="E368" s="3">
        <v>45656</v>
      </c>
      <c r="F368" s="3">
        <v>45690</v>
      </c>
      <c r="G368" s="2" t="s">
        <v>3884</v>
      </c>
      <c r="H368" s="2">
        <v>931993</v>
      </c>
      <c r="I368" s="2">
        <v>284166</v>
      </c>
      <c r="J368" s="2" t="s">
        <v>3889</v>
      </c>
      <c r="K368" s="2" t="s">
        <v>3894</v>
      </c>
      <c r="L368" s="2">
        <v>2023</v>
      </c>
      <c r="M368" s="2">
        <v>647827</v>
      </c>
      <c r="N368" s="2">
        <f xml:space="preserve"> (Table1[[#This Row],[Variance (USD)]] / Table1[[#This Row],[Actual Spending (USD)]]) * 100</f>
        <v>227.97484568878752</v>
      </c>
      <c r="O368" s="5" t="s">
        <v>3897</v>
      </c>
    </row>
    <row r="369" spans="1:15" x14ac:dyDescent="0.25">
      <c r="A369" s="4" t="s">
        <v>382</v>
      </c>
      <c r="B369" s="2" t="s">
        <v>3307</v>
      </c>
      <c r="C369" s="2" t="s">
        <v>3875</v>
      </c>
      <c r="D369" s="2" t="s">
        <v>3877</v>
      </c>
      <c r="E369" s="3">
        <v>45482</v>
      </c>
      <c r="F369" s="3">
        <v>45363</v>
      </c>
      <c r="G369" s="2" t="s">
        <v>3884</v>
      </c>
      <c r="H369" s="2">
        <v>628679</v>
      </c>
      <c r="I369" s="2">
        <v>206010</v>
      </c>
      <c r="J369" s="2" t="s">
        <v>3891</v>
      </c>
      <c r="K369" s="2" t="s">
        <v>3896</v>
      </c>
      <c r="L369" s="2">
        <v>2025</v>
      </c>
      <c r="M369" s="2">
        <v>422669</v>
      </c>
      <c r="N369" s="2">
        <f xml:space="preserve"> (Table1[[#This Row],[Variance (USD)]] / Table1[[#This Row],[Actual Spending (USD)]]) * 100</f>
        <v>205.16916654531335</v>
      </c>
      <c r="O369" s="5" t="s">
        <v>3897</v>
      </c>
    </row>
    <row r="370" spans="1:15" x14ac:dyDescent="0.25">
      <c r="A370" s="4" t="s">
        <v>383</v>
      </c>
      <c r="B370" s="2" t="s">
        <v>3017</v>
      </c>
      <c r="C370" s="2" t="s">
        <v>3869</v>
      </c>
      <c r="D370" s="2" t="s">
        <v>3876</v>
      </c>
      <c r="E370" s="3">
        <v>45516</v>
      </c>
      <c r="F370" s="3">
        <v>45709</v>
      </c>
      <c r="G370" s="2" t="s">
        <v>3885</v>
      </c>
      <c r="H370" s="2">
        <v>51607</v>
      </c>
      <c r="I370" s="2">
        <v>809375</v>
      </c>
      <c r="J370" s="2" t="s">
        <v>3888</v>
      </c>
      <c r="K370" s="2" t="s">
        <v>3894</v>
      </c>
      <c r="L370" s="2">
        <v>2024</v>
      </c>
      <c r="M370" s="2">
        <v>-757768</v>
      </c>
      <c r="N370" s="2">
        <f xml:space="preserve"> (Table1[[#This Row],[Variance (USD)]] / Table1[[#This Row],[Actual Spending (USD)]]) * 100</f>
        <v>-93.623845559845563</v>
      </c>
      <c r="O370" s="5" t="s">
        <v>3898</v>
      </c>
    </row>
    <row r="371" spans="1:15" x14ac:dyDescent="0.25">
      <c r="A371" s="4" t="s">
        <v>384</v>
      </c>
      <c r="B371" s="2" t="s">
        <v>3308</v>
      </c>
      <c r="C371" s="2" t="s">
        <v>3873</v>
      </c>
      <c r="D371" s="2" t="s">
        <v>3877</v>
      </c>
      <c r="E371" s="3">
        <v>45654</v>
      </c>
      <c r="F371" s="3">
        <v>45574</v>
      </c>
      <c r="G371" s="2" t="s">
        <v>3886</v>
      </c>
      <c r="H371" s="2">
        <v>310314</v>
      </c>
      <c r="I371" s="2">
        <v>348393</v>
      </c>
      <c r="J371" s="2" t="s">
        <v>3892</v>
      </c>
      <c r="K371" s="2" t="s">
        <v>3895</v>
      </c>
      <c r="L371" s="2">
        <v>2023</v>
      </c>
      <c r="M371" s="2">
        <v>-38079</v>
      </c>
      <c r="N371" s="2">
        <f xml:space="preserve"> (Table1[[#This Row],[Variance (USD)]] / Table1[[#This Row],[Actual Spending (USD)]]) * 100</f>
        <v>-10.929898132281647</v>
      </c>
      <c r="O371" s="5" t="s">
        <v>3899</v>
      </c>
    </row>
    <row r="372" spans="1:15" x14ac:dyDescent="0.25">
      <c r="A372" s="4" t="s">
        <v>385</v>
      </c>
      <c r="B372" s="2" t="s">
        <v>3309</v>
      </c>
      <c r="C372" s="2" t="s">
        <v>3871</v>
      </c>
      <c r="D372" s="2" t="s">
        <v>3877</v>
      </c>
      <c r="E372" s="3">
        <v>45536</v>
      </c>
      <c r="F372" s="3">
        <v>45365</v>
      </c>
      <c r="G372" s="2" t="s">
        <v>3884</v>
      </c>
      <c r="H372" s="2">
        <v>52953</v>
      </c>
      <c r="I372" s="2">
        <v>992239</v>
      </c>
      <c r="J372" s="2" t="s">
        <v>3891</v>
      </c>
      <c r="K372" s="2" t="s">
        <v>3896</v>
      </c>
      <c r="L372" s="2">
        <v>2024</v>
      </c>
      <c r="M372" s="2">
        <v>-939286</v>
      </c>
      <c r="N372" s="2">
        <f xml:space="preserve"> (Table1[[#This Row],[Variance (USD)]] / Table1[[#This Row],[Actual Spending (USD)]]) * 100</f>
        <v>-94.663281729502671</v>
      </c>
      <c r="O372" s="5" t="s">
        <v>3897</v>
      </c>
    </row>
    <row r="373" spans="1:15" x14ac:dyDescent="0.25">
      <c r="A373" s="4" t="s">
        <v>386</v>
      </c>
      <c r="B373" s="2" t="s">
        <v>3119</v>
      </c>
      <c r="C373" s="2" t="s">
        <v>3870</v>
      </c>
      <c r="D373" s="2" t="s">
        <v>3883</v>
      </c>
      <c r="E373" s="3">
        <v>45208</v>
      </c>
      <c r="F373" s="3">
        <v>45646</v>
      </c>
      <c r="G373" s="2" t="s">
        <v>3885</v>
      </c>
      <c r="H373" s="2">
        <v>619229</v>
      </c>
      <c r="I373" s="2">
        <v>235532</v>
      </c>
      <c r="J373" s="2" t="s">
        <v>3888</v>
      </c>
      <c r="K373" s="2" t="s">
        <v>3896</v>
      </c>
      <c r="L373" s="2">
        <v>2025</v>
      </c>
      <c r="M373" s="2">
        <v>383697</v>
      </c>
      <c r="N373" s="2">
        <f xml:space="preserve"> (Table1[[#This Row],[Variance (USD)]] / Table1[[#This Row],[Actual Spending (USD)]]) * 100</f>
        <v>162.90652650170679</v>
      </c>
      <c r="O373" s="5" t="s">
        <v>3898</v>
      </c>
    </row>
    <row r="374" spans="1:15" x14ac:dyDescent="0.25">
      <c r="A374" s="4" t="s">
        <v>387</v>
      </c>
      <c r="B374" s="2" t="s">
        <v>3310</v>
      </c>
      <c r="C374" s="2" t="s">
        <v>3869</v>
      </c>
      <c r="D374" s="2" t="s">
        <v>3877</v>
      </c>
      <c r="E374" s="3">
        <v>45587</v>
      </c>
      <c r="F374" s="3">
        <v>46018</v>
      </c>
      <c r="G374" s="2" t="s">
        <v>3886</v>
      </c>
      <c r="H374" s="2">
        <v>776829</v>
      </c>
      <c r="I374" s="2">
        <v>679914</v>
      </c>
      <c r="J374" s="2" t="s">
        <v>3892</v>
      </c>
      <c r="K374" s="2" t="s">
        <v>3894</v>
      </c>
      <c r="L374" s="2">
        <v>2024</v>
      </c>
      <c r="M374" s="2">
        <v>96915</v>
      </c>
      <c r="N374" s="2">
        <f xml:space="preserve"> (Table1[[#This Row],[Variance (USD)]] / Table1[[#This Row],[Actual Spending (USD)]]) * 100</f>
        <v>14.254008595204686</v>
      </c>
      <c r="O374" s="5" t="s">
        <v>3899</v>
      </c>
    </row>
    <row r="375" spans="1:15" x14ac:dyDescent="0.25">
      <c r="A375" s="4" t="s">
        <v>388</v>
      </c>
      <c r="B375" s="2" t="s">
        <v>3099</v>
      </c>
      <c r="C375" s="2" t="s">
        <v>3871</v>
      </c>
      <c r="D375" s="2" t="s">
        <v>3880</v>
      </c>
      <c r="E375" s="3">
        <v>45504</v>
      </c>
      <c r="F375" s="3">
        <v>45788</v>
      </c>
      <c r="G375" s="2" t="s">
        <v>3886</v>
      </c>
      <c r="H375" s="2">
        <v>898115</v>
      </c>
      <c r="I375" s="2">
        <v>744967</v>
      </c>
      <c r="J375" s="2" t="s">
        <v>3892</v>
      </c>
      <c r="K375" s="2" t="s">
        <v>3896</v>
      </c>
      <c r="L375" s="2">
        <v>2024</v>
      </c>
      <c r="M375" s="2">
        <v>153148</v>
      </c>
      <c r="N375" s="2">
        <f xml:space="preserve"> (Table1[[#This Row],[Variance (USD)]] / Table1[[#This Row],[Actual Spending (USD)]]) * 100</f>
        <v>20.557689132538755</v>
      </c>
      <c r="O375" s="5" t="s">
        <v>3899</v>
      </c>
    </row>
    <row r="376" spans="1:15" x14ac:dyDescent="0.25">
      <c r="A376" s="4" t="s">
        <v>389</v>
      </c>
      <c r="B376" s="2" t="s">
        <v>3311</v>
      </c>
      <c r="C376" s="2" t="s">
        <v>3871</v>
      </c>
      <c r="D376" s="2" t="s">
        <v>3877</v>
      </c>
      <c r="E376" s="3">
        <v>45383</v>
      </c>
      <c r="F376" s="3">
        <v>45619</v>
      </c>
      <c r="G376" s="2" t="s">
        <v>3885</v>
      </c>
      <c r="H376" s="2">
        <v>556741</v>
      </c>
      <c r="I376" s="2">
        <v>1140428</v>
      </c>
      <c r="J376" s="2" t="s">
        <v>3890</v>
      </c>
      <c r="K376" s="2" t="s">
        <v>3894</v>
      </c>
      <c r="L376" s="2">
        <v>2025</v>
      </c>
      <c r="M376" s="2">
        <v>-583687</v>
      </c>
      <c r="N376" s="2">
        <f xml:space="preserve"> (Table1[[#This Row],[Variance (USD)]] / Table1[[#This Row],[Actual Spending (USD)]]) * 100</f>
        <v>-51.181398562644901</v>
      </c>
      <c r="O376" s="5" t="s">
        <v>3898</v>
      </c>
    </row>
    <row r="377" spans="1:15" x14ac:dyDescent="0.25">
      <c r="A377" s="4" t="s">
        <v>390</v>
      </c>
      <c r="B377" s="2" t="s">
        <v>3117</v>
      </c>
      <c r="C377" s="2" t="s">
        <v>3873</v>
      </c>
      <c r="D377" s="2" t="s">
        <v>3880</v>
      </c>
      <c r="E377" s="3">
        <v>45013</v>
      </c>
      <c r="F377" s="3">
        <v>45826</v>
      </c>
      <c r="G377" s="2" t="s">
        <v>3884</v>
      </c>
      <c r="H377" s="2">
        <v>775578</v>
      </c>
      <c r="I377" s="2">
        <v>1106956</v>
      </c>
      <c r="J377" s="2" t="s">
        <v>3892</v>
      </c>
      <c r="K377" s="2" t="s">
        <v>3896</v>
      </c>
      <c r="L377" s="2">
        <v>2024</v>
      </c>
      <c r="M377" s="2">
        <v>-331378</v>
      </c>
      <c r="N377" s="2">
        <f xml:space="preserve"> (Table1[[#This Row],[Variance (USD)]] / Table1[[#This Row],[Actual Spending (USD)]]) * 100</f>
        <v>-29.935968547982032</v>
      </c>
      <c r="O377" s="5" t="s">
        <v>3897</v>
      </c>
    </row>
    <row r="378" spans="1:15" x14ac:dyDescent="0.25">
      <c r="A378" s="4" t="s">
        <v>391</v>
      </c>
      <c r="B378" s="2" t="s">
        <v>3312</v>
      </c>
      <c r="C378" s="2" t="s">
        <v>3874</v>
      </c>
      <c r="D378" s="2" t="s">
        <v>3881</v>
      </c>
      <c r="E378" s="3">
        <v>45005</v>
      </c>
      <c r="F378" s="3">
        <v>45871</v>
      </c>
      <c r="G378" s="2" t="s">
        <v>3884</v>
      </c>
      <c r="H378" s="2">
        <v>946020</v>
      </c>
      <c r="I378" s="2">
        <v>507563</v>
      </c>
      <c r="J378" s="2" t="s">
        <v>3888</v>
      </c>
      <c r="K378" s="2" t="s">
        <v>3896</v>
      </c>
      <c r="L378" s="2">
        <v>2023</v>
      </c>
      <c r="M378" s="2">
        <v>438457</v>
      </c>
      <c r="N378" s="2">
        <f xml:space="preserve"> (Table1[[#This Row],[Variance (USD)]] / Table1[[#This Row],[Actual Spending (USD)]]) * 100</f>
        <v>86.384744356858164</v>
      </c>
      <c r="O378" s="5" t="s">
        <v>3897</v>
      </c>
    </row>
    <row r="379" spans="1:15" x14ac:dyDescent="0.25">
      <c r="A379" s="4" t="s">
        <v>392</v>
      </c>
      <c r="B379" s="2" t="s">
        <v>3045</v>
      </c>
      <c r="C379" s="2" t="s">
        <v>3872</v>
      </c>
      <c r="D379" s="2" t="s">
        <v>3876</v>
      </c>
      <c r="E379" s="3">
        <v>45131</v>
      </c>
      <c r="F379" s="3">
        <v>45738</v>
      </c>
      <c r="G379" s="2" t="s">
        <v>3884</v>
      </c>
      <c r="H379" s="2">
        <v>958512</v>
      </c>
      <c r="I379" s="2">
        <v>1149833</v>
      </c>
      <c r="J379" s="2" t="s">
        <v>3891</v>
      </c>
      <c r="K379" s="2" t="s">
        <v>3893</v>
      </c>
      <c r="L379" s="2">
        <v>2025</v>
      </c>
      <c r="M379" s="2">
        <v>-191321</v>
      </c>
      <c r="N379" s="2">
        <f xml:space="preserve"> (Table1[[#This Row],[Variance (USD)]] / Table1[[#This Row],[Actual Spending (USD)]]) * 100</f>
        <v>-16.639024971452375</v>
      </c>
      <c r="O379" s="5" t="s">
        <v>3897</v>
      </c>
    </row>
    <row r="380" spans="1:15" x14ac:dyDescent="0.25">
      <c r="A380" s="4" t="s">
        <v>393</v>
      </c>
      <c r="B380" s="2" t="s">
        <v>3313</v>
      </c>
      <c r="C380" s="2" t="s">
        <v>3875</v>
      </c>
      <c r="D380" s="2" t="s">
        <v>3882</v>
      </c>
      <c r="E380" s="3">
        <v>45263</v>
      </c>
      <c r="F380" s="3">
        <v>45664</v>
      </c>
      <c r="G380" s="2" t="s">
        <v>3884</v>
      </c>
      <c r="H380" s="2">
        <v>323298</v>
      </c>
      <c r="I380" s="2">
        <v>202263</v>
      </c>
      <c r="J380" s="2" t="s">
        <v>3891</v>
      </c>
      <c r="K380" s="2" t="s">
        <v>3896</v>
      </c>
      <c r="L380" s="2">
        <v>2024</v>
      </c>
      <c r="M380" s="2">
        <v>121035</v>
      </c>
      <c r="N380" s="2">
        <f xml:space="preserve"> (Table1[[#This Row],[Variance (USD)]] / Table1[[#This Row],[Actual Spending (USD)]]) * 100</f>
        <v>59.840405808279314</v>
      </c>
      <c r="O380" s="5" t="s">
        <v>3897</v>
      </c>
    </row>
    <row r="381" spans="1:15" x14ac:dyDescent="0.25">
      <c r="A381" s="4" t="s">
        <v>394</v>
      </c>
      <c r="B381" s="2" t="s">
        <v>3314</v>
      </c>
      <c r="C381" s="2" t="s">
        <v>3873</v>
      </c>
      <c r="D381" s="2" t="s">
        <v>3883</v>
      </c>
      <c r="E381" s="3">
        <v>45180</v>
      </c>
      <c r="F381" s="3">
        <v>45653</v>
      </c>
      <c r="G381" s="2" t="s">
        <v>3884</v>
      </c>
      <c r="H381" s="2">
        <v>961974</v>
      </c>
      <c r="I381" s="2">
        <v>955336</v>
      </c>
      <c r="J381" s="2" t="s">
        <v>3890</v>
      </c>
      <c r="K381" s="2" t="s">
        <v>3895</v>
      </c>
      <c r="L381" s="2">
        <v>2025</v>
      </c>
      <c r="M381" s="2">
        <v>6638</v>
      </c>
      <c r="N381" s="2">
        <f xml:space="preserve"> (Table1[[#This Row],[Variance (USD)]] / Table1[[#This Row],[Actual Spending (USD)]]) * 100</f>
        <v>0.69483406885116861</v>
      </c>
      <c r="O381" s="5" t="s">
        <v>3897</v>
      </c>
    </row>
    <row r="382" spans="1:15" x14ac:dyDescent="0.25">
      <c r="A382" s="4" t="s">
        <v>395</v>
      </c>
      <c r="B382" s="2" t="s">
        <v>3173</v>
      </c>
      <c r="C382" s="2" t="s">
        <v>3869</v>
      </c>
      <c r="D382" s="2" t="s">
        <v>3877</v>
      </c>
      <c r="E382" s="3">
        <v>45230</v>
      </c>
      <c r="F382" s="3">
        <v>45384</v>
      </c>
      <c r="G382" s="2" t="s">
        <v>3886</v>
      </c>
      <c r="H382" s="2">
        <v>714407</v>
      </c>
      <c r="I382" s="2">
        <v>543279</v>
      </c>
      <c r="J382" s="2" t="s">
        <v>3888</v>
      </c>
      <c r="K382" s="2" t="s">
        <v>3893</v>
      </c>
      <c r="L382" s="2">
        <v>2024</v>
      </c>
      <c r="M382" s="2">
        <v>171128</v>
      </c>
      <c r="N382" s="2">
        <f xml:space="preserve"> (Table1[[#This Row],[Variance (USD)]] / Table1[[#This Row],[Actual Spending (USD)]]) * 100</f>
        <v>31.49910083032843</v>
      </c>
      <c r="O382" s="5" t="s">
        <v>3899</v>
      </c>
    </row>
    <row r="383" spans="1:15" x14ac:dyDescent="0.25">
      <c r="A383" s="4" t="s">
        <v>396</v>
      </c>
      <c r="B383" s="2" t="s">
        <v>3044</v>
      </c>
      <c r="C383" s="2" t="s">
        <v>3872</v>
      </c>
      <c r="D383" s="2" t="s">
        <v>3880</v>
      </c>
      <c r="E383" s="3">
        <v>45306</v>
      </c>
      <c r="F383" s="3">
        <v>45612</v>
      </c>
      <c r="G383" s="2" t="s">
        <v>3885</v>
      </c>
      <c r="H383" s="2">
        <v>662817</v>
      </c>
      <c r="I383" s="2">
        <v>734914</v>
      </c>
      <c r="J383" s="2" t="s">
        <v>3892</v>
      </c>
      <c r="K383" s="2" t="s">
        <v>3894</v>
      </c>
      <c r="L383" s="2">
        <v>2025</v>
      </c>
      <c r="M383" s="2">
        <v>-72097</v>
      </c>
      <c r="N383" s="2">
        <f xml:space="preserve"> (Table1[[#This Row],[Variance (USD)]] / Table1[[#This Row],[Actual Spending (USD)]]) * 100</f>
        <v>-9.8102635138261078</v>
      </c>
      <c r="O383" s="5" t="s">
        <v>3898</v>
      </c>
    </row>
    <row r="384" spans="1:15" x14ac:dyDescent="0.25">
      <c r="A384" s="4" t="s">
        <v>397</v>
      </c>
      <c r="B384" s="2" t="s">
        <v>3109</v>
      </c>
      <c r="C384" s="2" t="s">
        <v>3869</v>
      </c>
      <c r="D384" s="2" t="s">
        <v>3880</v>
      </c>
      <c r="E384" s="3">
        <v>45056</v>
      </c>
      <c r="F384" s="3">
        <v>45615</v>
      </c>
      <c r="G384" s="2" t="s">
        <v>3885</v>
      </c>
      <c r="H384" s="2">
        <v>256946</v>
      </c>
      <c r="I384" s="2">
        <v>773847</v>
      </c>
      <c r="J384" s="2" t="s">
        <v>3890</v>
      </c>
      <c r="K384" s="2" t="s">
        <v>3895</v>
      </c>
      <c r="L384" s="2">
        <v>2025</v>
      </c>
      <c r="M384" s="2">
        <v>-516901</v>
      </c>
      <c r="N384" s="2">
        <f xml:space="preserve"> (Table1[[#This Row],[Variance (USD)]] / Table1[[#This Row],[Actual Spending (USD)]]) * 100</f>
        <v>-66.796278850987349</v>
      </c>
      <c r="O384" s="5" t="s">
        <v>3898</v>
      </c>
    </row>
    <row r="385" spans="1:15" x14ac:dyDescent="0.25">
      <c r="A385" s="4" t="s">
        <v>398</v>
      </c>
      <c r="B385" s="2" t="s">
        <v>3315</v>
      </c>
      <c r="C385" s="2" t="s">
        <v>3872</v>
      </c>
      <c r="D385" s="2" t="s">
        <v>3881</v>
      </c>
      <c r="E385" s="3">
        <v>45522</v>
      </c>
      <c r="F385" s="3">
        <v>45675</v>
      </c>
      <c r="G385" s="2" t="s">
        <v>3885</v>
      </c>
      <c r="H385" s="2">
        <v>588611</v>
      </c>
      <c r="I385" s="2">
        <v>346161</v>
      </c>
      <c r="J385" s="2" t="s">
        <v>3889</v>
      </c>
      <c r="K385" s="2" t="s">
        <v>3894</v>
      </c>
      <c r="L385" s="2">
        <v>2023</v>
      </c>
      <c r="M385" s="2">
        <v>242450</v>
      </c>
      <c r="N385" s="2">
        <f xml:space="preserve"> (Table1[[#This Row],[Variance (USD)]] / Table1[[#This Row],[Actual Spending (USD)]]) * 100</f>
        <v>70.039663624729528</v>
      </c>
      <c r="O385" s="5" t="s">
        <v>3898</v>
      </c>
    </row>
    <row r="386" spans="1:15" x14ac:dyDescent="0.25">
      <c r="A386" s="4" t="s">
        <v>399</v>
      </c>
      <c r="B386" s="2" t="s">
        <v>3308</v>
      </c>
      <c r="C386" s="2" t="s">
        <v>3874</v>
      </c>
      <c r="D386" s="2" t="s">
        <v>3880</v>
      </c>
      <c r="E386" s="3">
        <v>45202</v>
      </c>
      <c r="F386" s="3">
        <v>45866</v>
      </c>
      <c r="G386" s="2" t="s">
        <v>3885</v>
      </c>
      <c r="H386" s="2">
        <v>349837</v>
      </c>
      <c r="I386" s="2">
        <v>474605</v>
      </c>
      <c r="J386" s="2" t="s">
        <v>3888</v>
      </c>
      <c r="K386" s="2" t="s">
        <v>3894</v>
      </c>
      <c r="L386" s="2">
        <v>2025</v>
      </c>
      <c r="M386" s="2">
        <v>-124768</v>
      </c>
      <c r="N386" s="2">
        <f xml:space="preserve"> (Table1[[#This Row],[Variance (USD)]] / Table1[[#This Row],[Actual Spending (USD)]]) * 100</f>
        <v>-26.288808588194396</v>
      </c>
      <c r="O386" s="5" t="s">
        <v>3898</v>
      </c>
    </row>
    <row r="387" spans="1:15" x14ac:dyDescent="0.25">
      <c r="A387" s="4" t="s">
        <v>400</v>
      </c>
      <c r="B387" s="2" t="s">
        <v>3142</v>
      </c>
      <c r="C387" s="2" t="s">
        <v>3870</v>
      </c>
      <c r="D387" s="2" t="s">
        <v>3882</v>
      </c>
      <c r="E387" s="3">
        <v>45625</v>
      </c>
      <c r="F387" s="3">
        <v>45637</v>
      </c>
      <c r="G387" s="2" t="s">
        <v>3885</v>
      </c>
      <c r="H387" s="2">
        <v>764090</v>
      </c>
      <c r="I387" s="2">
        <v>758666</v>
      </c>
      <c r="J387" s="2" t="s">
        <v>3890</v>
      </c>
      <c r="K387" s="2" t="s">
        <v>3895</v>
      </c>
      <c r="L387" s="2">
        <v>2023</v>
      </c>
      <c r="M387" s="2">
        <v>5424</v>
      </c>
      <c r="N387" s="2">
        <f xml:space="preserve"> (Table1[[#This Row],[Variance (USD)]] / Table1[[#This Row],[Actual Spending (USD)]]) * 100</f>
        <v>0.71493911681820466</v>
      </c>
      <c r="O387" s="5" t="s">
        <v>3898</v>
      </c>
    </row>
    <row r="388" spans="1:15" x14ac:dyDescent="0.25">
      <c r="A388" s="4" t="s">
        <v>401</v>
      </c>
      <c r="B388" s="2" t="s">
        <v>3151</v>
      </c>
      <c r="C388" s="2" t="s">
        <v>3869</v>
      </c>
      <c r="D388" s="2" t="s">
        <v>3878</v>
      </c>
      <c r="E388" s="3">
        <v>45484</v>
      </c>
      <c r="F388" s="3">
        <v>45394</v>
      </c>
      <c r="G388" s="2" t="s">
        <v>3884</v>
      </c>
      <c r="H388" s="2">
        <v>311092</v>
      </c>
      <c r="I388" s="2">
        <v>186597</v>
      </c>
      <c r="J388" s="2" t="s">
        <v>3891</v>
      </c>
      <c r="K388" s="2" t="s">
        <v>3894</v>
      </c>
      <c r="L388" s="2">
        <v>2025</v>
      </c>
      <c r="M388" s="2">
        <v>124495</v>
      </c>
      <c r="N388" s="2">
        <f xml:space="preserve"> (Table1[[#This Row],[Variance (USD)]] / Table1[[#This Row],[Actual Spending (USD)]]) * 100</f>
        <v>66.718650353435478</v>
      </c>
      <c r="O388" s="5" t="s">
        <v>3897</v>
      </c>
    </row>
    <row r="389" spans="1:15" x14ac:dyDescent="0.25">
      <c r="A389" s="4" t="s">
        <v>402</v>
      </c>
      <c r="B389" s="2" t="s">
        <v>3316</v>
      </c>
      <c r="C389" s="2" t="s">
        <v>3873</v>
      </c>
      <c r="D389" s="2" t="s">
        <v>3879</v>
      </c>
      <c r="E389" s="3">
        <v>45109</v>
      </c>
      <c r="F389" s="3">
        <v>45506</v>
      </c>
      <c r="G389" s="2" t="s">
        <v>3884</v>
      </c>
      <c r="H389" s="2">
        <v>401314</v>
      </c>
      <c r="I389" s="2">
        <v>634918</v>
      </c>
      <c r="J389" s="2" t="s">
        <v>3890</v>
      </c>
      <c r="K389" s="2" t="s">
        <v>3893</v>
      </c>
      <c r="L389" s="2">
        <v>2025</v>
      </c>
      <c r="M389" s="2">
        <v>-233604</v>
      </c>
      <c r="N389" s="2">
        <f xml:space="preserve"> (Table1[[#This Row],[Variance (USD)]] / Table1[[#This Row],[Actual Spending (USD)]]) * 100</f>
        <v>-36.792782690048163</v>
      </c>
      <c r="O389" s="5" t="s">
        <v>3897</v>
      </c>
    </row>
    <row r="390" spans="1:15" x14ac:dyDescent="0.25">
      <c r="A390" s="4" t="s">
        <v>403</v>
      </c>
      <c r="B390" s="2" t="s">
        <v>3253</v>
      </c>
      <c r="C390" s="2" t="s">
        <v>3872</v>
      </c>
      <c r="D390" s="2" t="s">
        <v>3882</v>
      </c>
      <c r="E390" s="3">
        <v>45194</v>
      </c>
      <c r="F390" s="3">
        <v>45483</v>
      </c>
      <c r="G390" s="2" t="s">
        <v>3884</v>
      </c>
      <c r="H390" s="2">
        <v>469508</v>
      </c>
      <c r="I390" s="2">
        <v>1020975</v>
      </c>
      <c r="J390" s="2" t="s">
        <v>3889</v>
      </c>
      <c r="K390" s="2" t="s">
        <v>3895</v>
      </c>
      <c r="L390" s="2">
        <v>2024</v>
      </c>
      <c r="M390" s="2">
        <v>-551467</v>
      </c>
      <c r="N390" s="2">
        <f xml:space="preserve"> (Table1[[#This Row],[Variance (USD)]] / Table1[[#This Row],[Actual Spending (USD)]]) * 100</f>
        <v>-54.013761355566977</v>
      </c>
      <c r="O390" s="5" t="s">
        <v>3897</v>
      </c>
    </row>
    <row r="391" spans="1:15" x14ac:dyDescent="0.25">
      <c r="A391" s="4" t="s">
        <v>404</v>
      </c>
      <c r="B391" s="2" t="s">
        <v>3205</v>
      </c>
      <c r="C391" s="2" t="s">
        <v>3872</v>
      </c>
      <c r="D391" s="2" t="s">
        <v>3876</v>
      </c>
      <c r="E391" s="3">
        <v>45248</v>
      </c>
      <c r="F391" s="3">
        <v>45963</v>
      </c>
      <c r="G391" s="2" t="s">
        <v>3885</v>
      </c>
      <c r="H391" s="2">
        <v>547303</v>
      </c>
      <c r="I391" s="2">
        <v>585568</v>
      </c>
      <c r="J391" s="2" t="s">
        <v>3888</v>
      </c>
      <c r="K391" s="2" t="s">
        <v>3894</v>
      </c>
      <c r="L391" s="2">
        <v>2024</v>
      </c>
      <c r="M391" s="2">
        <v>-38265</v>
      </c>
      <c r="N391" s="2">
        <f xml:space="preserve"> (Table1[[#This Row],[Variance (USD)]] / Table1[[#This Row],[Actual Spending (USD)]]) * 100</f>
        <v>-6.5346808568774257</v>
      </c>
      <c r="O391" s="5" t="s">
        <v>3898</v>
      </c>
    </row>
    <row r="392" spans="1:15" x14ac:dyDescent="0.25">
      <c r="A392" s="4" t="s">
        <v>405</v>
      </c>
      <c r="B392" s="2" t="s">
        <v>3155</v>
      </c>
      <c r="C392" s="2" t="s">
        <v>3871</v>
      </c>
      <c r="D392" s="2" t="s">
        <v>3882</v>
      </c>
      <c r="E392" s="3">
        <v>45438</v>
      </c>
      <c r="F392" s="3">
        <v>46010</v>
      </c>
      <c r="G392" s="2" t="s">
        <v>3884</v>
      </c>
      <c r="H392" s="2">
        <v>619399</v>
      </c>
      <c r="I392" s="2">
        <v>492757</v>
      </c>
      <c r="J392" s="2" t="s">
        <v>3890</v>
      </c>
      <c r="K392" s="2" t="s">
        <v>3894</v>
      </c>
      <c r="L392" s="2">
        <v>2024</v>
      </c>
      <c r="M392" s="2">
        <v>126642</v>
      </c>
      <c r="N392" s="2">
        <f xml:space="preserve"> (Table1[[#This Row],[Variance (USD)]] / Table1[[#This Row],[Actual Spending (USD)]]) * 100</f>
        <v>25.700700345200577</v>
      </c>
      <c r="O392" s="5" t="s">
        <v>3897</v>
      </c>
    </row>
    <row r="393" spans="1:15" x14ac:dyDescent="0.25">
      <c r="A393" s="4" t="s">
        <v>406</v>
      </c>
      <c r="B393" s="2" t="s">
        <v>3317</v>
      </c>
      <c r="C393" s="2" t="s">
        <v>3871</v>
      </c>
      <c r="D393" s="2" t="s">
        <v>3881</v>
      </c>
      <c r="E393" s="3">
        <v>45538</v>
      </c>
      <c r="F393" s="3">
        <v>45485</v>
      </c>
      <c r="G393" s="2" t="s">
        <v>3886</v>
      </c>
      <c r="H393" s="2">
        <v>518897</v>
      </c>
      <c r="I393" s="2">
        <v>822976</v>
      </c>
      <c r="J393" s="2" t="s">
        <v>3892</v>
      </c>
      <c r="K393" s="2" t="s">
        <v>3896</v>
      </c>
      <c r="L393" s="2">
        <v>2025</v>
      </c>
      <c r="M393" s="2">
        <v>-304079</v>
      </c>
      <c r="N393" s="2">
        <f xml:space="preserve"> (Table1[[#This Row],[Variance (USD)]] / Table1[[#This Row],[Actual Spending (USD)]]) * 100</f>
        <v>-36.948708103273972</v>
      </c>
      <c r="O393" s="5" t="s">
        <v>3899</v>
      </c>
    </row>
    <row r="394" spans="1:15" x14ac:dyDescent="0.25">
      <c r="A394" s="4" t="s">
        <v>407</v>
      </c>
      <c r="B394" s="2" t="s">
        <v>3046</v>
      </c>
      <c r="C394" s="2" t="s">
        <v>3868</v>
      </c>
      <c r="D394" s="2" t="s">
        <v>3881</v>
      </c>
      <c r="E394" s="3">
        <v>45004</v>
      </c>
      <c r="F394" s="3">
        <v>45671</v>
      </c>
      <c r="G394" s="2" t="s">
        <v>3884</v>
      </c>
      <c r="H394" s="2">
        <v>276325</v>
      </c>
      <c r="I394" s="2">
        <v>743341</v>
      </c>
      <c r="J394" s="2" t="s">
        <v>3888</v>
      </c>
      <c r="K394" s="2" t="s">
        <v>3896</v>
      </c>
      <c r="L394" s="2">
        <v>2025</v>
      </c>
      <c r="M394" s="2">
        <v>-467016</v>
      </c>
      <c r="N394" s="2">
        <f xml:space="preserve"> (Table1[[#This Row],[Variance (USD)]] / Table1[[#This Row],[Actual Spending (USD)]]) * 100</f>
        <v>-62.826616586465697</v>
      </c>
      <c r="O394" s="5" t="s">
        <v>3897</v>
      </c>
    </row>
    <row r="395" spans="1:15" x14ac:dyDescent="0.25">
      <c r="A395" s="4" t="s">
        <v>408</v>
      </c>
      <c r="B395" s="2" t="s">
        <v>3318</v>
      </c>
      <c r="C395" s="2" t="s">
        <v>3869</v>
      </c>
      <c r="D395" s="2" t="s">
        <v>3882</v>
      </c>
      <c r="E395" s="3">
        <v>45265</v>
      </c>
      <c r="F395" s="3">
        <v>45694</v>
      </c>
      <c r="G395" s="2" t="s">
        <v>3884</v>
      </c>
      <c r="H395" s="2">
        <v>351635</v>
      </c>
      <c r="I395" s="2">
        <v>964836</v>
      </c>
      <c r="J395" s="2" t="s">
        <v>3890</v>
      </c>
      <c r="K395" s="2" t="s">
        <v>3894</v>
      </c>
      <c r="L395" s="2">
        <v>2023</v>
      </c>
      <c r="M395" s="2">
        <v>-613201</v>
      </c>
      <c r="N395" s="2">
        <f xml:space="preserve"> (Table1[[#This Row],[Variance (USD)]] / Table1[[#This Row],[Actual Spending (USD)]]) * 100</f>
        <v>-63.554946125559162</v>
      </c>
      <c r="O395" s="5" t="s">
        <v>3897</v>
      </c>
    </row>
    <row r="396" spans="1:15" x14ac:dyDescent="0.25">
      <c r="A396" s="4" t="s">
        <v>409</v>
      </c>
      <c r="B396" s="2" t="s">
        <v>3319</v>
      </c>
      <c r="C396" s="2" t="s">
        <v>3871</v>
      </c>
      <c r="D396" s="2" t="s">
        <v>3877</v>
      </c>
      <c r="E396" s="3">
        <v>45600</v>
      </c>
      <c r="F396" s="3">
        <v>45955</v>
      </c>
      <c r="G396" s="2" t="s">
        <v>3886</v>
      </c>
      <c r="H396" s="2">
        <v>623624</v>
      </c>
      <c r="I396" s="2">
        <v>187908</v>
      </c>
      <c r="J396" s="2" t="s">
        <v>3890</v>
      </c>
      <c r="K396" s="2" t="s">
        <v>3895</v>
      </c>
      <c r="L396" s="2">
        <v>2023</v>
      </c>
      <c r="M396" s="2">
        <v>435716</v>
      </c>
      <c r="N396" s="2">
        <f xml:space="preserve"> (Table1[[#This Row],[Variance (USD)]] / Table1[[#This Row],[Actual Spending (USD)]]) * 100</f>
        <v>231.87730165825832</v>
      </c>
      <c r="O396" s="5" t="s">
        <v>3899</v>
      </c>
    </row>
    <row r="397" spans="1:15" x14ac:dyDescent="0.25">
      <c r="A397" s="4" t="s">
        <v>410</v>
      </c>
      <c r="B397" s="2" t="s">
        <v>3320</v>
      </c>
      <c r="C397" s="2" t="s">
        <v>3868</v>
      </c>
      <c r="D397" s="2" t="s">
        <v>3878</v>
      </c>
      <c r="E397" s="3">
        <v>45482</v>
      </c>
      <c r="F397" s="3">
        <v>45891</v>
      </c>
      <c r="G397" s="2" t="s">
        <v>3884</v>
      </c>
      <c r="H397" s="2">
        <v>66905</v>
      </c>
      <c r="I397" s="2">
        <v>306532</v>
      </c>
      <c r="J397" s="2" t="s">
        <v>3888</v>
      </c>
      <c r="K397" s="2" t="s">
        <v>3893</v>
      </c>
      <c r="L397" s="2">
        <v>2023</v>
      </c>
      <c r="M397" s="2">
        <v>-239627</v>
      </c>
      <c r="N397" s="2">
        <f xml:space="preserve"> (Table1[[#This Row],[Variance (USD)]] / Table1[[#This Row],[Actual Spending (USD)]]) * 100</f>
        <v>-78.173567523129719</v>
      </c>
      <c r="O397" s="5" t="s">
        <v>3897</v>
      </c>
    </row>
    <row r="398" spans="1:15" x14ac:dyDescent="0.25">
      <c r="A398" s="4" t="s">
        <v>411</v>
      </c>
      <c r="B398" s="2" t="s">
        <v>3048</v>
      </c>
      <c r="C398" s="2" t="s">
        <v>3870</v>
      </c>
      <c r="D398" s="2" t="s">
        <v>3877</v>
      </c>
      <c r="E398" s="3">
        <v>45435</v>
      </c>
      <c r="F398" s="3">
        <v>45302</v>
      </c>
      <c r="G398" s="2" t="s">
        <v>3884</v>
      </c>
      <c r="H398" s="2">
        <v>80273</v>
      </c>
      <c r="I398" s="2">
        <v>274335</v>
      </c>
      <c r="J398" s="2" t="s">
        <v>3891</v>
      </c>
      <c r="K398" s="2" t="s">
        <v>3894</v>
      </c>
      <c r="L398" s="2">
        <v>2024</v>
      </c>
      <c r="M398" s="2">
        <v>-194062</v>
      </c>
      <c r="N398" s="2">
        <f xml:space="preserve"> (Table1[[#This Row],[Variance (USD)]] / Table1[[#This Row],[Actual Spending (USD)]]) * 100</f>
        <v>-70.739059908506022</v>
      </c>
      <c r="O398" s="5" t="s">
        <v>3897</v>
      </c>
    </row>
    <row r="399" spans="1:15" x14ac:dyDescent="0.25">
      <c r="A399" s="4" t="s">
        <v>412</v>
      </c>
      <c r="B399" s="2" t="s">
        <v>3321</v>
      </c>
      <c r="C399" s="2" t="s">
        <v>3870</v>
      </c>
      <c r="D399" s="2" t="s">
        <v>3877</v>
      </c>
      <c r="E399" s="3">
        <v>45164</v>
      </c>
      <c r="F399" s="3">
        <v>45478</v>
      </c>
      <c r="G399" s="2" t="s">
        <v>3884</v>
      </c>
      <c r="H399" s="2">
        <v>175191</v>
      </c>
      <c r="I399" s="2">
        <v>555982</v>
      </c>
      <c r="J399" s="2" t="s">
        <v>3892</v>
      </c>
      <c r="K399" s="2" t="s">
        <v>3894</v>
      </c>
      <c r="L399" s="2">
        <v>2024</v>
      </c>
      <c r="M399" s="2">
        <v>-380791</v>
      </c>
      <c r="N399" s="2">
        <f xml:space="preserve"> (Table1[[#This Row],[Variance (USD)]] / Table1[[#This Row],[Actual Spending (USD)]]) * 100</f>
        <v>-68.489807223974879</v>
      </c>
      <c r="O399" s="5" t="s">
        <v>3897</v>
      </c>
    </row>
    <row r="400" spans="1:15" x14ac:dyDescent="0.25">
      <c r="A400" s="4" t="s">
        <v>413</v>
      </c>
      <c r="B400" s="2" t="s">
        <v>3322</v>
      </c>
      <c r="C400" s="2" t="s">
        <v>3871</v>
      </c>
      <c r="D400" s="2" t="s">
        <v>3882</v>
      </c>
      <c r="E400" s="3">
        <v>45060</v>
      </c>
      <c r="F400" s="3">
        <v>46017</v>
      </c>
      <c r="G400" s="2" t="s">
        <v>3884</v>
      </c>
      <c r="H400" s="2">
        <v>428080</v>
      </c>
      <c r="I400" s="2">
        <v>1034181</v>
      </c>
      <c r="J400" s="2" t="s">
        <v>3888</v>
      </c>
      <c r="K400" s="2" t="s">
        <v>3894</v>
      </c>
      <c r="L400" s="2">
        <v>2023</v>
      </c>
      <c r="M400" s="2">
        <v>-606101</v>
      </c>
      <c r="N400" s="2">
        <f xml:space="preserve"> (Table1[[#This Row],[Variance (USD)]] / Table1[[#This Row],[Actual Spending (USD)]]) * 100</f>
        <v>-58.606858954090249</v>
      </c>
      <c r="O400" s="5" t="s">
        <v>3897</v>
      </c>
    </row>
    <row r="401" spans="1:15" x14ac:dyDescent="0.25">
      <c r="A401" s="4" t="s">
        <v>414</v>
      </c>
      <c r="B401" s="2" t="s">
        <v>3323</v>
      </c>
      <c r="C401" s="2" t="s">
        <v>3869</v>
      </c>
      <c r="D401" s="2" t="s">
        <v>3883</v>
      </c>
      <c r="E401" s="3">
        <v>45118</v>
      </c>
      <c r="F401" s="3">
        <v>45306</v>
      </c>
      <c r="G401" s="2" t="s">
        <v>3886</v>
      </c>
      <c r="H401" s="2">
        <v>207306</v>
      </c>
      <c r="I401" s="2">
        <v>667345</v>
      </c>
      <c r="J401" s="2" t="s">
        <v>3892</v>
      </c>
      <c r="K401" s="2" t="s">
        <v>3896</v>
      </c>
      <c r="L401" s="2">
        <v>2025</v>
      </c>
      <c r="M401" s="2">
        <v>-460039</v>
      </c>
      <c r="N401" s="2">
        <f xml:space="preserve"> (Table1[[#This Row],[Variance (USD)]] / Table1[[#This Row],[Actual Spending (USD)]]) * 100</f>
        <v>-68.93570791719425</v>
      </c>
      <c r="O401" s="5" t="s">
        <v>3899</v>
      </c>
    </row>
    <row r="402" spans="1:15" x14ac:dyDescent="0.25">
      <c r="A402" s="4" t="s">
        <v>415</v>
      </c>
      <c r="B402" s="2" t="s">
        <v>3324</v>
      </c>
      <c r="C402" s="2" t="s">
        <v>3872</v>
      </c>
      <c r="D402" s="2" t="s">
        <v>3883</v>
      </c>
      <c r="E402" s="3">
        <v>45282</v>
      </c>
      <c r="F402" s="3">
        <v>45588</v>
      </c>
      <c r="G402" s="2" t="s">
        <v>3884</v>
      </c>
      <c r="H402" s="2">
        <v>259957</v>
      </c>
      <c r="I402" s="2">
        <v>593057</v>
      </c>
      <c r="J402" s="2" t="s">
        <v>3892</v>
      </c>
      <c r="K402" s="2" t="s">
        <v>3895</v>
      </c>
      <c r="L402" s="2">
        <v>2024</v>
      </c>
      <c r="M402" s="2">
        <v>-333100</v>
      </c>
      <c r="N402" s="2">
        <f xml:space="preserve"> (Table1[[#This Row],[Variance (USD)]] / Table1[[#This Row],[Actual Spending (USD)]]) * 100</f>
        <v>-56.16660793144672</v>
      </c>
      <c r="O402" s="5" t="s">
        <v>3897</v>
      </c>
    </row>
    <row r="403" spans="1:15" x14ac:dyDescent="0.25">
      <c r="A403" s="4" t="s">
        <v>416</v>
      </c>
      <c r="B403" s="2" t="s">
        <v>3325</v>
      </c>
      <c r="C403" s="2" t="s">
        <v>3875</v>
      </c>
      <c r="D403" s="2" t="s">
        <v>3883</v>
      </c>
      <c r="E403" s="3">
        <v>45204</v>
      </c>
      <c r="F403" s="3">
        <v>45702</v>
      </c>
      <c r="G403" s="2" t="s">
        <v>3886</v>
      </c>
      <c r="H403" s="2">
        <v>116538</v>
      </c>
      <c r="I403" s="2">
        <v>462636</v>
      </c>
      <c r="J403" s="2" t="s">
        <v>3888</v>
      </c>
      <c r="K403" s="2" t="s">
        <v>3894</v>
      </c>
      <c r="L403" s="2">
        <v>2024</v>
      </c>
      <c r="M403" s="2">
        <v>-346098</v>
      </c>
      <c r="N403" s="2">
        <f xml:space="preserve"> (Table1[[#This Row],[Variance (USD)]] / Table1[[#This Row],[Actual Spending (USD)]]) * 100</f>
        <v>-74.810001815682298</v>
      </c>
      <c r="O403" s="5" t="s">
        <v>3899</v>
      </c>
    </row>
    <row r="404" spans="1:15" x14ac:dyDescent="0.25">
      <c r="A404" s="4" t="s">
        <v>417</v>
      </c>
      <c r="B404" s="2" t="s">
        <v>3062</v>
      </c>
      <c r="C404" s="2" t="s">
        <v>3874</v>
      </c>
      <c r="D404" s="2" t="s">
        <v>3878</v>
      </c>
      <c r="E404" s="3">
        <v>44944</v>
      </c>
      <c r="F404" s="3">
        <v>45876</v>
      </c>
      <c r="G404" s="2" t="s">
        <v>3884</v>
      </c>
      <c r="H404" s="2">
        <v>154570</v>
      </c>
      <c r="I404" s="2">
        <v>1181461</v>
      </c>
      <c r="J404" s="2" t="s">
        <v>3890</v>
      </c>
      <c r="K404" s="2" t="s">
        <v>3896</v>
      </c>
      <c r="L404" s="2">
        <v>2023</v>
      </c>
      <c r="M404" s="2">
        <v>-1026891</v>
      </c>
      <c r="N404" s="2">
        <f xml:space="preserve"> (Table1[[#This Row],[Variance (USD)]] / Table1[[#This Row],[Actual Spending (USD)]]) * 100</f>
        <v>-86.917045928727234</v>
      </c>
      <c r="O404" s="5" t="s">
        <v>3897</v>
      </c>
    </row>
    <row r="405" spans="1:15" x14ac:dyDescent="0.25">
      <c r="A405" s="4" t="s">
        <v>418</v>
      </c>
      <c r="B405" s="2" t="s">
        <v>3326</v>
      </c>
      <c r="C405" s="2" t="s">
        <v>3869</v>
      </c>
      <c r="D405" s="2" t="s">
        <v>3877</v>
      </c>
      <c r="E405" s="3">
        <v>45450</v>
      </c>
      <c r="F405" s="3">
        <v>45343</v>
      </c>
      <c r="G405" s="2" t="s">
        <v>3885</v>
      </c>
      <c r="H405" s="2">
        <v>737933</v>
      </c>
      <c r="I405" s="2">
        <v>601934</v>
      </c>
      <c r="J405" s="2" t="s">
        <v>3891</v>
      </c>
      <c r="K405" s="2" t="s">
        <v>3894</v>
      </c>
      <c r="L405" s="2">
        <v>2024</v>
      </c>
      <c r="M405" s="2">
        <v>135999</v>
      </c>
      <c r="N405" s="2">
        <f xml:space="preserve"> (Table1[[#This Row],[Variance (USD)]] / Table1[[#This Row],[Actual Spending (USD)]]) * 100</f>
        <v>22.593673060501647</v>
      </c>
      <c r="O405" s="5" t="s">
        <v>3898</v>
      </c>
    </row>
    <row r="406" spans="1:15" x14ac:dyDescent="0.25">
      <c r="A406" s="4" t="s">
        <v>419</v>
      </c>
      <c r="B406" s="2" t="s">
        <v>3089</v>
      </c>
      <c r="C406" s="2" t="s">
        <v>3874</v>
      </c>
      <c r="D406" s="2" t="s">
        <v>3879</v>
      </c>
      <c r="E406" s="3">
        <v>45106</v>
      </c>
      <c r="F406" s="3">
        <v>45931</v>
      </c>
      <c r="G406" s="2" t="s">
        <v>3884</v>
      </c>
      <c r="H406" s="2">
        <v>929771</v>
      </c>
      <c r="I406" s="2">
        <v>143947</v>
      </c>
      <c r="J406" s="2" t="s">
        <v>3892</v>
      </c>
      <c r="K406" s="2" t="s">
        <v>3894</v>
      </c>
      <c r="L406" s="2">
        <v>2023</v>
      </c>
      <c r="M406" s="2">
        <v>785824</v>
      </c>
      <c r="N406" s="2">
        <f xml:space="preserve"> (Table1[[#This Row],[Variance (USD)]] / Table1[[#This Row],[Actual Spending (USD)]]) * 100</f>
        <v>545.91203706919907</v>
      </c>
      <c r="O406" s="5" t="s">
        <v>3897</v>
      </c>
    </row>
    <row r="407" spans="1:15" x14ac:dyDescent="0.25">
      <c r="A407" s="4" t="s">
        <v>420</v>
      </c>
      <c r="B407" s="2" t="s">
        <v>3212</v>
      </c>
      <c r="C407" s="2" t="s">
        <v>3873</v>
      </c>
      <c r="D407" s="2" t="s">
        <v>3876</v>
      </c>
      <c r="E407" s="3">
        <v>45049</v>
      </c>
      <c r="F407" s="3">
        <v>45319</v>
      </c>
      <c r="G407" s="2" t="s">
        <v>3886</v>
      </c>
      <c r="H407" s="2">
        <v>312025</v>
      </c>
      <c r="I407" s="2">
        <v>40910</v>
      </c>
      <c r="J407" s="2" t="s">
        <v>3892</v>
      </c>
      <c r="K407" s="2" t="s">
        <v>3895</v>
      </c>
      <c r="L407" s="2">
        <v>2024</v>
      </c>
      <c r="M407" s="2">
        <v>271115</v>
      </c>
      <c r="N407" s="2">
        <f xml:space="preserve"> (Table1[[#This Row],[Variance (USD)]] / Table1[[#This Row],[Actual Spending (USD)]]) * 100</f>
        <v>662.71082864825223</v>
      </c>
      <c r="O407" s="5" t="s">
        <v>3899</v>
      </c>
    </row>
    <row r="408" spans="1:15" x14ac:dyDescent="0.25">
      <c r="A408" s="4" t="s">
        <v>421</v>
      </c>
      <c r="B408" s="2" t="s">
        <v>3327</v>
      </c>
      <c r="C408" s="2" t="s">
        <v>3870</v>
      </c>
      <c r="D408" s="2" t="s">
        <v>3883</v>
      </c>
      <c r="E408" s="3">
        <v>45172</v>
      </c>
      <c r="F408" s="3">
        <v>45868</v>
      </c>
      <c r="G408" s="2" t="s">
        <v>3886</v>
      </c>
      <c r="H408" s="2">
        <v>433276</v>
      </c>
      <c r="I408" s="2">
        <v>637045</v>
      </c>
      <c r="J408" s="2" t="s">
        <v>3890</v>
      </c>
      <c r="K408" s="2" t="s">
        <v>3896</v>
      </c>
      <c r="L408" s="2">
        <v>2025</v>
      </c>
      <c r="M408" s="2">
        <v>-203769</v>
      </c>
      <c r="N408" s="2">
        <f xml:space="preserve"> (Table1[[#This Row],[Variance (USD)]] / Table1[[#This Row],[Actual Spending (USD)]]) * 100</f>
        <v>-31.986594353617093</v>
      </c>
      <c r="O408" s="5" t="s">
        <v>3899</v>
      </c>
    </row>
    <row r="409" spans="1:15" x14ac:dyDescent="0.25">
      <c r="A409" s="4" t="s">
        <v>422</v>
      </c>
      <c r="B409" s="2" t="s">
        <v>3328</v>
      </c>
      <c r="C409" s="2" t="s">
        <v>3871</v>
      </c>
      <c r="D409" s="2" t="s">
        <v>3883</v>
      </c>
      <c r="E409" s="3">
        <v>45299</v>
      </c>
      <c r="F409" s="3">
        <v>45308</v>
      </c>
      <c r="G409" s="2" t="s">
        <v>3884</v>
      </c>
      <c r="H409" s="2">
        <v>245392</v>
      </c>
      <c r="I409" s="2">
        <v>514365</v>
      </c>
      <c r="J409" s="2" t="s">
        <v>3888</v>
      </c>
      <c r="K409" s="2" t="s">
        <v>3893</v>
      </c>
      <c r="L409" s="2">
        <v>2025</v>
      </c>
      <c r="M409" s="2">
        <v>-268973</v>
      </c>
      <c r="N409" s="2">
        <f xml:space="preserve"> (Table1[[#This Row],[Variance (USD)]] / Table1[[#This Row],[Actual Spending (USD)]]) * 100</f>
        <v>-52.292243834631044</v>
      </c>
      <c r="O409" s="5" t="s">
        <v>3897</v>
      </c>
    </row>
    <row r="410" spans="1:15" x14ac:dyDescent="0.25">
      <c r="A410" s="4" t="s">
        <v>423</v>
      </c>
      <c r="B410" s="2" t="s">
        <v>3044</v>
      </c>
      <c r="C410" s="2" t="s">
        <v>3871</v>
      </c>
      <c r="D410" s="2" t="s">
        <v>3881</v>
      </c>
      <c r="E410" s="3">
        <v>44977</v>
      </c>
      <c r="F410" s="3">
        <v>45642</v>
      </c>
      <c r="G410" s="2" t="s">
        <v>3885</v>
      </c>
      <c r="H410" s="2">
        <v>178993</v>
      </c>
      <c r="I410" s="2">
        <v>782249</v>
      </c>
      <c r="J410" s="2" t="s">
        <v>3891</v>
      </c>
      <c r="K410" s="2" t="s">
        <v>3895</v>
      </c>
      <c r="L410" s="2">
        <v>2024</v>
      </c>
      <c r="M410" s="2">
        <v>-603256</v>
      </c>
      <c r="N410" s="2">
        <f xml:space="preserve"> (Table1[[#This Row],[Variance (USD)]] / Table1[[#This Row],[Actual Spending (USD)]]) * 100</f>
        <v>-77.118155472234534</v>
      </c>
      <c r="O410" s="5" t="s">
        <v>3898</v>
      </c>
    </row>
    <row r="411" spans="1:15" x14ac:dyDescent="0.25">
      <c r="A411" s="4" t="s">
        <v>424</v>
      </c>
      <c r="B411" s="2" t="s">
        <v>3204</v>
      </c>
      <c r="C411" s="2" t="s">
        <v>3874</v>
      </c>
      <c r="D411" s="2" t="s">
        <v>3877</v>
      </c>
      <c r="E411" s="3">
        <v>44997</v>
      </c>
      <c r="F411" s="3">
        <v>45719</v>
      </c>
      <c r="G411" s="2" t="s">
        <v>3886</v>
      </c>
      <c r="H411" s="2">
        <v>847762</v>
      </c>
      <c r="I411" s="2">
        <v>824895</v>
      </c>
      <c r="J411" s="2" t="s">
        <v>3892</v>
      </c>
      <c r="K411" s="2" t="s">
        <v>3893</v>
      </c>
      <c r="L411" s="2">
        <v>2023</v>
      </c>
      <c r="M411" s="2">
        <v>22867</v>
      </c>
      <c r="N411" s="2">
        <f xml:space="preserve"> (Table1[[#This Row],[Variance (USD)]] / Table1[[#This Row],[Actual Spending (USD)]]) * 100</f>
        <v>2.7721103898071875</v>
      </c>
      <c r="O411" s="5" t="s">
        <v>3899</v>
      </c>
    </row>
    <row r="412" spans="1:15" x14ac:dyDescent="0.25">
      <c r="A412" s="4" t="s">
        <v>425</v>
      </c>
      <c r="B412" s="2" t="s">
        <v>3262</v>
      </c>
      <c r="C412" s="2" t="s">
        <v>3872</v>
      </c>
      <c r="D412" s="2" t="s">
        <v>3877</v>
      </c>
      <c r="E412" s="3">
        <v>45406</v>
      </c>
      <c r="F412" s="3">
        <v>45941</v>
      </c>
      <c r="G412" s="2" t="s">
        <v>3884</v>
      </c>
      <c r="H412" s="2">
        <v>273112</v>
      </c>
      <c r="I412" s="2">
        <v>174408</v>
      </c>
      <c r="J412" s="2" t="s">
        <v>3892</v>
      </c>
      <c r="K412" s="2" t="s">
        <v>3896</v>
      </c>
      <c r="L412" s="2">
        <v>2024</v>
      </c>
      <c r="M412" s="2">
        <v>98704</v>
      </c>
      <c r="N412" s="2">
        <f xml:space="preserve"> (Table1[[#This Row],[Variance (USD)]] / Table1[[#This Row],[Actual Spending (USD)]]) * 100</f>
        <v>56.593734232374658</v>
      </c>
      <c r="O412" s="5" t="s">
        <v>3897</v>
      </c>
    </row>
    <row r="413" spans="1:15" x14ac:dyDescent="0.25">
      <c r="A413" s="4" t="s">
        <v>426</v>
      </c>
      <c r="B413" s="2" t="s">
        <v>3329</v>
      </c>
      <c r="C413" s="2" t="s">
        <v>3874</v>
      </c>
      <c r="D413" s="2" t="s">
        <v>3878</v>
      </c>
      <c r="E413" s="3">
        <v>45486</v>
      </c>
      <c r="F413" s="3">
        <v>45520</v>
      </c>
      <c r="G413" s="2" t="s">
        <v>3884</v>
      </c>
      <c r="H413" s="2">
        <v>261588</v>
      </c>
      <c r="I413" s="2">
        <v>687729</v>
      </c>
      <c r="J413" s="2" t="s">
        <v>3888</v>
      </c>
      <c r="K413" s="2" t="s">
        <v>3896</v>
      </c>
      <c r="L413" s="2">
        <v>2023</v>
      </c>
      <c r="M413" s="2">
        <v>-426141</v>
      </c>
      <c r="N413" s="2">
        <f xml:space="preserve"> (Table1[[#This Row],[Variance (USD)]] / Table1[[#This Row],[Actual Spending (USD)]]) * 100</f>
        <v>-61.963505974010111</v>
      </c>
      <c r="O413" s="5" t="s">
        <v>3897</v>
      </c>
    </row>
    <row r="414" spans="1:15" x14ac:dyDescent="0.25">
      <c r="A414" s="4" t="s">
        <v>427</v>
      </c>
      <c r="B414" s="2" t="s">
        <v>3120</v>
      </c>
      <c r="C414" s="2" t="s">
        <v>3873</v>
      </c>
      <c r="D414" s="2" t="s">
        <v>3878</v>
      </c>
      <c r="E414" s="3">
        <v>44945</v>
      </c>
      <c r="F414" s="3">
        <v>45501</v>
      </c>
      <c r="G414" s="2" t="s">
        <v>3885</v>
      </c>
      <c r="H414" s="2">
        <v>908985</v>
      </c>
      <c r="I414" s="2">
        <v>928728</v>
      </c>
      <c r="J414" s="2" t="s">
        <v>3890</v>
      </c>
      <c r="K414" s="2" t="s">
        <v>3893</v>
      </c>
      <c r="L414" s="2">
        <v>2024</v>
      </c>
      <c r="M414" s="2">
        <v>-19743</v>
      </c>
      <c r="N414" s="2">
        <f xml:space="preserve"> (Table1[[#This Row],[Variance (USD)]] / Table1[[#This Row],[Actual Spending (USD)]]) * 100</f>
        <v>-2.125810786365868</v>
      </c>
      <c r="O414" s="5" t="s">
        <v>3898</v>
      </c>
    </row>
    <row r="415" spans="1:15" x14ac:dyDescent="0.25">
      <c r="A415" s="4" t="s">
        <v>428</v>
      </c>
      <c r="B415" s="2" t="s">
        <v>3330</v>
      </c>
      <c r="C415" s="2" t="s">
        <v>3872</v>
      </c>
      <c r="D415" s="2" t="s">
        <v>3883</v>
      </c>
      <c r="E415" s="3">
        <v>45010</v>
      </c>
      <c r="F415" s="3">
        <v>45722</v>
      </c>
      <c r="G415" s="2" t="s">
        <v>3886</v>
      </c>
      <c r="H415" s="2">
        <v>746713</v>
      </c>
      <c r="I415" s="2">
        <v>377238</v>
      </c>
      <c r="J415" s="2" t="s">
        <v>3889</v>
      </c>
      <c r="K415" s="2" t="s">
        <v>3896</v>
      </c>
      <c r="L415" s="2">
        <v>2025</v>
      </c>
      <c r="M415" s="2">
        <v>369475</v>
      </c>
      <c r="N415" s="2">
        <f xml:space="preserve"> (Table1[[#This Row],[Variance (USD)]] / Table1[[#This Row],[Actual Spending (USD)]]) * 100</f>
        <v>97.942147927833361</v>
      </c>
      <c r="O415" s="5" t="s">
        <v>3899</v>
      </c>
    </row>
    <row r="416" spans="1:15" x14ac:dyDescent="0.25">
      <c r="A416" s="4" t="s">
        <v>429</v>
      </c>
      <c r="B416" s="2" t="s">
        <v>3290</v>
      </c>
      <c r="C416" s="2" t="s">
        <v>3873</v>
      </c>
      <c r="D416" s="2" t="s">
        <v>3877</v>
      </c>
      <c r="E416" s="3">
        <v>45081</v>
      </c>
      <c r="F416" s="3">
        <v>45585</v>
      </c>
      <c r="G416" s="2" t="s">
        <v>3884</v>
      </c>
      <c r="H416" s="2">
        <v>197083</v>
      </c>
      <c r="I416" s="2">
        <v>317551</v>
      </c>
      <c r="J416" s="2" t="s">
        <v>3890</v>
      </c>
      <c r="K416" s="2" t="s">
        <v>3895</v>
      </c>
      <c r="L416" s="2">
        <v>2025</v>
      </c>
      <c r="M416" s="2">
        <v>-120468</v>
      </c>
      <c r="N416" s="2">
        <f xml:space="preserve"> (Table1[[#This Row],[Variance (USD)]] / Table1[[#This Row],[Actual Spending (USD)]]) * 100</f>
        <v>-37.936583414947521</v>
      </c>
      <c r="O416" s="5" t="s">
        <v>3897</v>
      </c>
    </row>
    <row r="417" spans="1:15" x14ac:dyDescent="0.25">
      <c r="A417" s="4" t="s">
        <v>430</v>
      </c>
      <c r="B417" s="2" t="s">
        <v>3331</v>
      </c>
      <c r="C417" s="2" t="s">
        <v>3875</v>
      </c>
      <c r="D417" s="2" t="s">
        <v>3879</v>
      </c>
      <c r="E417" s="3">
        <v>45491</v>
      </c>
      <c r="F417" s="3">
        <v>45873</v>
      </c>
      <c r="G417" s="2" t="s">
        <v>3884</v>
      </c>
      <c r="H417" s="2">
        <v>133537</v>
      </c>
      <c r="I417" s="2">
        <v>878984</v>
      </c>
      <c r="J417" s="2" t="s">
        <v>3892</v>
      </c>
      <c r="K417" s="2" t="s">
        <v>3894</v>
      </c>
      <c r="L417" s="2">
        <v>2024</v>
      </c>
      <c r="M417" s="2">
        <v>-745447</v>
      </c>
      <c r="N417" s="2">
        <f xml:space="preserve"> (Table1[[#This Row],[Variance (USD)]] / Table1[[#This Row],[Actual Spending (USD)]]) * 100</f>
        <v>-84.807800824588384</v>
      </c>
      <c r="O417" s="5" t="s">
        <v>3897</v>
      </c>
    </row>
    <row r="418" spans="1:15" x14ac:dyDescent="0.25">
      <c r="A418" s="4" t="s">
        <v>431</v>
      </c>
      <c r="B418" s="2" t="s">
        <v>3109</v>
      </c>
      <c r="C418" s="2" t="s">
        <v>3870</v>
      </c>
      <c r="D418" s="2" t="s">
        <v>3876</v>
      </c>
      <c r="E418" s="3">
        <v>45545</v>
      </c>
      <c r="F418" s="3">
        <v>45395</v>
      </c>
      <c r="G418" s="2" t="s">
        <v>3885</v>
      </c>
      <c r="H418" s="2">
        <v>635273</v>
      </c>
      <c r="I418" s="2">
        <v>646591</v>
      </c>
      <c r="J418" s="2" t="s">
        <v>3892</v>
      </c>
      <c r="K418" s="2" t="s">
        <v>3893</v>
      </c>
      <c r="L418" s="2">
        <v>2024</v>
      </c>
      <c r="M418" s="2">
        <v>-11318</v>
      </c>
      <c r="N418" s="2">
        <f xml:space="preserve"> (Table1[[#This Row],[Variance (USD)]] / Table1[[#This Row],[Actual Spending (USD)]]) * 100</f>
        <v>-1.7504110016996834</v>
      </c>
      <c r="O418" s="5" t="s">
        <v>3898</v>
      </c>
    </row>
    <row r="419" spans="1:15" x14ac:dyDescent="0.25">
      <c r="A419" s="4" t="s">
        <v>432</v>
      </c>
      <c r="B419" s="2" t="s">
        <v>3293</v>
      </c>
      <c r="C419" s="2" t="s">
        <v>3871</v>
      </c>
      <c r="D419" s="2" t="s">
        <v>3882</v>
      </c>
      <c r="E419" s="3">
        <v>45283</v>
      </c>
      <c r="F419" s="3">
        <v>45495</v>
      </c>
      <c r="G419" s="2" t="s">
        <v>3886</v>
      </c>
      <c r="H419" s="2">
        <v>591332</v>
      </c>
      <c r="I419" s="2">
        <v>1015080</v>
      </c>
      <c r="J419" s="2" t="s">
        <v>3891</v>
      </c>
      <c r="K419" s="2" t="s">
        <v>3894</v>
      </c>
      <c r="L419" s="2">
        <v>2024</v>
      </c>
      <c r="M419" s="2">
        <v>-423748</v>
      </c>
      <c r="N419" s="2">
        <f xml:space="preserve"> (Table1[[#This Row],[Variance (USD)]] / Table1[[#This Row],[Actual Spending (USD)]]) * 100</f>
        <v>-41.745281160105606</v>
      </c>
      <c r="O419" s="5" t="s">
        <v>3899</v>
      </c>
    </row>
    <row r="420" spans="1:15" x14ac:dyDescent="0.25">
      <c r="A420" s="4" t="s">
        <v>433</v>
      </c>
      <c r="B420" s="2" t="s">
        <v>3332</v>
      </c>
      <c r="C420" s="2" t="s">
        <v>3871</v>
      </c>
      <c r="D420" s="2" t="s">
        <v>3877</v>
      </c>
      <c r="E420" s="3">
        <v>45573</v>
      </c>
      <c r="F420" s="3">
        <v>45344</v>
      </c>
      <c r="G420" s="2" t="s">
        <v>3886</v>
      </c>
      <c r="H420" s="2">
        <v>481508</v>
      </c>
      <c r="I420" s="2">
        <v>1036156</v>
      </c>
      <c r="J420" s="2" t="s">
        <v>3890</v>
      </c>
      <c r="K420" s="2" t="s">
        <v>3893</v>
      </c>
      <c r="L420" s="2">
        <v>2025</v>
      </c>
      <c r="M420" s="2">
        <v>-554648</v>
      </c>
      <c r="N420" s="2">
        <f xml:space="preserve"> (Table1[[#This Row],[Variance (USD)]] / Table1[[#This Row],[Actual Spending (USD)]]) * 100</f>
        <v>-53.529391327174672</v>
      </c>
      <c r="O420" s="5" t="s">
        <v>3899</v>
      </c>
    </row>
    <row r="421" spans="1:15" x14ac:dyDescent="0.25">
      <c r="A421" s="4" t="s">
        <v>434</v>
      </c>
      <c r="B421" s="2" t="s">
        <v>3165</v>
      </c>
      <c r="C421" s="2" t="s">
        <v>3875</v>
      </c>
      <c r="D421" s="2" t="s">
        <v>3881</v>
      </c>
      <c r="E421" s="3">
        <v>45369</v>
      </c>
      <c r="F421" s="3">
        <v>45666</v>
      </c>
      <c r="G421" s="2" t="s">
        <v>3884</v>
      </c>
      <c r="H421" s="2">
        <v>696592</v>
      </c>
      <c r="I421" s="2">
        <v>626196</v>
      </c>
      <c r="J421" s="2" t="s">
        <v>3889</v>
      </c>
      <c r="K421" s="2" t="s">
        <v>3894</v>
      </c>
      <c r="L421" s="2">
        <v>2025</v>
      </c>
      <c r="M421" s="2">
        <v>70396</v>
      </c>
      <c r="N421" s="2">
        <f xml:space="preserve"> (Table1[[#This Row],[Variance (USD)]] / Table1[[#This Row],[Actual Spending (USD)]]) * 100</f>
        <v>11.241847600431813</v>
      </c>
      <c r="O421" s="5" t="s">
        <v>3897</v>
      </c>
    </row>
    <row r="422" spans="1:15" x14ac:dyDescent="0.25">
      <c r="A422" s="4" t="s">
        <v>435</v>
      </c>
      <c r="B422" s="2" t="s">
        <v>3043</v>
      </c>
      <c r="C422" s="2" t="s">
        <v>3868</v>
      </c>
      <c r="D422" s="2" t="s">
        <v>3882</v>
      </c>
      <c r="E422" s="3">
        <v>44995</v>
      </c>
      <c r="F422" s="3">
        <v>45345</v>
      </c>
      <c r="G422" s="2" t="s">
        <v>3886</v>
      </c>
      <c r="H422" s="2">
        <v>186322</v>
      </c>
      <c r="I422" s="2">
        <v>154506</v>
      </c>
      <c r="J422" s="2" t="s">
        <v>3891</v>
      </c>
      <c r="K422" s="2" t="s">
        <v>3894</v>
      </c>
      <c r="L422" s="2">
        <v>2023</v>
      </c>
      <c r="M422" s="2">
        <v>31816</v>
      </c>
      <c r="N422" s="2">
        <f xml:space="preserve"> (Table1[[#This Row],[Variance (USD)]] / Table1[[#This Row],[Actual Spending (USD)]]) * 100</f>
        <v>20.592080566450495</v>
      </c>
      <c r="O422" s="5" t="s">
        <v>3899</v>
      </c>
    </row>
    <row r="423" spans="1:15" x14ac:dyDescent="0.25">
      <c r="A423" s="4" t="s">
        <v>436</v>
      </c>
      <c r="B423" s="2" t="s">
        <v>3333</v>
      </c>
      <c r="C423" s="2" t="s">
        <v>3870</v>
      </c>
      <c r="D423" s="2" t="s">
        <v>3877</v>
      </c>
      <c r="E423" s="3">
        <v>45449</v>
      </c>
      <c r="F423" s="3">
        <v>45567</v>
      </c>
      <c r="G423" s="2" t="s">
        <v>3884</v>
      </c>
      <c r="H423" s="2">
        <v>308116</v>
      </c>
      <c r="I423" s="2">
        <v>314513</v>
      </c>
      <c r="J423" s="2" t="s">
        <v>3889</v>
      </c>
      <c r="K423" s="2" t="s">
        <v>3895</v>
      </c>
      <c r="L423" s="2">
        <v>2024</v>
      </c>
      <c r="M423" s="2">
        <v>-6397</v>
      </c>
      <c r="N423" s="2">
        <f xml:space="preserve"> (Table1[[#This Row],[Variance (USD)]] / Table1[[#This Row],[Actual Spending (USD)]]) * 100</f>
        <v>-2.0339381837952644</v>
      </c>
      <c r="O423" s="5" t="s">
        <v>3897</v>
      </c>
    </row>
    <row r="424" spans="1:15" x14ac:dyDescent="0.25">
      <c r="A424" s="4" t="s">
        <v>437</v>
      </c>
      <c r="B424" s="2" t="s">
        <v>3334</v>
      </c>
      <c r="C424" s="2" t="s">
        <v>3872</v>
      </c>
      <c r="D424" s="2" t="s">
        <v>3880</v>
      </c>
      <c r="E424" s="3">
        <v>45069</v>
      </c>
      <c r="F424" s="3">
        <v>45626</v>
      </c>
      <c r="G424" s="2" t="s">
        <v>3884</v>
      </c>
      <c r="H424" s="2">
        <v>859721</v>
      </c>
      <c r="I424" s="2">
        <v>1020602</v>
      </c>
      <c r="J424" s="2" t="s">
        <v>3891</v>
      </c>
      <c r="K424" s="2" t="s">
        <v>3894</v>
      </c>
      <c r="L424" s="2">
        <v>2024</v>
      </c>
      <c r="M424" s="2">
        <v>-160881</v>
      </c>
      <c r="N424" s="2">
        <f xml:space="preserve"> (Table1[[#This Row],[Variance (USD)]] / Table1[[#This Row],[Actual Spending (USD)]]) * 100</f>
        <v>-15.763343595250646</v>
      </c>
      <c r="O424" s="5" t="s">
        <v>3897</v>
      </c>
    </row>
    <row r="425" spans="1:15" x14ac:dyDescent="0.25">
      <c r="A425" s="4" t="s">
        <v>438</v>
      </c>
      <c r="B425" s="2" t="s">
        <v>3335</v>
      </c>
      <c r="C425" s="2" t="s">
        <v>3875</v>
      </c>
      <c r="D425" s="2" t="s">
        <v>3878</v>
      </c>
      <c r="E425" s="3">
        <v>45118</v>
      </c>
      <c r="F425" s="3">
        <v>45322</v>
      </c>
      <c r="G425" s="2" t="s">
        <v>3886</v>
      </c>
      <c r="H425" s="2">
        <v>83087</v>
      </c>
      <c r="I425" s="2">
        <v>992048</v>
      </c>
      <c r="J425" s="2" t="s">
        <v>3890</v>
      </c>
      <c r="K425" s="2" t="s">
        <v>3893</v>
      </c>
      <c r="L425" s="2">
        <v>2025</v>
      </c>
      <c r="M425" s="2">
        <v>-908961</v>
      </c>
      <c r="N425" s="2">
        <f xml:space="preserve"> (Table1[[#This Row],[Variance (USD)]] / Table1[[#This Row],[Actual Spending (USD)]]) * 100</f>
        <v>-91.62469961130914</v>
      </c>
      <c r="O425" s="5" t="s">
        <v>3899</v>
      </c>
    </row>
    <row r="426" spans="1:15" x14ac:dyDescent="0.25">
      <c r="A426" s="4" t="s">
        <v>439</v>
      </c>
      <c r="B426" s="2" t="s">
        <v>3336</v>
      </c>
      <c r="C426" s="2" t="s">
        <v>3872</v>
      </c>
      <c r="D426" s="2" t="s">
        <v>3881</v>
      </c>
      <c r="E426" s="3">
        <v>45313</v>
      </c>
      <c r="F426" s="3">
        <v>45426</v>
      </c>
      <c r="G426" s="2" t="s">
        <v>3887</v>
      </c>
      <c r="H426" s="2">
        <v>125952</v>
      </c>
      <c r="I426" s="2">
        <v>70733</v>
      </c>
      <c r="J426" s="2" t="s">
        <v>3892</v>
      </c>
      <c r="K426" s="2" t="s">
        <v>3894</v>
      </c>
      <c r="L426" s="2">
        <v>2024</v>
      </c>
      <c r="M426" s="2">
        <v>55219</v>
      </c>
      <c r="N426" s="2">
        <f xml:space="preserve"> (Table1[[#This Row],[Variance (USD)]] / Table1[[#This Row],[Actual Spending (USD)]]) * 100</f>
        <v>78.066814640973803</v>
      </c>
      <c r="O426" s="5" t="s">
        <v>3900</v>
      </c>
    </row>
    <row r="427" spans="1:15" x14ac:dyDescent="0.25">
      <c r="A427" s="4" t="s">
        <v>440</v>
      </c>
      <c r="B427" s="2" t="s">
        <v>3240</v>
      </c>
      <c r="C427" s="2" t="s">
        <v>3874</v>
      </c>
      <c r="D427" s="2" t="s">
        <v>3876</v>
      </c>
      <c r="E427" s="3">
        <v>45304</v>
      </c>
      <c r="F427" s="3">
        <v>45349</v>
      </c>
      <c r="G427" s="2" t="s">
        <v>3884</v>
      </c>
      <c r="H427" s="2">
        <v>796055</v>
      </c>
      <c r="I427" s="2">
        <v>792129</v>
      </c>
      <c r="J427" s="2" t="s">
        <v>3889</v>
      </c>
      <c r="K427" s="2" t="s">
        <v>3896</v>
      </c>
      <c r="L427" s="2">
        <v>2023</v>
      </c>
      <c r="M427" s="2">
        <v>3926</v>
      </c>
      <c r="N427" s="2">
        <f xml:space="preserve"> (Table1[[#This Row],[Variance (USD)]] / Table1[[#This Row],[Actual Spending (USD)]]) * 100</f>
        <v>0.49562634368896985</v>
      </c>
      <c r="O427" s="5" t="s">
        <v>3897</v>
      </c>
    </row>
    <row r="428" spans="1:15" x14ac:dyDescent="0.25">
      <c r="A428" s="4" t="s">
        <v>441</v>
      </c>
      <c r="B428" s="2" t="s">
        <v>3337</v>
      </c>
      <c r="C428" s="2" t="s">
        <v>3869</v>
      </c>
      <c r="D428" s="2" t="s">
        <v>3883</v>
      </c>
      <c r="E428" s="3">
        <v>45507</v>
      </c>
      <c r="F428" s="3">
        <v>45396</v>
      </c>
      <c r="G428" s="2" t="s">
        <v>3884</v>
      </c>
      <c r="H428" s="2">
        <v>86368</v>
      </c>
      <c r="I428" s="2">
        <v>685949</v>
      </c>
      <c r="J428" s="2" t="s">
        <v>3890</v>
      </c>
      <c r="K428" s="2" t="s">
        <v>3894</v>
      </c>
      <c r="L428" s="2">
        <v>2024</v>
      </c>
      <c r="M428" s="2">
        <v>-599581</v>
      </c>
      <c r="N428" s="2">
        <f xml:space="preserve"> (Table1[[#This Row],[Variance (USD)]] / Table1[[#This Row],[Actual Spending (USD)]]) * 100</f>
        <v>-87.408976469096103</v>
      </c>
      <c r="O428" s="5" t="s">
        <v>3897</v>
      </c>
    </row>
    <row r="429" spans="1:15" x14ac:dyDescent="0.25">
      <c r="A429" s="4" t="s">
        <v>442</v>
      </c>
      <c r="B429" s="2" t="s">
        <v>3100</v>
      </c>
      <c r="C429" s="2" t="s">
        <v>3871</v>
      </c>
      <c r="D429" s="2" t="s">
        <v>3881</v>
      </c>
      <c r="E429" s="3">
        <v>45461</v>
      </c>
      <c r="F429" s="3">
        <v>45557</v>
      </c>
      <c r="G429" s="2" t="s">
        <v>3886</v>
      </c>
      <c r="H429" s="2">
        <v>694936</v>
      </c>
      <c r="I429" s="2">
        <v>755959</v>
      </c>
      <c r="J429" s="2" t="s">
        <v>3889</v>
      </c>
      <c r="K429" s="2" t="s">
        <v>3894</v>
      </c>
      <c r="L429" s="2">
        <v>2025</v>
      </c>
      <c r="M429" s="2">
        <v>-61023</v>
      </c>
      <c r="N429" s="2">
        <f xml:space="preserve"> (Table1[[#This Row],[Variance (USD)]] / Table1[[#This Row],[Actual Spending (USD)]]) * 100</f>
        <v>-8.0722631782940599</v>
      </c>
      <c r="O429" s="5" t="s">
        <v>3899</v>
      </c>
    </row>
    <row r="430" spans="1:15" x14ac:dyDescent="0.25">
      <c r="A430" s="4" t="s">
        <v>443</v>
      </c>
      <c r="B430" s="2" t="s">
        <v>3338</v>
      </c>
      <c r="C430" s="2" t="s">
        <v>3872</v>
      </c>
      <c r="D430" s="2" t="s">
        <v>3877</v>
      </c>
      <c r="E430" s="3">
        <v>45619</v>
      </c>
      <c r="F430" s="3">
        <v>45813</v>
      </c>
      <c r="G430" s="2" t="s">
        <v>3884</v>
      </c>
      <c r="H430" s="2">
        <v>907247</v>
      </c>
      <c r="I430" s="2">
        <v>901985</v>
      </c>
      <c r="J430" s="2" t="s">
        <v>3890</v>
      </c>
      <c r="K430" s="2" t="s">
        <v>3896</v>
      </c>
      <c r="L430" s="2">
        <v>2024</v>
      </c>
      <c r="M430" s="2">
        <v>5262</v>
      </c>
      <c r="N430" s="2">
        <f xml:space="preserve"> (Table1[[#This Row],[Variance (USD)]] / Table1[[#This Row],[Actual Spending (USD)]]) * 100</f>
        <v>0.5833799896894073</v>
      </c>
      <c r="O430" s="5" t="s">
        <v>3897</v>
      </c>
    </row>
    <row r="431" spans="1:15" x14ac:dyDescent="0.25">
      <c r="A431" s="4" t="s">
        <v>444</v>
      </c>
      <c r="B431" s="2" t="s">
        <v>3030</v>
      </c>
      <c r="C431" s="2" t="s">
        <v>3873</v>
      </c>
      <c r="D431" s="2" t="s">
        <v>3883</v>
      </c>
      <c r="E431" s="3">
        <v>45219</v>
      </c>
      <c r="F431" s="3">
        <v>45787</v>
      </c>
      <c r="G431" s="2" t="s">
        <v>3885</v>
      </c>
      <c r="H431" s="2">
        <v>140693</v>
      </c>
      <c r="I431" s="2">
        <v>769270</v>
      </c>
      <c r="J431" s="2" t="s">
        <v>3891</v>
      </c>
      <c r="K431" s="2" t="s">
        <v>3896</v>
      </c>
      <c r="L431" s="2">
        <v>2025</v>
      </c>
      <c r="M431" s="2">
        <v>-628577</v>
      </c>
      <c r="N431" s="2">
        <f xml:space="preserve"> (Table1[[#This Row],[Variance (USD)]] / Table1[[#This Row],[Actual Spending (USD)]]) * 100</f>
        <v>-81.71084274701991</v>
      </c>
      <c r="O431" s="5" t="s">
        <v>3898</v>
      </c>
    </row>
    <row r="432" spans="1:15" x14ac:dyDescent="0.25">
      <c r="A432" s="4" t="s">
        <v>445</v>
      </c>
      <c r="B432" s="2" t="s">
        <v>3339</v>
      </c>
      <c r="C432" s="2" t="s">
        <v>3872</v>
      </c>
      <c r="D432" s="2" t="s">
        <v>3877</v>
      </c>
      <c r="E432" s="3">
        <v>44935</v>
      </c>
      <c r="F432" s="3">
        <v>45544</v>
      </c>
      <c r="G432" s="2" t="s">
        <v>3886</v>
      </c>
      <c r="H432" s="2">
        <v>504256</v>
      </c>
      <c r="I432" s="2">
        <v>1127584</v>
      </c>
      <c r="J432" s="2" t="s">
        <v>3890</v>
      </c>
      <c r="K432" s="2" t="s">
        <v>3893</v>
      </c>
      <c r="L432" s="2">
        <v>2023</v>
      </c>
      <c r="M432" s="2">
        <v>-623328</v>
      </c>
      <c r="N432" s="2">
        <f xml:space="preserve"> (Table1[[#This Row],[Variance (USD)]] / Table1[[#This Row],[Actual Spending (USD)]]) * 100</f>
        <v>-55.2799614042058</v>
      </c>
      <c r="O432" s="5" t="s">
        <v>3899</v>
      </c>
    </row>
    <row r="433" spans="1:15" x14ac:dyDescent="0.25">
      <c r="A433" s="4" t="s">
        <v>446</v>
      </c>
      <c r="B433" s="2" t="s">
        <v>3162</v>
      </c>
      <c r="C433" s="2" t="s">
        <v>3869</v>
      </c>
      <c r="D433" s="2" t="s">
        <v>3883</v>
      </c>
      <c r="E433" s="3">
        <v>45197</v>
      </c>
      <c r="F433" s="3">
        <v>45586</v>
      </c>
      <c r="G433" s="2" t="s">
        <v>3884</v>
      </c>
      <c r="H433" s="2">
        <v>633188</v>
      </c>
      <c r="I433" s="2">
        <v>553343</v>
      </c>
      <c r="J433" s="2" t="s">
        <v>3891</v>
      </c>
      <c r="K433" s="2" t="s">
        <v>3896</v>
      </c>
      <c r="L433" s="2">
        <v>2023</v>
      </c>
      <c r="M433" s="2">
        <v>79845</v>
      </c>
      <c r="N433" s="2">
        <f xml:space="preserve"> (Table1[[#This Row],[Variance (USD)]] / Table1[[#This Row],[Actual Spending (USD)]]) * 100</f>
        <v>14.429567194308051</v>
      </c>
      <c r="O433" s="5" t="s">
        <v>3897</v>
      </c>
    </row>
    <row r="434" spans="1:15" x14ac:dyDescent="0.25">
      <c r="A434" s="4" t="s">
        <v>447</v>
      </c>
      <c r="B434" s="2" t="s">
        <v>3180</v>
      </c>
      <c r="C434" s="2" t="s">
        <v>3870</v>
      </c>
      <c r="D434" s="2" t="s">
        <v>3876</v>
      </c>
      <c r="E434" s="3">
        <v>45313</v>
      </c>
      <c r="F434" s="3">
        <v>45959</v>
      </c>
      <c r="G434" s="2" t="s">
        <v>3887</v>
      </c>
      <c r="H434" s="2">
        <v>851926</v>
      </c>
      <c r="I434" s="2">
        <v>621082</v>
      </c>
      <c r="J434" s="2" t="s">
        <v>3892</v>
      </c>
      <c r="K434" s="2" t="s">
        <v>3896</v>
      </c>
      <c r="L434" s="2">
        <v>2024</v>
      </c>
      <c r="M434" s="2">
        <v>230844</v>
      </c>
      <c r="N434" s="2">
        <f xml:space="preserve"> (Table1[[#This Row],[Variance (USD)]] / Table1[[#This Row],[Actual Spending (USD)]]) * 100</f>
        <v>37.168039002901388</v>
      </c>
      <c r="O434" s="5" t="s">
        <v>3900</v>
      </c>
    </row>
    <row r="435" spans="1:15" x14ac:dyDescent="0.25">
      <c r="A435" s="4" t="s">
        <v>448</v>
      </c>
      <c r="B435" s="2" t="s">
        <v>3215</v>
      </c>
      <c r="C435" s="2" t="s">
        <v>3871</v>
      </c>
      <c r="D435" s="2" t="s">
        <v>3878</v>
      </c>
      <c r="E435" s="3">
        <v>45019</v>
      </c>
      <c r="F435" s="3">
        <v>45449</v>
      </c>
      <c r="G435" s="2" t="s">
        <v>3886</v>
      </c>
      <c r="H435" s="2">
        <v>428630</v>
      </c>
      <c r="I435" s="2">
        <v>1157710</v>
      </c>
      <c r="J435" s="2" t="s">
        <v>3891</v>
      </c>
      <c r="K435" s="2" t="s">
        <v>3893</v>
      </c>
      <c r="L435" s="2">
        <v>2024</v>
      </c>
      <c r="M435" s="2">
        <v>-729080</v>
      </c>
      <c r="N435" s="2">
        <f xml:space="preserve"> (Table1[[#This Row],[Variance (USD)]] / Table1[[#This Row],[Actual Spending (USD)]]) * 100</f>
        <v>-62.976047542130587</v>
      </c>
      <c r="O435" s="5" t="s">
        <v>3899</v>
      </c>
    </row>
    <row r="436" spans="1:15" x14ac:dyDescent="0.25">
      <c r="A436" s="4" t="s">
        <v>449</v>
      </c>
      <c r="B436" s="2" t="s">
        <v>3291</v>
      </c>
      <c r="C436" s="2" t="s">
        <v>3874</v>
      </c>
      <c r="D436" s="2" t="s">
        <v>3876</v>
      </c>
      <c r="E436" s="3">
        <v>45455</v>
      </c>
      <c r="F436" s="3">
        <v>45840</v>
      </c>
      <c r="G436" s="2" t="s">
        <v>3885</v>
      </c>
      <c r="H436" s="2">
        <v>750526</v>
      </c>
      <c r="I436" s="2">
        <v>407403</v>
      </c>
      <c r="J436" s="2" t="s">
        <v>3888</v>
      </c>
      <c r="K436" s="2" t="s">
        <v>3893</v>
      </c>
      <c r="L436" s="2">
        <v>2025</v>
      </c>
      <c r="M436" s="2">
        <v>343123</v>
      </c>
      <c r="N436" s="2">
        <f xml:space="preserve"> (Table1[[#This Row],[Variance (USD)]] / Table1[[#This Row],[Actual Spending (USD)]]) * 100</f>
        <v>84.222011129029482</v>
      </c>
      <c r="O436" s="5" t="s">
        <v>3898</v>
      </c>
    </row>
    <row r="437" spans="1:15" x14ac:dyDescent="0.25">
      <c r="A437" s="4" t="s">
        <v>450</v>
      </c>
      <c r="B437" s="2" t="s">
        <v>3255</v>
      </c>
      <c r="C437" s="2" t="s">
        <v>3875</v>
      </c>
      <c r="D437" s="2" t="s">
        <v>3880</v>
      </c>
      <c r="E437" s="3">
        <v>45080</v>
      </c>
      <c r="F437" s="3">
        <v>45922</v>
      </c>
      <c r="G437" s="2" t="s">
        <v>3886</v>
      </c>
      <c r="H437" s="2">
        <v>272182</v>
      </c>
      <c r="I437" s="2">
        <v>357367</v>
      </c>
      <c r="J437" s="2" t="s">
        <v>3892</v>
      </c>
      <c r="K437" s="2" t="s">
        <v>3894</v>
      </c>
      <c r="L437" s="2">
        <v>2023</v>
      </c>
      <c r="M437" s="2">
        <v>-85185</v>
      </c>
      <c r="N437" s="2">
        <f xml:space="preserve"> (Table1[[#This Row],[Variance (USD)]] / Table1[[#This Row],[Actual Spending (USD)]]) * 100</f>
        <v>-23.83683999921649</v>
      </c>
      <c r="O437" s="5" t="s">
        <v>3899</v>
      </c>
    </row>
    <row r="438" spans="1:15" x14ac:dyDescent="0.25">
      <c r="A438" s="4" t="s">
        <v>451</v>
      </c>
      <c r="B438" s="2" t="s">
        <v>3267</v>
      </c>
      <c r="C438" s="2" t="s">
        <v>3874</v>
      </c>
      <c r="D438" s="2" t="s">
        <v>3879</v>
      </c>
      <c r="E438" s="3">
        <v>45331</v>
      </c>
      <c r="F438" s="3">
        <v>45358</v>
      </c>
      <c r="G438" s="2" t="s">
        <v>3885</v>
      </c>
      <c r="H438" s="2">
        <v>206405</v>
      </c>
      <c r="I438" s="2">
        <v>1058512</v>
      </c>
      <c r="J438" s="2" t="s">
        <v>3890</v>
      </c>
      <c r="K438" s="2" t="s">
        <v>3895</v>
      </c>
      <c r="L438" s="2">
        <v>2023</v>
      </c>
      <c r="M438" s="2">
        <v>-852107</v>
      </c>
      <c r="N438" s="2">
        <f xml:space="preserve"> (Table1[[#This Row],[Variance (USD)]] / Table1[[#This Row],[Actual Spending (USD)]]) * 100</f>
        <v>-80.500457245642949</v>
      </c>
      <c r="O438" s="5" t="s">
        <v>3898</v>
      </c>
    </row>
    <row r="439" spans="1:15" x14ac:dyDescent="0.25">
      <c r="A439" s="4" t="s">
        <v>452</v>
      </c>
      <c r="B439" s="2" t="s">
        <v>3232</v>
      </c>
      <c r="C439" s="2" t="s">
        <v>3869</v>
      </c>
      <c r="D439" s="2" t="s">
        <v>3878</v>
      </c>
      <c r="E439" s="3">
        <v>45075</v>
      </c>
      <c r="F439" s="3">
        <v>45590</v>
      </c>
      <c r="G439" s="2" t="s">
        <v>3884</v>
      </c>
      <c r="H439" s="2">
        <v>869482</v>
      </c>
      <c r="I439" s="2">
        <v>817069</v>
      </c>
      <c r="J439" s="2" t="s">
        <v>3890</v>
      </c>
      <c r="K439" s="2" t="s">
        <v>3893</v>
      </c>
      <c r="L439" s="2">
        <v>2023</v>
      </c>
      <c r="M439" s="2">
        <v>52413</v>
      </c>
      <c r="N439" s="2">
        <f xml:space="preserve"> (Table1[[#This Row],[Variance (USD)]] / Table1[[#This Row],[Actual Spending (USD)]]) * 100</f>
        <v>6.4147581171235233</v>
      </c>
      <c r="O439" s="5" t="s">
        <v>3897</v>
      </c>
    </row>
    <row r="440" spans="1:15" x14ac:dyDescent="0.25">
      <c r="A440" s="4" t="s">
        <v>453</v>
      </c>
      <c r="B440" s="2" t="s">
        <v>3340</v>
      </c>
      <c r="C440" s="2" t="s">
        <v>3871</v>
      </c>
      <c r="D440" s="2" t="s">
        <v>3876</v>
      </c>
      <c r="E440" s="3">
        <v>45193</v>
      </c>
      <c r="F440" s="3">
        <v>45754</v>
      </c>
      <c r="G440" s="2" t="s">
        <v>3884</v>
      </c>
      <c r="H440" s="2">
        <v>672087</v>
      </c>
      <c r="I440" s="2">
        <v>775512</v>
      </c>
      <c r="J440" s="2" t="s">
        <v>3888</v>
      </c>
      <c r="K440" s="2" t="s">
        <v>3896</v>
      </c>
      <c r="L440" s="2">
        <v>2023</v>
      </c>
      <c r="M440" s="2">
        <v>-103425</v>
      </c>
      <c r="N440" s="2">
        <f xml:space="preserve"> (Table1[[#This Row],[Variance (USD)]] / Table1[[#This Row],[Actual Spending (USD)]]) * 100</f>
        <v>-13.336350694766812</v>
      </c>
      <c r="O440" s="5" t="s">
        <v>3897</v>
      </c>
    </row>
    <row r="441" spans="1:15" x14ac:dyDescent="0.25">
      <c r="A441" s="4" t="s">
        <v>454</v>
      </c>
      <c r="B441" s="2" t="s">
        <v>3341</v>
      </c>
      <c r="C441" s="2" t="s">
        <v>3872</v>
      </c>
      <c r="D441" s="2" t="s">
        <v>3880</v>
      </c>
      <c r="E441" s="3">
        <v>45348</v>
      </c>
      <c r="F441" s="3">
        <v>46016</v>
      </c>
      <c r="G441" s="2" t="s">
        <v>3885</v>
      </c>
      <c r="H441" s="2">
        <v>181016</v>
      </c>
      <c r="I441" s="2">
        <v>307972</v>
      </c>
      <c r="J441" s="2" t="s">
        <v>3890</v>
      </c>
      <c r="K441" s="2" t="s">
        <v>3894</v>
      </c>
      <c r="L441" s="2">
        <v>2024</v>
      </c>
      <c r="M441" s="2">
        <v>-126956</v>
      </c>
      <c r="N441" s="2">
        <f xml:space="preserve"> (Table1[[#This Row],[Variance (USD)]] / Table1[[#This Row],[Actual Spending (USD)]]) * 100</f>
        <v>-41.223228085670129</v>
      </c>
      <c r="O441" s="5" t="s">
        <v>3898</v>
      </c>
    </row>
    <row r="442" spans="1:15" x14ac:dyDescent="0.25">
      <c r="A442" s="4" t="s">
        <v>455</v>
      </c>
      <c r="B442" s="2" t="s">
        <v>3342</v>
      </c>
      <c r="C442" s="2" t="s">
        <v>3870</v>
      </c>
      <c r="D442" s="2" t="s">
        <v>3879</v>
      </c>
      <c r="E442" s="3">
        <v>45544</v>
      </c>
      <c r="F442" s="3">
        <v>45392</v>
      </c>
      <c r="G442" s="2" t="s">
        <v>3884</v>
      </c>
      <c r="H442" s="2">
        <v>279147</v>
      </c>
      <c r="I442" s="2">
        <v>214616</v>
      </c>
      <c r="J442" s="2" t="s">
        <v>3892</v>
      </c>
      <c r="K442" s="2" t="s">
        <v>3896</v>
      </c>
      <c r="L442" s="2">
        <v>2024</v>
      </c>
      <c r="M442" s="2">
        <v>64531</v>
      </c>
      <c r="N442" s="2">
        <f xml:space="preserve"> (Table1[[#This Row],[Variance (USD)]] / Table1[[#This Row],[Actual Spending (USD)]]) * 100</f>
        <v>30.068121668468333</v>
      </c>
      <c r="O442" s="5" t="s">
        <v>3897</v>
      </c>
    </row>
    <row r="443" spans="1:15" x14ac:dyDescent="0.25">
      <c r="A443" s="4" t="s">
        <v>456</v>
      </c>
      <c r="B443" s="2" t="s">
        <v>3162</v>
      </c>
      <c r="C443" s="2" t="s">
        <v>3868</v>
      </c>
      <c r="D443" s="2" t="s">
        <v>3880</v>
      </c>
      <c r="E443" s="3">
        <v>45398</v>
      </c>
      <c r="F443" s="3">
        <v>45347</v>
      </c>
      <c r="G443" s="2" t="s">
        <v>3884</v>
      </c>
      <c r="H443" s="2">
        <v>662545</v>
      </c>
      <c r="I443" s="2">
        <v>514948</v>
      </c>
      <c r="J443" s="2" t="s">
        <v>3892</v>
      </c>
      <c r="K443" s="2" t="s">
        <v>3893</v>
      </c>
      <c r="L443" s="2">
        <v>2025</v>
      </c>
      <c r="M443" s="2">
        <v>147597</v>
      </c>
      <c r="N443" s="2">
        <f xml:space="preserve"> (Table1[[#This Row],[Variance (USD)]] / Table1[[#This Row],[Actual Spending (USD)]]) * 100</f>
        <v>28.662505728733773</v>
      </c>
      <c r="O443" s="5" t="s">
        <v>3897</v>
      </c>
    </row>
    <row r="444" spans="1:15" x14ac:dyDescent="0.25">
      <c r="A444" s="4" t="s">
        <v>457</v>
      </c>
      <c r="B444" s="2" t="s">
        <v>3058</v>
      </c>
      <c r="C444" s="2" t="s">
        <v>3870</v>
      </c>
      <c r="D444" s="2" t="s">
        <v>3877</v>
      </c>
      <c r="E444" s="3">
        <v>45473</v>
      </c>
      <c r="F444" s="3">
        <v>45623</v>
      </c>
      <c r="G444" s="2" t="s">
        <v>3886</v>
      </c>
      <c r="H444" s="2">
        <v>98070</v>
      </c>
      <c r="I444" s="2">
        <v>656264</v>
      </c>
      <c r="J444" s="2" t="s">
        <v>3891</v>
      </c>
      <c r="K444" s="2" t="s">
        <v>3895</v>
      </c>
      <c r="L444" s="2">
        <v>2023</v>
      </c>
      <c r="M444" s="2">
        <v>-558194</v>
      </c>
      <c r="N444" s="2">
        <f xml:space="preserve"> (Table1[[#This Row],[Variance (USD)]] / Table1[[#This Row],[Actual Spending (USD)]]) * 100</f>
        <v>-85.056318798532288</v>
      </c>
      <c r="O444" s="5" t="s">
        <v>3899</v>
      </c>
    </row>
    <row r="445" spans="1:15" x14ac:dyDescent="0.25">
      <c r="A445" s="4" t="s">
        <v>458</v>
      </c>
      <c r="B445" s="2" t="s">
        <v>3343</v>
      </c>
      <c r="C445" s="2" t="s">
        <v>3868</v>
      </c>
      <c r="D445" s="2" t="s">
        <v>3882</v>
      </c>
      <c r="E445" s="3">
        <v>45557</v>
      </c>
      <c r="F445" s="3">
        <v>45684</v>
      </c>
      <c r="G445" s="2" t="s">
        <v>3885</v>
      </c>
      <c r="H445" s="2">
        <v>841598</v>
      </c>
      <c r="I445" s="2">
        <v>599385</v>
      </c>
      <c r="J445" s="2" t="s">
        <v>3889</v>
      </c>
      <c r="K445" s="2" t="s">
        <v>3894</v>
      </c>
      <c r="L445" s="2">
        <v>2024</v>
      </c>
      <c r="M445" s="2">
        <v>242213</v>
      </c>
      <c r="N445" s="2">
        <f xml:space="preserve"> (Table1[[#This Row],[Variance (USD)]] / Table1[[#This Row],[Actual Spending (USD)]]) * 100</f>
        <v>40.410253843522945</v>
      </c>
      <c r="O445" s="5" t="s">
        <v>3898</v>
      </c>
    </row>
    <row r="446" spans="1:15" x14ac:dyDescent="0.25">
      <c r="A446" s="4" t="s">
        <v>459</v>
      </c>
      <c r="B446" s="2" t="s">
        <v>3344</v>
      </c>
      <c r="C446" s="2" t="s">
        <v>3873</v>
      </c>
      <c r="D446" s="2" t="s">
        <v>3877</v>
      </c>
      <c r="E446" s="3">
        <v>45452</v>
      </c>
      <c r="F446" s="3">
        <v>45672</v>
      </c>
      <c r="G446" s="2" t="s">
        <v>3884</v>
      </c>
      <c r="H446" s="2">
        <v>450337</v>
      </c>
      <c r="I446" s="2">
        <v>667559</v>
      </c>
      <c r="J446" s="2" t="s">
        <v>3890</v>
      </c>
      <c r="K446" s="2" t="s">
        <v>3893</v>
      </c>
      <c r="L446" s="2">
        <v>2024</v>
      </c>
      <c r="M446" s="2">
        <v>-217222</v>
      </c>
      <c r="N446" s="2">
        <f xml:space="preserve"> (Table1[[#This Row],[Variance (USD)]] / Table1[[#This Row],[Actual Spending (USD)]]) * 100</f>
        <v>-32.539745550580548</v>
      </c>
      <c r="O446" s="5" t="s">
        <v>3897</v>
      </c>
    </row>
    <row r="447" spans="1:15" x14ac:dyDescent="0.25">
      <c r="A447" s="4" t="s">
        <v>460</v>
      </c>
      <c r="B447" s="2" t="s">
        <v>3049</v>
      </c>
      <c r="C447" s="2" t="s">
        <v>3870</v>
      </c>
      <c r="D447" s="2" t="s">
        <v>3883</v>
      </c>
      <c r="E447" s="3">
        <v>45429</v>
      </c>
      <c r="F447" s="3">
        <v>45383</v>
      </c>
      <c r="G447" s="2" t="s">
        <v>3885</v>
      </c>
      <c r="H447" s="2">
        <v>720037</v>
      </c>
      <c r="I447" s="2">
        <v>586490</v>
      </c>
      <c r="J447" s="2" t="s">
        <v>3888</v>
      </c>
      <c r="K447" s="2" t="s">
        <v>3893</v>
      </c>
      <c r="L447" s="2">
        <v>2023</v>
      </c>
      <c r="M447" s="2">
        <v>133547</v>
      </c>
      <c r="N447" s="2">
        <f xml:space="preserve"> (Table1[[#This Row],[Variance (USD)]] / Table1[[#This Row],[Actual Spending (USD)]]) * 100</f>
        <v>22.770550222510188</v>
      </c>
      <c r="O447" s="5" t="s">
        <v>3898</v>
      </c>
    </row>
    <row r="448" spans="1:15" x14ac:dyDescent="0.25">
      <c r="A448" s="4" t="s">
        <v>461</v>
      </c>
      <c r="B448" s="2" t="s">
        <v>3045</v>
      </c>
      <c r="C448" s="2" t="s">
        <v>3871</v>
      </c>
      <c r="D448" s="2" t="s">
        <v>3878</v>
      </c>
      <c r="E448" s="3">
        <v>44940</v>
      </c>
      <c r="F448" s="3">
        <v>45738</v>
      </c>
      <c r="G448" s="2" t="s">
        <v>3886</v>
      </c>
      <c r="H448" s="2">
        <v>761921</v>
      </c>
      <c r="I448" s="2">
        <v>1107280</v>
      </c>
      <c r="J448" s="2" t="s">
        <v>3892</v>
      </c>
      <c r="K448" s="2" t="s">
        <v>3896</v>
      </c>
      <c r="L448" s="2">
        <v>2024</v>
      </c>
      <c r="M448" s="2">
        <v>-345359</v>
      </c>
      <c r="N448" s="2">
        <f xml:space="preserve"> (Table1[[#This Row],[Variance (USD)]] / Table1[[#This Row],[Actual Spending (USD)]]) * 100</f>
        <v>-31.189852611805506</v>
      </c>
      <c r="O448" s="5" t="s">
        <v>3899</v>
      </c>
    </row>
    <row r="449" spans="1:15" x14ac:dyDescent="0.25">
      <c r="A449" s="4" t="s">
        <v>462</v>
      </c>
      <c r="B449" s="2" t="s">
        <v>3345</v>
      </c>
      <c r="C449" s="2" t="s">
        <v>3868</v>
      </c>
      <c r="D449" s="2" t="s">
        <v>3877</v>
      </c>
      <c r="E449" s="3">
        <v>45578</v>
      </c>
      <c r="F449" s="3">
        <v>45400</v>
      </c>
      <c r="G449" s="2" t="s">
        <v>3884</v>
      </c>
      <c r="H449" s="2">
        <v>525125</v>
      </c>
      <c r="I449" s="2">
        <v>1169987</v>
      </c>
      <c r="J449" s="2" t="s">
        <v>3892</v>
      </c>
      <c r="K449" s="2" t="s">
        <v>3895</v>
      </c>
      <c r="L449" s="2">
        <v>2025</v>
      </c>
      <c r="M449" s="2">
        <v>-644862</v>
      </c>
      <c r="N449" s="2">
        <f xml:space="preserve"> (Table1[[#This Row],[Variance (USD)]] / Table1[[#This Row],[Actual Spending (USD)]]) * 100</f>
        <v>-55.117022667773227</v>
      </c>
      <c r="O449" s="5" t="s">
        <v>3897</v>
      </c>
    </row>
    <row r="450" spans="1:15" x14ac:dyDescent="0.25">
      <c r="A450" s="4" t="s">
        <v>463</v>
      </c>
      <c r="B450" s="2" t="s">
        <v>3346</v>
      </c>
      <c r="C450" s="2" t="s">
        <v>3875</v>
      </c>
      <c r="D450" s="2" t="s">
        <v>3881</v>
      </c>
      <c r="E450" s="3">
        <v>45290</v>
      </c>
      <c r="F450" s="3">
        <v>45608</v>
      </c>
      <c r="G450" s="2" t="s">
        <v>3885</v>
      </c>
      <c r="H450" s="2">
        <v>923841</v>
      </c>
      <c r="I450" s="2">
        <v>577929</v>
      </c>
      <c r="J450" s="2" t="s">
        <v>3892</v>
      </c>
      <c r="K450" s="2" t="s">
        <v>3893</v>
      </c>
      <c r="L450" s="2">
        <v>2025</v>
      </c>
      <c r="M450" s="2">
        <v>345912</v>
      </c>
      <c r="N450" s="2">
        <f xml:space="preserve"> (Table1[[#This Row],[Variance (USD)]] / Table1[[#This Row],[Actual Spending (USD)]]) * 100</f>
        <v>59.85371905545491</v>
      </c>
      <c r="O450" s="5" t="s">
        <v>3898</v>
      </c>
    </row>
    <row r="451" spans="1:15" x14ac:dyDescent="0.25">
      <c r="A451" s="4" t="s">
        <v>464</v>
      </c>
      <c r="B451" s="2" t="s">
        <v>3347</v>
      </c>
      <c r="C451" s="2" t="s">
        <v>3871</v>
      </c>
      <c r="D451" s="2" t="s">
        <v>3880</v>
      </c>
      <c r="E451" s="3">
        <v>45045</v>
      </c>
      <c r="F451" s="3">
        <v>45459</v>
      </c>
      <c r="G451" s="2" t="s">
        <v>3884</v>
      </c>
      <c r="H451" s="2">
        <v>87664</v>
      </c>
      <c r="I451" s="2">
        <v>239843</v>
      </c>
      <c r="J451" s="2" t="s">
        <v>3889</v>
      </c>
      <c r="K451" s="2" t="s">
        <v>3896</v>
      </c>
      <c r="L451" s="2">
        <v>2023</v>
      </c>
      <c r="M451" s="2">
        <v>-152179</v>
      </c>
      <c r="N451" s="2">
        <f xml:space="preserve"> (Table1[[#This Row],[Variance (USD)]] / Table1[[#This Row],[Actual Spending (USD)]]) * 100</f>
        <v>-63.449423164319995</v>
      </c>
      <c r="O451" s="5" t="s">
        <v>3897</v>
      </c>
    </row>
    <row r="452" spans="1:15" x14ac:dyDescent="0.25">
      <c r="A452" s="4" t="s">
        <v>465</v>
      </c>
      <c r="B452" s="2" t="s">
        <v>3348</v>
      </c>
      <c r="C452" s="2" t="s">
        <v>3875</v>
      </c>
      <c r="D452" s="2" t="s">
        <v>3878</v>
      </c>
      <c r="E452" s="3">
        <v>45164</v>
      </c>
      <c r="F452" s="3">
        <v>45726</v>
      </c>
      <c r="G452" s="2" t="s">
        <v>3884</v>
      </c>
      <c r="H452" s="2">
        <v>966358</v>
      </c>
      <c r="I452" s="2">
        <v>838459</v>
      </c>
      <c r="J452" s="2" t="s">
        <v>3889</v>
      </c>
      <c r="K452" s="2" t="s">
        <v>3894</v>
      </c>
      <c r="L452" s="2">
        <v>2025</v>
      </c>
      <c r="M452" s="2">
        <v>127899</v>
      </c>
      <c r="N452" s="2">
        <f xml:space="preserve"> (Table1[[#This Row],[Variance (USD)]] / Table1[[#This Row],[Actual Spending (USD)]]) * 100</f>
        <v>15.25405535631438</v>
      </c>
      <c r="O452" s="5" t="s">
        <v>3897</v>
      </c>
    </row>
    <row r="453" spans="1:15" x14ac:dyDescent="0.25">
      <c r="A453" s="4" t="s">
        <v>466</v>
      </c>
      <c r="B453" s="2" t="s">
        <v>3349</v>
      </c>
      <c r="C453" s="2" t="s">
        <v>3870</v>
      </c>
      <c r="D453" s="2" t="s">
        <v>3882</v>
      </c>
      <c r="E453" s="3">
        <v>45472</v>
      </c>
      <c r="F453" s="3">
        <v>45733</v>
      </c>
      <c r="G453" s="2" t="s">
        <v>3884</v>
      </c>
      <c r="H453" s="2">
        <v>558034</v>
      </c>
      <c r="I453" s="2">
        <v>1045967</v>
      </c>
      <c r="J453" s="2" t="s">
        <v>3890</v>
      </c>
      <c r="K453" s="2" t="s">
        <v>3896</v>
      </c>
      <c r="L453" s="2">
        <v>2024</v>
      </c>
      <c r="M453" s="2">
        <v>-487933</v>
      </c>
      <c r="N453" s="2">
        <f xml:space="preserve"> (Table1[[#This Row],[Variance (USD)]] / Table1[[#This Row],[Actual Spending (USD)]]) * 100</f>
        <v>-46.648986057877543</v>
      </c>
      <c r="O453" s="5" t="s">
        <v>3897</v>
      </c>
    </row>
    <row r="454" spans="1:15" x14ac:dyDescent="0.25">
      <c r="A454" s="4" t="s">
        <v>467</v>
      </c>
      <c r="B454" s="2" t="s">
        <v>3350</v>
      </c>
      <c r="C454" s="2" t="s">
        <v>3875</v>
      </c>
      <c r="D454" s="2" t="s">
        <v>3881</v>
      </c>
      <c r="E454" s="3">
        <v>45095</v>
      </c>
      <c r="F454" s="3">
        <v>45509</v>
      </c>
      <c r="G454" s="2" t="s">
        <v>3884</v>
      </c>
      <c r="H454" s="2">
        <v>837725</v>
      </c>
      <c r="I454" s="2">
        <v>335056</v>
      </c>
      <c r="J454" s="2" t="s">
        <v>3888</v>
      </c>
      <c r="K454" s="2" t="s">
        <v>3894</v>
      </c>
      <c r="L454" s="2">
        <v>2025</v>
      </c>
      <c r="M454" s="2">
        <v>502669</v>
      </c>
      <c r="N454" s="2">
        <f xml:space="preserve"> (Table1[[#This Row],[Variance (USD)]] / Table1[[#This Row],[Actual Spending (USD)]]) * 100</f>
        <v>150.0253688935581</v>
      </c>
      <c r="O454" s="5" t="s">
        <v>3897</v>
      </c>
    </row>
    <row r="455" spans="1:15" x14ac:dyDescent="0.25">
      <c r="A455" s="4" t="s">
        <v>468</v>
      </c>
      <c r="B455" s="2" t="s">
        <v>3096</v>
      </c>
      <c r="C455" s="2" t="s">
        <v>3868</v>
      </c>
      <c r="D455" s="2" t="s">
        <v>3877</v>
      </c>
      <c r="E455" s="3">
        <v>45448</v>
      </c>
      <c r="F455" s="3">
        <v>45513</v>
      </c>
      <c r="G455" s="2" t="s">
        <v>3884</v>
      </c>
      <c r="H455" s="2">
        <v>989947</v>
      </c>
      <c r="I455" s="2">
        <v>536313</v>
      </c>
      <c r="J455" s="2" t="s">
        <v>3889</v>
      </c>
      <c r="K455" s="2" t="s">
        <v>3896</v>
      </c>
      <c r="L455" s="2">
        <v>2024</v>
      </c>
      <c r="M455" s="2">
        <v>453634</v>
      </c>
      <c r="N455" s="2">
        <f xml:space="preserve"> (Table1[[#This Row],[Variance (USD)]] / Table1[[#This Row],[Actual Spending (USD)]]) * 100</f>
        <v>84.583815794135148</v>
      </c>
      <c r="O455" s="5" t="s">
        <v>3897</v>
      </c>
    </row>
    <row r="456" spans="1:15" x14ac:dyDescent="0.25">
      <c r="A456" s="4" t="s">
        <v>469</v>
      </c>
      <c r="B456" s="2" t="s">
        <v>3351</v>
      </c>
      <c r="C456" s="2" t="s">
        <v>3871</v>
      </c>
      <c r="D456" s="2" t="s">
        <v>3883</v>
      </c>
      <c r="E456" s="3">
        <v>45560</v>
      </c>
      <c r="F456" s="3">
        <v>45964</v>
      </c>
      <c r="G456" s="2" t="s">
        <v>3885</v>
      </c>
      <c r="H456" s="2">
        <v>548477</v>
      </c>
      <c r="I456" s="2">
        <v>400371</v>
      </c>
      <c r="J456" s="2" t="s">
        <v>3891</v>
      </c>
      <c r="K456" s="2" t="s">
        <v>3895</v>
      </c>
      <c r="L456" s="2">
        <v>2023</v>
      </c>
      <c r="M456" s="2">
        <v>148106</v>
      </c>
      <c r="N456" s="2">
        <f xml:space="preserve"> (Table1[[#This Row],[Variance (USD)]] / Table1[[#This Row],[Actual Spending (USD)]]) * 100</f>
        <v>36.992189744012428</v>
      </c>
      <c r="O456" s="5" t="s">
        <v>3898</v>
      </c>
    </row>
    <row r="457" spans="1:15" x14ac:dyDescent="0.25">
      <c r="A457" s="4" t="s">
        <v>470</v>
      </c>
      <c r="B457" s="2" t="s">
        <v>3346</v>
      </c>
      <c r="C457" s="2" t="s">
        <v>3872</v>
      </c>
      <c r="D457" s="2" t="s">
        <v>3876</v>
      </c>
      <c r="E457" s="3">
        <v>45583</v>
      </c>
      <c r="F457" s="3">
        <v>45819</v>
      </c>
      <c r="G457" s="2" t="s">
        <v>3886</v>
      </c>
      <c r="H457" s="2">
        <v>361356</v>
      </c>
      <c r="I457" s="2">
        <v>515774</v>
      </c>
      <c r="J457" s="2" t="s">
        <v>3889</v>
      </c>
      <c r="K457" s="2" t="s">
        <v>3896</v>
      </c>
      <c r="L457" s="2">
        <v>2023</v>
      </c>
      <c r="M457" s="2">
        <v>-154418</v>
      </c>
      <c r="N457" s="2">
        <f xml:space="preserve"> (Table1[[#This Row],[Variance (USD)]] / Table1[[#This Row],[Actual Spending (USD)]]) * 100</f>
        <v>-29.939081845924765</v>
      </c>
      <c r="O457" s="5" t="s">
        <v>3899</v>
      </c>
    </row>
    <row r="458" spans="1:15" x14ac:dyDescent="0.25">
      <c r="A458" s="4" t="s">
        <v>471</v>
      </c>
      <c r="B458" s="2" t="s">
        <v>3032</v>
      </c>
      <c r="C458" s="2" t="s">
        <v>3869</v>
      </c>
      <c r="D458" s="2" t="s">
        <v>3883</v>
      </c>
      <c r="E458" s="3">
        <v>45442</v>
      </c>
      <c r="F458" s="3">
        <v>45569</v>
      </c>
      <c r="G458" s="2" t="s">
        <v>3886</v>
      </c>
      <c r="H458" s="2">
        <v>125276</v>
      </c>
      <c r="I458" s="2">
        <v>232546</v>
      </c>
      <c r="J458" s="2" t="s">
        <v>3892</v>
      </c>
      <c r="K458" s="2" t="s">
        <v>3895</v>
      </c>
      <c r="L458" s="2">
        <v>2024</v>
      </c>
      <c r="M458" s="2">
        <v>-107270</v>
      </c>
      <c r="N458" s="2">
        <f xml:space="preserve"> (Table1[[#This Row],[Variance (USD)]] / Table1[[#This Row],[Actual Spending (USD)]]) * 100</f>
        <v>-46.128507908112802</v>
      </c>
      <c r="O458" s="5" t="s">
        <v>3899</v>
      </c>
    </row>
    <row r="459" spans="1:15" x14ac:dyDescent="0.25">
      <c r="A459" s="4" t="s">
        <v>472</v>
      </c>
      <c r="B459" s="2" t="s">
        <v>3352</v>
      </c>
      <c r="C459" s="2" t="s">
        <v>3868</v>
      </c>
      <c r="D459" s="2" t="s">
        <v>3881</v>
      </c>
      <c r="E459" s="3">
        <v>45323</v>
      </c>
      <c r="F459" s="3">
        <v>45860</v>
      </c>
      <c r="G459" s="2" t="s">
        <v>3886</v>
      </c>
      <c r="H459" s="2">
        <v>848991</v>
      </c>
      <c r="I459" s="2">
        <v>158773</v>
      </c>
      <c r="J459" s="2" t="s">
        <v>3888</v>
      </c>
      <c r="K459" s="2" t="s">
        <v>3895</v>
      </c>
      <c r="L459" s="2">
        <v>2024</v>
      </c>
      <c r="M459" s="2">
        <v>690218</v>
      </c>
      <c r="N459" s="2">
        <f xml:space="preserve"> (Table1[[#This Row],[Variance (USD)]] / Table1[[#This Row],[Actual Spending (USD)]]) * 100</f>
        <v>434.72000906955213</v>
      </c>
      <c r="O459" s="5" t="s">
        <v>3899</v>
      </c>
    </row>
    <row r="460" spans="1:15" x14ac:dyDescent="0.25">
      <c r="A460" s="4" t="s">
        <v>473</v>
      </c>
      <c r="B460" s="2" t="s">
        <v>3122</v>
      </c>
      <c r="C460" s="2" t="s">
        <v>3868</v>
      </c>
      <c r="D460" s="2" t="s">
        <v>3879</v>
      </c>
      <c r="E460" s="3">
        <v>45032</v>
      </c>
      <c r="F460" s="3">
        <v>45865</v>
      </c>
      <c r="G460" s="2" t="s">
        <v>3884</v>
      </c>
      <c r="H460" s="2">
        <v>115231</v>
      </c>
      <c r="I460" s="2">
        <v>139658</v>
      </c>
      <c r="J460" s="2" t="s">
        <v>3890</v>
      </c>
      <c r="K460" s="2" t="s">
        <v>3894</v>
      </c>
      <c r="L460" s="2">
        <v>2025</v>
      </c>
      <c r="M460" s="2">
        <v>-24427</v>
      </c>
      <c r="N460" s="2">
        <f xml:space="preserve"> (Table1[[#This Row],[Variance (USD)]] / Table1[[#This Row],[Actual Spending (USD)]]) * 100</f>
        <v>-17.490584141259362</v>
      </c>
      <c r="O460" s="5" t="s">
        <v>3897</v>
      </c>
    </row>
    <row r="461" spans="1:15" x14ac:dyDescent="0.25">
      <c r="A461" s="4" t="s">
        <v>474</v>
      </c>
      <c r="B461" s="2" t="s">
        <v>3353</v>
      </c>
      <c r="C461" s="2" t="s">
        <v>3872</v>
      </c>
      <c r="D461" s="2" t="s">
        <v>3877</v>
      </c>
      <c r="E461" s="3">
        <v>45011</v>
      </c>
      <c r="F461" s="3">
        <v>45757</v>
      </c>
      <c r="G461" s="2" t="s">
        <v>3884</v>
      </c>
      <c r="H461" s="2">
        <v>682565</v>
      </c>
      <c r="I461" s="2">
        <v>596980</v>
      </c>
      <c r="J461" s="2" t="s">
        <v>3889</v>
      </c>
      <c r="K461" s="2" t="s">
        <v>3896</v>
      </c>
      <c r="L461" s="2">
        <v>2024</v>
      </c>
      <c r="M461" s="2">
        <v>85585</v>
      </c>
      <c r="N461" s="2">
        <f xml:space="preserve"> (Table1[[#This Row],[Variance (USD)]] / Table1[[#This Row],[Actual Spending (USD)]]) * 100</f>
        <v>14.336326175081243</v>
      </c>
      <c r="O461" s="5" t="s">
        <v>3897</v>
      </c>
    </row>
    <row r="462" spans="1:15" x14ac:dyDescent="0.25">
      <c r="A462" s="4" t="s">
        <v>475</v>
      </c>
      <c r="B462" s="2" t="s">
        <v>3354</v>
      </c>
      <c r="C462" s="2" t="s">
        <v>3871</v>
      </c>
      <c r="D462" s="2" t="s">
        <v>3881</v>
      </c>
      <c r="E462" s="3">
        <v>45140</v>
      </c>
      <c r="F462" s="3">
        <v>45893</v>
      </c>
      <c r="G462" s="2" t="s">
        <v>3885</v>
      </c>
      <c r="H462" s="2">
        <v>220116</v>
      </c>
      <c r="I462" s="2">
        <v>586497</v>
      </c>
      <c r="J462" s="2" t="s">
        <v>3892</v>
      </c>
      <c r="K462" s="2" t="s">
        <v>3896</v>
      </c>
      <c r="L462" s="2">
        <v>2023</v>
      </c>
      <c r="M462" s="2">
        <v>-366381</v>
      </c>
      <c r="N462" s="2">
        <f xml:space="preserve"> (Table1[[#This Row],[Variance (USD)]] / Table1[[#This Row],[Actual Spending (USD)]]) * 100</f>
        <v>-62.469373244875939</v>
      </c>
      <c r="O462" s="5" t="s">
        <v>3898</v>
      </c>
    </row>
    <row r="463" spans="1:15" x14ac:dyDescent="0.25">
      <c r="A463" s="4" t="s">
        <v>476</v>
      </c>
      <c r="B463" s="2" t="s">
        <v>3355</v>
      </c>
      <c r="C463" s="2" t="s">
        <v>3871</v>
      </c>
      <c r="D463" s="2" t="s">
        <v>3879</v>
      </c>
      <c r="E463" s="3">
        <v>45047</v>
      </c>
      <c r="F463" s="3">
        <v>45875</v>
      </c>
      <c r="G463" s="2" t="s">
        <v>3884</v>
      </c>
      <c r="H463" s="2">
        <v>333891</v>
      </c>
      <c r="I463" s="2">
        <v>742923</v>
      </c>
      <c r="J463" s="2" t="s">
        <v>3891</v>
      </c>
      <c r="K463" s="2" t="s">
        <v>3896</v>
      </c>
      <c r="L463" s="2">
        <v>2024</v>
      </c>
      <c r="M463" s="2">
        <v>-409032</v>
      </c>
      <c r="N463" s="2">
        <f xml:space="preserve"> (Table1[[#This Row],[Variance (USD)]] / Table1[[#This Row],[Actual Spending (USD)]]) * 100</f>
        <v>-55.057118974644744</v>
      </c>
      <c r="O463" s="5" t="s">
        <v>3897</v>
      </c>
    </row>
    <row r="464" spans="1:15" x14ac:dyDescent="0.25">
      <c r="A464" s="4" t="s">
        <v>477</v>
      </c>
      <c r="B464" s="2" t="s">
        <v>3356</v>
      </c>
      <c r="C464" s="2" t="s">
        <v>3874</v>
      </c>
      <c r="D464" s="2" t="s">
        <v>3879</v>
      </c>
      <c r="E464" s="3">
        <v>45058</v>
      </c>
      <c r="F464" s="3">
        <v>45321</v>
      </c>
      <c r="G464" s="2" t="s">
        <v>3884</v>
      </c>
      <c r="H464" s="2">
        <v>811816</v>
      </c>
      <c r="I464" s="2">
        <v>873170</v>
      </c>
      <c r="J464" s="2" t="s">
        <v>3891</v>
      </c>
      <c r="K464" s="2" t="s">
        <v>3895</v>
      </c>
      <c r="L464" s="2">
        <v>2025</v>
      </c>
      <c r="M464" s="2">
        <v>-61354</v>
      </c>
      <c r="N464" s="2">
        <f xml:space="preserve"> (Table1[[#This Row],[Variance (USD)]] / Table1[[#This Row],[Actual Spending (USD)]]) * 100</f>
        <v>-7.026581307191039</v>
      </c>
      <c r="O464" s="5" t="s">
        <v>3897</v>
      </c>
    </row>
    <row r="465" spans="1:15" x14ac:dyDescent="0.25">
      <c r="A465" s="4" t="s">
        <v>478</v>
      </c>
      <c r="B465" s="2" t="s">
        <v>3357</v>
      </c>
      <c r="C465" s="2" t="s">
        <v>3870</v>
      </c>
      <c r="D465" s="2" t="s">
        <v>3880</v>
      </c>
      <c r="E465" s="3">
        <v>45123</v>
      </c>
      <c r="F465" s="3">
        <v>45650</v>
      </c>
      <c r="G465" s="2" t="s">
        <v>3886</v>
      </c>
      <c r="H465" s="2">
        <v>516725</v>
      </c>
      <c r="I465" s="2">
        <v>957445</v>
      </c>
      <c r="J465" s="2" t="s">
        <v>3890</v>
      </c>
      <c r="K465" s="2" t="s">
        <v>3893</v>
      </c>
      <c r="L465" s="2">
        <v>2025</v>
      </c>
      <c r="M465" s="2">
        <v>-440720</v>
      </c>
      <c r="N465" s="2">
        <f xml:space="preserve"> (Table1[[#This Row],[Variance (USD)]] / Table1[[#This Row],[Actual Spending (USD)]]) * 100</f>
        <v>-46.030842502702505</v>
      </c>
      <c r="O465" s="5" t="s">
        <v>3899</v>
      </c>
    </row>
    <row r="466" spans="1:15" x14ac:dyDescent="0.25">
      <c r="A466" s="4" t="s">
        <v>479</v>
      </c>
      <c r="B466" s="2" t="s">
        <v>3358</v>
      </c>
      <c r="C466" s="2" t="s">
        <v>3875</v>
      </c>
      <c r="D466" s="2" t="s">
        <v>3878</v>
      </c>
      <c r="E466" s="3">
        <v>44945</v>
      </c>
      <c r="F466" s="3">
        <v>45579</v>
      </c>
      <c r="G466" s="2" t="s">
        <v>3884</v>
      </c>
      <c r="H466" s="2">
        <v>473345</v>
      </c>
      <c r="I466" s="2">
        <v>954577</v>
      </c>
      <c r="J466" s="2" t="s">
        <v>3890</v>
      </c>
      <c r="K466" s="2" t="s">
        <v>3896</v>
      </c>
      <c r="L466" s="2">
        <v>2024</v>
      </c>
      <c r="M466" s="2">
        <v>-481232</v>
      </c>
      <c r="N466" s="2">
        <f xml:space="preserve"> (Table1[[#This Row],[Variance (USD)]] / Table1[[#This Row],[Actual Spending (USD)]]) * 100</f>
        <v>-50.413114918964105</v>
      </c>
      <c r="O466" s="5" t="s">
        <v>3897</v>
      </c>
    </row>
    <row r="467" spans="1:15" x14ac:dyDescent="0.25">
      <c r="A467" s="4" t="s">
        <v>480</v>
      </c>
      <c r="B467" s="2" t="s">
        <v>3148</v>
      </c>
      <c r="C467" s="2" t="s">
        <v>3870</v>
      </c>
      <c r="D467" s="2" t="s">
        <v>3880</v>
      </c>
      <c r="E467" s="3">
        <v>45568</v>
      </c>
      <c r="F467" s="3">
        <v>45377</v>
      </c>
      <c r="G467" s="2" t="s">
        <v>3885</v>
      </c>
      <c r="H467" s="2">
        <v>312181</v>
      </c>
      <c r="I467" s="2">
        <v>137966</v>
      </c>
      <c r="J467" s="2" t="s">
        <v>3889</v>
      </c>
      <c r="K467" s="2" t="s">
        <v>3896</v>
      </c>
      <c r="L467" s="2">
        <v>2025</v>
      </c>
      <c r="M467" s="2">
        <v>174215</v>
      </c>
      <c r="N467" s="2">
        <f xml:space="preserve"> (Table1[[#This Row],[Variance (USD)]] / Table1[[#This Row],[Actual Spending (USD)]]) * 100</f>
        <v>126.27386457533017</v>
      </c>
      <c r="O467" s="5" t="s">
        <v>3898</v>
      </c>
    </row>
    <row r="468" spans="1:15" x14ac:dyDescent="0.25">
      <c r="A468" s="4" t="s">
        <v>481</v>
      </c>
      <c r="B468" s="2" t="s">
        <v>3042</v>
      </c>
      <c r="C468" s="2" t="s">
        <v>3872</v>
      </c>
      <c r="D468" s="2" t="s">
        <v>3877</v>
      </c>
      <c r="E468" s="3">
        <v>44938</v>
      </c>
      <c r="F468" s="3">
        <v>45525</v>
      </c>
      <c r="G468" s="2" t="s">
        <v>3884</v>
      </c>
      <c r="H468" s="2">
        <v>940726</v>
      </c>
      <c r="I468" s="2">
        <v>723187</v>
      </c>
      <c r="J468" s="2" t="s">
        <v>3890</v>
      </c>
      <c r="K468" s="2" t="s">
        <v>3893</v>
      </c>
      <c r="L468" s="2">
        <v>2025</v>
      </c>
      <c r="M468" s="2">
        <v>217539</v>
      </c>
      <c r="N468" s="2">
        <f xml:space="preserve"> (Table1[[#This Row],[Variance (USD)]] / Table1[[#This Row],[Actual Spending (USD)]]) * 100</f>
        <v>30.080601559485999</v>
      </c>
      <c r="O468" s="5" t="s">
        <v>3897</v>
      </c>
    </row>
    <row r="469" spans="1:15" x14ac:dyDescent="0.25">
      <c r="A469" s="4" t="s">
        <v>482</v>
      </c>
      <c r="B469" s="2" t="s">
        <v>3359</v>
      </c>
      <c r="C469" s="2" t="s">
        <v>3870</v>
      </c>
      <c r="D469" s="2" t="s">
        <v>3879</v>
      </c>
      <c r="E469" s="3">
        <v>45007</v>
      </c>
      <c r="F469" s="3">
        <v>45604</v>
      </c>
      <c r="G469" s="2" t="s">
        <v>3884</v>
      </c>
      <c r="H469" s="2">
        <v>147847</v>
      </c>
      <c r="I469" s="2">
        <v>207297</v>
      </c>
      <c r="J469" s="2" t="s">
        <v>3892</v>
      </c>
      <c r="K469" s="2" t="s">
        <v>3894</v>
      </c>
      <c r="L469" s="2">
        <v>2023</v>
      </c>
      <c r="M469" s="2">
        <v>-59450</v>
      </c>
      <c r="N469" s="2">
        <f xml:space="preserve"> (Table1[[#This Row],[Variance (USD)]] / Table1[[#This Row],[Actual Spending (USD)]]) * 100</f>
        <v>-28.67865912193616</v>
      </c>
      <c r="O469" s="5" t="s">
        <v>3897</v>
      </c>
    </row>
    <row r="470" spans="1:15" x14ac:dyDescent="0.25">
      <c r="A470" s="4" t="s">
        <v>483</v>
      </c>
      <c r="B470" s="2" t="s">
        <v>3303</v>
      </c>
      <c r="C470" s="2" t="s">
        <v>3872</v>
      </c>
      <c r="D470" s="2" t="s">
        <v>3882</v>
      </c>
      <c r="E470" s="3">
        <v>45256</v>
      </c>
      <c r="F470" s="3">
        <v>45656</v>
      </c>
      <c r="G470" s="2" t="s">
        <v>3884</v>
      </c>
      <c r="H470" s="2">
        <v>678030</v>
      </c>
      <c r="I470" s="2">
        <v>722456</v>
      </c>
      <c r="J470" s="2" t="s">
        <v>3892</v>
      </c>
      <c r="K470" s="2" t="s">
        <v>3896</v>
      </c>
      <c r="L470" s="2">
        <v>2024</v>
      </c>
      <c r="M470" s="2">
        <v>-44426</v>
      </c>
      <c r="N470" s="2">
        <f xml:space="preserve"> (Table1[[#This Row],[Variance (USD)]] / Table1[[#This Row],[Actual Spending (USD)]]) * 100</f>
        <v>-6.1493018259935557</v>
      </c>
      <c r="O470" s="5" t="s">
        <v>3897</v>
      </c>
    </row>
    <row r="471" spans="1:15" x14ac:dyDescent="0.25">
      <c r="A471" s="4" t="s">
        <v>484</v>
      </c>
      <c r="B471" s="2" t="s">
        <v>3176</v>
      </c>
      <c r="C471" s="2" t="s">
        <v>3871</v>
      </c>
      <c r="D471" s="2" t="s">
        <v>3881</v>
      </c>
      <c r="E471" s="3">
        <v>45318</v>
      </c>
      <c r="F471" s="3">
        <v>45560</v>
      </c>
      <c r="G471" s="2" t="s">
        <v>3886</v>
      </c>
      <c r="H471" s="2">
        <v>827725</v>
      </c>
      <c r="I471" s="2">
        <v>735906</v>
      </c>
      <c r="J471" s="2" t="s">
        <v>3892</v>
      </c>
      <c r="K471" s="2" t="s">
        <v>3893</v>
      </c>
      <c r="L471" s="2">
        <v>2023</v>
      </c>
      <c r="M471" s="2">
        <v>91819</v>
      </c>
      <c r="N471" s="2">
        <f xml:space="preserve"> (Table1[[#This Row],[Variance (USD)]] / Table1[[#This Row],[Actual Spending (USD)]]) * 100</f>
        <v>12.477001138732392</v>
      </c>
      <c r="O471" s="5" t="s">
        <v>3899</v>
      </c>
    </row>
    <row r="472" spans="1:15" x14ac:dyDescent="0.25">
      <c r="A472" s="4" t="s">
        <v>485</v>
      </c>
      <c r="B472" s="2" t="s">
        <v>3360</v>
      </c>
      <c r="C472" s="2" t="s">
        <v>3875</v>
      </c>
      <c r="D472" s="2" t="s">
        <v>3876</v>
      </c>
      <c r="E472" s="3">
        <v>45563</v>
      </c>
      <c r="F472" s="3">
        <v>45989</v>
      </c>
      <c r="G472" s="2" t="s">
        <v>3884</v>
      </c>
      <c r="H472" s="2">
        <v>98503</v>
      </c>
      <c r="I472" s="2">
        <v>360453</v>
      </c>
      <c r="J472" s="2" t="s">
        <v>3889</v>
      </c>
      <c r="K472" s="2" t="s">
        <v>3896</v>
      </c>
      <c r="L472" s="2">
        <v>2023</v>
      </c>
      <c r="M472" s="2">
        <v>-261950</v>
      </c>
      <c r="N472" s="2">
        <f xml:space="preserve"> (Table1[[#This Row],[Variance (USD)]] / Table1[[#This Row],[Actual Spending (USD)]]) * 100</f>
        <v>-72.672442731784727</v>
      </c>
      <c r="O472" s="5" t="s">
        <v>3897</v>
      </c>
    </row>
    <row r="473" spans="1:15" x14ac:dyDescent="0.25">
      <c r="A473" s="4" t="s">
        <v>486</v>
      </c>
      <c r="B473" s="2" t="s">
        <v>3361</v>
      </c>
      <c r="C473" s="2" t="s">
        <v>3870</v>
      </c>
      <c r="D473" s="2" t="s">
        <v>3879</v>
      </c>
      <c r="E473" s="3">
        <v>45233</v>
      </c>
      <c r="F473" s="3">
        <v>45422</v>
      </c>
      <c r="G473" s="2" t="s">
        <v>3884</v>
      </c>
      <c r="H473" s="2">
        <v>864639</v>
      </c>
      <c r="I473" s="2">
        <v>640784</v>
      </c>
      <c r="J473" s="2" t="s">
        <v>3889</v>
      </c>
      <c r="K473" s="2" t="s">
        <v>3895</v>
      </c>
      <c r="L473" s="2">
        <v>2025</v>
      </c>
      <c r="M473" s="2">
        <v>223855</v>
      </c>
      <c r="N473" s="2">
        <f xml:space="preserve"> (Table1[[#This Row],[Variance (USD)]] / Table1[[#This Row],[Actual Spending (USD)]]) * 100</f>
        <v>34.934548927563739</v>
      </c>
      <c r="O473" s="5" t="s">
        <v>3897</v>
      </c>
    </row>
    <row r="474" spans="1:15" x14ac:dyDescent="0.25">
      <c r="A474" s="4" t="s">
        <v>487</v>
      </c>
      <c r="B474" s="2" t="s">
        <v>3362</v>
      </c>
      <c r="C474" s="2" t="s">
        <v>3868</v>
      </c>
      <c r="D474" s="2" t="s">
        <v>3881</v>
      </c>
      <c r="E474" s="3">
        <v>45193</v>
      </c>
      <c r="F474" s="3">
        <v>45642</v>
      </c>
      <c r="G474" s="2" t="s">
        <v>3885</v>
      </c>
      <c r="H474" s="2">
        <v>552376</v>
      </c>
      <c r="I474" s="2">
        <v>715628</v>
      </c>
      <c r="J474" s="2" t="s">
        <v>3890</v>
      </c>
      <c r="K474" s="2" t="s">
        <v>3893</v>
      </c>
      <c r="L474" s="2">
        <v>2023</v>
      </c>
      <c r="M474" s="2">
        <v>-163252</v>
      </c>
      <c r="N474" s="2">
        <f xml:space="preserve"> (Table1[[#This Row],[Variance (USD)]] / Table1[[#This Row],[Actual Spending (USD)]]) * 100</f>
        <v>-22.812410917404012</v>
      </c>
      <c r="O474" s="5" t="s">
        <v>3898</v>
      </c>
    </row>
    <row r="475" spans="1:15" x14ac:dyDescent="0.25">
      <c r="A475" s="4" t="s">
        <v>488</v>
      </c>
      <c r="B475" s="2" t="s">
        <v>3363</v>
      </c>
      <c r="C475" s="2" t="s">
        <v>3873</v>
      </c>
      <c r="D475" s="2" t="s">
        <v>3882</v>
      </c>
      <c r="E475" s="3">
        <v>45373</v>
      </c>
      <c r="F475" s="3">
        <v>45471</v>
      </c>
      <c r="G475" s="2" t="s">
        <v>3885</v>
      </c>
      <c r="H475" s="2">
        <v>345385</v>
      </c>
      <c r="I475" s="2">
        <v>790397</v>
      </c>
      <c r="J475" s="2" t="s">
        <v>3889</v>
      </c>
      <c r="K475" s="2" t="s">
        <v>3895</v>
      </c>
      <c r="L475" s="2">
        <v>2024</v>
      </c>
      <c r="M475" s="2">
        <v>-445012</v>
      </c>
      <c r="N475" s="2">
        <f xml:space="preserve"> (Table1[[#This Row],[Variance (USD)]] / Table1[[#This Row],[Actual Spending (USD)]]) * 100</f>
        <v>-56.302339204222683</v>
      </c>
      <c r="O475" s="5" t="s">
        <v>3898</v>
      </c>
    </row>
    <row r="476" spans="1:15" x14ac:dyDescent="0.25">
      <c r="A476" s="4" t="s">
        <v>489</v>
      </c>
      <c r="B476" s="2" t="s">
        <v>3100</v>
      </c>
      <c r="C476" s="2" t="s">
        <v>3874</v>
      </c>
      <c r="D476" s="2" t="s">
        <v>3876</v>
      </c>
      <c r="E476" s="3">
        <v>45367</v>
      </c>
      <c r="F476" s="3">
        <v>45771</v>
      </c>
      <c r="G476" s="2" t="s">
        <v>3884</v>
      </c>
      <c r="H476" s="2">
        <v>967562</v>
      </c>
      <c r="I476" s="2">
        <v>140078</v>
      </c>
      <c r="J476" s="2" t="s">
        <v>3892</v>
      </c>
      <c r="K476" s="2" t="s">
        <v>3893</v>
      </c>
      <c r="L476" s="2">
        <v>2024</v>
      </c>
      <c r="M476" s="2">
        <v>827484</v>
      </c>
      <c r="N476" s="2">
        <f xml:space="preserve"> (Table1[[#This Row],[Variance (USD)]] / Table1[[#This Row],[Actual Spending (USD)]]) * 100</f>
        <v>590.73087851054413</v>
      </c>
      <c r="O476" s="5" t="s">
        <v>3897</v>
      </c>
    </row>
    <row r="477" spans="1:15" x14ac:dyDescent="0.25">
      <c r="A477" s="4" t="s">
        <v>490</v>
      </c>
      <c r="B477" s="2" t="s">
        <v>3056</v>
      </c>
      <c r="C477" s="2" t="s">
        <v>3869</v>
      </c>
      <c r="D477" s="2" t="s">
        <v>3880</v>
      </c>
      <c r="E477" s="3">
        <v>45578</v>
      </c>
      <c r="F477" s="3">
        <v>45454</v>
      </c>
      <c r="G477" s="2" t="s">
        <v>3884</v>
      </c>
      <c r="H477" s="2">
        <v>408315</v>
      </c>
      <c r="I477" s="2">
        <v>1174818</v>
      </c>
      <c r="J477" s="2" t="s">
        <v>3888</v>
      </c>
      <c r="K477" s="2" t="s">
        <v>3894</v>
      </c>
      <c r="L477" s="2">
        <v>2024</v>
      </c>
      <c r="M477" s="2">
        <v>-766503</v>
      </c>
      <c r="N477" s="2">
        <f xml:space="preserve"> (Table1[[#This Row],[Variance (USD)]] / Table1[[#This Row],[Actual Spending (USD)]]) * 100</f>
        <v>-65.244403814037582</v>
      </c>
      <c r="O477" s="5" t="s">
        <v>3897</v>
      </c>
    </row>
    <row r="478" spans="1:15" x14ac:dyDescent="0.25">
      <c r="A478" s="4" t="s">
        <v>491</v>
      </c>
      <c r="B478" s="2" t="s">
        <v>3364</v>
      </c>
      <c r="C478" s="2" t="s">
        <v>3868</v>
      </c>
      <c r="D478" s="2" t="s">
        <v>3880</v>
      </c>
      <c r="E478" s="3">
        <v>44928</v>
      </c>
      <c r="F478" s="3">
        <v>45387</v>
      </c>
      <c r="G478" s="2" t="s">
        <v>3884</v>
      </c>
      <c r="H478" s="2">
        <v>720194</v>
      </c>
      <c r="I478" s="2">
        <v>473092</v>
      </c>
      <c r="J478" s="2" t="s">
        <v>3892</v>
      </c>
      <c r="K478" s="2" t="s">
        <v>3895</v>
      </c>
      <c r="L478" s="2">
        <v>2023</v>
      </c>
      <c r="M478" s="2">
        <v>247102</v>
      </c>
      <c r="N478" s="2">
        <f xml:space="preserve"> (Table1[[#This Row],[Variance (USD)]] / Table1[[#This Row],[Actual Spending (USD)]]) * 100</f>
        <v>52.231278482832089</v>
      </c>
      <c r="O478" s="5" t="s">
        <v>3897</v>
      </c>
    </row>
    <row r="479" spans="1:15" x14ac:dyDescent="0.25">
      <c r="A479" s="4" t="s">
        <v>492</v>
      </c>
      <c r="B479" s="2" t="s">
        <v>3365</v>
      </c>
      <c r="C479" s="2" t="s">
        <v>3871</v>
      </c>
      <c r="D479" s="2" t="s">
        <v>3878</v>
      </c>
      <c r="E479" s="3">
        <v>45446</v>
      </c>
      <c r="F479" s="3">
        <v>45801</v>
      </c>
      <c r="G479" s="2" t="s">
        <v>3885</v>
      </c>
      <c r="H479" s="2">
        <v>524329</v>
      </c>
      <c r="I479" s="2">
        <v>912479</v>
      </c>
      <c r="J479" s="2" t="s">
        <v>3888</v>
      </c>
      <c r="K479" s="2" t="s">
        <v>3896</v>
      </c>
      <c r="L479" s="2">
        <v>2024</v>
      </c>
      <c r="M479" s="2">
        <v>-388150</v>
      </c>
      <c r="N479" s="2">
        <f xml:space="preserve"> (Table1[[#This Row],[Variance (USD)]] / Table1[[#This Row],[Actual Spending (USD)]]) * 100</f>
        <v>-42.537965257282636</v>
      </c>
      <c r="O479" s="5" t="s">
        <v>3898</v>
      </c>
    </row>
    <row r="480" spans="1:15" x14ac:dyDescent="0.25">
      <c r="A480" s="4" t="s">
        <v>493</v>
      </c>
      <c r="B480" s="2" t="s">
        <v>3366</v>
      </c>
      <c r="C480" s="2" t="s">
        <v>3869</v>
      </c>
      <c r="D480" s="2" t="s">
        <v>3881</v>
      </c>
      <c r="E480" s="3">
        <v>45577</v>
      </c>
      <c r="F480" s="3">
        <v>45656</v>
      </c>
      <c r="G480" s="2" t="s">
        <v>3887</v>
      </c>
      <c r="H480" s="2">
        <v>309966</v>
      </c>
      <c r="I480" s="2">
        <v>718839</v>
      </c>
      <c r="J480" s="2" t="s">
        <v>3890</v>
      </c>
      <c r="K480" s="2" t="s">
        <v>3893</v>
      </c>
      <c r="L480" s="2">
        <v>2024</v>
      </c>
      <c r="M480" s="2">
        <v>-408873</v>
      </c>
      <c r="N480" s="2">
        <f xml:space="preserve"> (Table1[[#This Row],[Variance (USD)]] / Table1[[#This Row],[Actual Spending (USD)]]) * 100</f>
        <v>-56.879635078230315</v>
      </c>
      <c r="O480" s="5" t="s">
        <v>3900</v>
      </c>
    </row>
    <row r="481" spans="1:15" x14ac:dyDescent="0.25">
      <c r="A481" s="4" t="s">
        <v>494</v>
      </c>
      <c r="B481" s="2" t="s">
        <v>3367</v>
      </c>
      <c r="C481" s="2" t="s">
        <v>3873</v>
      </c>
      <c r="D481" s="2" t="s">
        <v>3879</v>
      </c>
      <c r="E481" s="3">
        <v>45562</v>
      </c>
      <c r="F481" s="3">
        <v>45644</v>
      </c>
      <c r="G481" s="2" t="s">
        <v>3884</v>
      </c>
      <c r="H481" s="2">
        <v>953734</v>
      </c>
      <c r="I481" s="2">
        <v>158863</v>
      </c>
      <c r="J481" s="2" t="s">
        <v>3891</v>
      </c>
      <c r="K481" s="2" t="s">
        <v>3896</v>
      </c>
      <c r="L481" s="2">
        <v>2023</v>
      </c>
      <c r="M481" s="2">
        <v>794871</v>
      </c>
      <c r="N481" s="2">
        <f xml:space="preserve"> (Table1[[#This Row],[Variance (USD)]] / Table1[[#This Row],[Actual Spending (USD)]]) * 100</f>
        <v>500.34998709579952</v>
      </c>
      <c r="O481" s="5" t="s">
        <v>3897</v>
      </c>
    </row>
    <row r="482" spans="1:15" x14ac:dyDescent="0.25">
      <c r="A482" s="4" t="s">
        <v>495</v>
      </c>
      <c r="B482" s="2" t="s">
        <v>3368</v>
      </c>
      <c r="C482" s="2" t="s">
        <v>3873</v>
      </c>
      <c r="D482" s="2" t="s">
        <v>3883</v>
      </c>
      <c r="E482" s="3">
        <v>45235</v>
      </c>
      <c r="F482" s="3">
        <v>45727</v>
      </c>
      <c r="G482" s="2" t="s">
        <v>3886</v>
      </c>
      <c r="H482" s="2">
        <v>732550</v>
      </c>
      <c r="I482" s="2">
        <v>70478</v>
      </c>
      <c r="J482" s="2" t="s">
        <v>3889</v>
      </c>
      <c r="K482" s="2" t="s">
        <v>3894</v>
      </c>
      <c r="L482" s="2">
        <v>2023</v>
      </c>
      <c r="M482" s="2">
        <v>662072</v>
      </c>
      <c r="N482" s="2">
        <f xml:space="preserve"> (Table1[[#This Row],[Variance (USD)]] / Table1[[#This Row],[Actual Spending (USD)]]) * 100</f>
        <v>939.40236669599028</v>
      </c>
      <c r="O482" s="5" t="s">
        <v>3899</v>
      </c>
    </row>
    <row r="483" spans="1:15" x14ac:dyDescent="0.25">
      <c r="A483" s="4" t="s">
        <v>496</v>
      </c>
      <c r="B483" s="2" t="s">
        <v>3194</v>
      </c>
      <c r="C483" s="2" t="s">
        <v>3875</v>
      </c>
      <c r="D483" s="2" t="s">
        <v>3880</v>
      </c>
      <c r="E483" s="3">
        <v>45448</v>
      </c>
      <c r="F483" s="3">
        <v>45374</v>
      </c>
      <c r="G483" s="2" t="s">
        <v>3884</v>
      </c>
      <c r="H483" s="2">
        <v>122832</v>
      </c>
      <c r="I483" s="2">
        <v>189574</v>
      </c>
      <c r="J483" s="2" t="s">
        <v>3889</v>
      </c>
      <c r="K483" s="2" t="s">
        <v>3893</v>
      </c>
      <c r="L483" s="2">
        <v>2023</v>
      </c>
      <c r="M483" s="2">
        <v>-66742</v>
      </c>
      <c r="N483" s="2">
        <f xml:space="preserve"> (Table1[[#This Row],[Variance (USD)]] / Table1[[#This Row],[Actual Spending (USD)]]) * 100</f>
        <v>-35.206304662031712</v>
      </c>
      <c r="O483" s="5" t="s">
        <v>3897</v>
      </c>
    </row>
    <row r="484" spans="1:15" x14ac:dyDescent="0.25">
      <c r="A484" s="4" t="s">
        <v>497</v>
      </c>
      <c r="B484" s="2" t="s">
        <v>3369</v>
      </c>
      <c r="C484" s="2" t="s">
        <v>3869</v>
      </c>
      <c r="D484" s="2" t="s">
        <v>3880</v>
      </c>
      <c r="E484" s="3">
        <v>45395</v>
      </c>
      <c r="F484" s="3">
        <v>45516</v>
      </c>
      <c r="G484" s="2" t="s">
        <v>3884</v>
      </c>
      <c r="H484" s="2">
        <v>333527</v>
      </c>
      <c r="I484" s="2">
        <v>805128</v>
      </c>
      <c r="J484" s="2" t="s">
        <v>3892</v>
      </c>
      <c r="K484" s="2" t="s">
        <v>3894</v>
      </c>
      <c r="L484" s="2">
        <v>2023</v>
      </c>
      <c r="M484" s="2">
        <v>-471601</v>
      </c>
      <c r="N484" s="2">
        <f xml:space="preserve"> (Table1[[#This Row],[Variance (USD)]] / Table1[[#This Row],[Actual Spending (USD)]]) * 100</f>
        <v>-58.574661420295904</v>
      </c>
      <c r="O484" s="5" t="s">
        <v>3897</v>
      </c>
    </row>
    <row r="485" spans="1:15" x14ac:dyDescent="0.25">
      <c r="A485" s="4" t="s">
        <v>498</v>
      </c>
      <c r="B485" s="2" t="s">
        <v>3206</v>
      </c>
      <c r="C485" s="2" t="s">
        <v>3875</v>
      </c>
      <c r="D485" s="2" t="s">
        <v>3878</v>
      </c>
      <c r="E485" s="3">
        <v>45138</v>
      </c>
      <c r="F485" s="3">
        <v>45703</v>
      </c>
      <c r="G485" s="2" t="s">
        <v>3884</v>
      </c>
      <c r="H485" s="2">
        <v>816334</v>
      </c>
      <c r="I485" s="2">
        <v>694622</v>
      </c>
      <c r="J485" s="2" t="s">
        <v>3892</v>
      </c>
      <c r="K485" s="2" t="s">
        <v>3893</v>
      </c>
      <c r="L485" s="2">
        <v>2025</v>
      </c>
      <c r="M485" s="2">
        <v>121712</v>
      </c>
      <c r="N485" s="2">
        <f xml:space="preserve"> (Table1[[#This Row],[Variance (USD)]] / Table1[[#This Row],[Actual Spending (USD)]]) * 100</f>
        <v>17.522047962776877</v>
      </c>
      <c r="O485" s="5" t="s">
        <v>3897</v>
      </c>
    </row>
    <row r="486" spans="1:15" x14ac:dyDescent="0.25">
      <c r="A486" s="4" t="s">
        <v>499</v>
      </c>
      <c r="B486" s="2" t="s">
        <v>3370</v>
      </c>
      <c r="C486" s="2" t="s">
        <v>3868</v>
      </c>
      <c r="D486" s="2" t="s">
        <v>3876</v>
      </c>
      <c r="E486" s="3">
        <v>45038</v>
      </c>
      <c r="F486" s="3">
        <v>45409</v>
      </c>
      <c r="G486" s="2" t="s">
        <v>3884</v>
      </c>
      <c r="H486" s="2">
        <v>436435</v>
      </c>
      <c r="I486" s="2">
        <v>1083063</v>
      </c>
      <c r="J486" s="2" t="s">
        <v>3888</v>
      </c>
      <c r="K486" s="2" t="s">
        <v>3895</v>
      </c>
      <c r="L486" s="2">
        <v>2023</v>
      </c>
      <c r="M486" s="2">
        <v>-646628</v>
      </c>
      <c r="N486" s="2">
        <f xml:space="preserve"> (Table1[[#This Row],[Variance (USD)]] / Table1[[#This Row],[Actual Spending (USD)]]) * 100</f>
        <v>-59.703636815217585</v>
      </c>
      <c r="O486" s="5" t="s">
        <v>3897</v>
      </c>
    </row>
    <row r="487" spans="1:15" x14ac:dyDescent="0.25">
      <c r="A487" s="4" t="s">
        <v>500</v>
      </c>
      <c r="B487" s="2" t="s">
        <v>3193</v>
      </c>
      <c r="C487" s="2" t="s">
        <v>3872</v>
      </c>
      <c r="D487" s="2" t="s">
        <v>3878</v>
      </c>
      <c r="E487" s="3">
        <v>44934</v>
      </c>
      <c r="F487" s="3">
        <v>45773</v>
      </c>
      <c r="G487" s="2" t="s">
        <v>3884</v>
      </c>
      <c r="H487" s="2">
        <v>992164</v>
      </c>
      <c r="I487" s="2">
        <v>712701</v>
      </c>
      <c r="J487" s="2" t="s">
        <v>3889</v>
      </c>
      <c r="K487" s="2" t="s">
        <v>3896</v>
      </c>
      <c r="L487" s="2">
        <v>2023</v>
      </c>
      <c r="M487" s="2">
        <v>279463</v>
      </c>
      <c r="N487" s="2">
        <f xml:space="preserve"> (Table1[[#This Row],[Variance (USD)]] / Table1[[#This Row],[Actual Spending (USD)]]) * 100</f>
        <v>39.211815333498897</v>
      </c>
      <c r="O487" s="5" t="s">
        <v>3897</v>
      </c>
    </row>
    <row r="488" spans="1:15" x14ac:dyDescent="0.25">
      <c r="A488" s="4" t="s">
        <v>501</v>
      </c>
      <c r="B488" s="2" t="s">
        <v>3371</v>
      </c>
      <c r="C488" s="2" t="s">
        <v>3872</v>
      </c>
      <c r="D488" s="2" t="s">
        <v>3882</v>
      </c>
      <c r="E488" s="3">
        <v>45403</v>
      </c>
      <c r="F488" s="3">
        <v>45483</v>
      </c>
      <c r="G488" s="2" t="s">
        <v>3884</v>
      </c>
      <c r="H488" s="2">
        <v>813389</v>
      </c>
      <c r="I488" s="2">
        <v>288432</v>
      </c>
      <c r="J488" s="2" t="s">
        <v>3890</v>
      </c>
      <c r="K488" s="2" t="s">
        <v>3895</v>
      </c>
      <c r="L488" s="2">
        <v>2024</v>
      </c>
      <c r="M488" s="2">
        <v>524957</v>
      </c>
      <c r="N488" s="2">
        <f xml:space="preserve"> (Table1[[#This Row],[Variance (USD)]] / Table1[[#This Row],[Actual Spending (USD)]]) * 100</f>
        <v>182.00373051533811</v>
      </c>
      <c r="O488" s="5" t="s">
        <v>3897</v>
      </c>
    </row>
    <row r="489" spans="1:15" x14ac:dyDescent="0.25">
      <c r="A489" s="4" t="s">
        <v>502</v>
      </c>
      <c r="B489" s="2" t="s">
        <v>3372</v>
      </c>
      <c r="C489" s="2" t="s">
        <v>3872</v>
      </c>
      <c r="D489" s="2" t="s">
        <v>3879</v>
      </c>
      <c r="E489" s="3">
        <v>45386</v>
      </c>
      <c r="F489" s="3">
        <v>45882</v>
      </c>
      <c r="G489" s="2" t="s">
        <v>3886</v>
      </c>
      <c r="H489" s="2">
        <v>839106</v>
      </c>
      <c r="I489" s="2">
        <v>1187500</v>
      </c>
      <c r="J489" s="2" t="s">
        <v>3892</v>
      </c>
      <c r="K489" s="2" t="s">
        <v>3895</v>
      </c>
      <c r="L489" s="2">
        <v>2024</v>
      </c>
      <c r="M489" s="2">
        <v>-348394</v>
      </c>
      <c r="N489" s="2">
        <f xml:space="preserve"> (Table1[[#This Row],[Variance (USD)]] / Table1[[#This Row],[Actual Spending (USD)]]) * 100</f>
        <v>-29.338442105263159</v>
      </c>
      <c r="O489" s="5" t="s">
        <v>3899</v>
      </c>
    </row>
    <row r="490" spans="1:15" x14ac:dyDescent="0.25">
      <c r="A490" s="4" t="s">
        <v>503</v>
      </c>
      <c r="B490" s="2" t="s">
        <v>3373</v>
      </c>
      <c r="C490" s="2" t="s">
        <v>3869</v>
      </c>
      <c r="D490" s="2" t="s">
        <v>3881</v>
      </c>
      <c r="E490" s="3">
        <v>45179</v>
      </c>
      <c r="F490" s="3">
        <v>45881</v>
      </c>
      <c r="G490" s="2" t="s">
        <v>3884</v>
      </c>
      <c r="H490" s="2">
        <v>426244</v>
      </c>
      <c r="I490" s="2">
        <v>611556</v>
      </c>
      <c r="J490" s="2" t="s">
        <v>3889</v>
      </c>
      <c r="K490" s="2" t="s">
        <v>3895</v>
      </c>
      <c r="L490" s="2">
        <v>2023</v>
      </c>
      <c r="M490" s="2">
        <v>-185312</v>
      </c>
      <c r="N490" s="2">
        <f xml:space="preserve"> (Table1[[#This Row],[Variance (USD)]] / Table1[[#This Row],[Actual Spending (USD)]]) * 100</f>
        <v>-30.301722164446097</v>
      </c>
      <c r="O490" s="5" t="s">
        <v>3897</v>
      </c>
    </row>
    <row r="491" spans="1:15" x14ac:dyDescent="0.25">
      <c r="A491" s="4" t="s">
        <v>504</v>
      </c>
      <c r="B491" s="2" t="s">
        <v>3089</v>
      </c>
      <c r="C491" s="2" t="s">
        <v>3872</v>
      </c>
      <c r="D491" s="2" t="s">
        <v>3877</v>
      </c>
      <c r="E491" s="3">
        <v>45452</v>
      </c>
      <c r="F491" s="3">
        <v>45950</v>
      </c>
      <c r="G491" s="2" t="s">
        <v>3886</v>
      </c>
      <c r="H491" s="2">
        <v>421513</v>
      </c>
      <c r="I491" s="2">
        <v>1108181</v>
      </c>
      <c r="J491" s="2" t="s">
        <v>3891</v>
      </c>
      <c r="K491" s="2" t="s">
        <v>3895</v>
      </c>
      <c r="L491" s="2">
        <v>2023</v>
      </c>
      <c r="M491" s="2">
        <v>-686668</v>
      </c>
      <c r="N491" s="2">
        <f xml:space="preserve"> (Table1[[#This Row],[Variance (USD)]] / Table1[[#This Row],[Actual Spending (USD)]]) * 100</f>
        <v>-61.963524009164573</v>
      </c>
      <c r="O491" s="5" t="s">
        <v>3899</v>
      </c>
    </row>
    <row r="492" spans="1:15" x14ac:dyDescent="0.25">
      <c r="A492" s="4" t="s">
        <v>505</v>
      </c>
      <c r="B492" s="2" t="s">
        <v>3334</v>
      </c>
      <c r="C492" s="2" t="s">
        <v>3868</v>
      </c>
      <c r="D492" s="2" t="s">
        <v>3877</v>
      </c>
      <c r="E492" s="3">
        <v>45364</v>
      </c>
      <c r="F492" s="3">
        <v>45398</v>
      </c>
      <c r="G492" s="2" t="s">
        <v>3884</v>
      </c>
      <c r="H492" s="2">
        <v>597108</v>
      </c>
      <c r="I492" s="2">
        <v>894638</v>
      </c>
      <c r="J492" s="2" t="s">
        <v>3888</v>
      </c>
      <c r="K492" s="2" t="s">
        <v>3893</v>
      </c>
      <c r="L492" s="2">
        <v>2023</v>
      </c>
      <c r="M492" s="2">
        <v>-297530</v>
      </c>
      <c r="N492" s="2">
        <f xml:space="preserve"> (Table1[[#This Row],[Variance (USD)]] / Table1[[#This Row],[Actual Spending (USD)]]) * 100</f>
        <v>-33.257026864497149</v>
      </c>
      <c r="O492" s="5" t="s">
        <v>3897</v>
      </c>
    </row>
    <row r="493" spans="1:15" x14ac:dyDescent="0.25">
      <c r="A493" s="4" t="s">
        <v>506</v>
      </c>
      <c r="B493" s="2" t="s">
        <v>3374</v>
      </c>
      <c r="C493" s="2" t="s">
        <v>3875</v>
      </c>
      <c r="D493" s="2" t="s">
        <v>3881</v>
      </c>
      <c r="E493" s="3">
        <v>45587</v>
      </c>
      <c r="F493" s="3">
        <v>45673</v>
      </c>
      <c r="G493" s="2" t="s">
        <v>3884</v>
      </c>
      <c r="H493" s="2">
        <v>790400</v>
      </c>
      <c r="I493" s="2">
        <v>1007602</v>
      </c>
      <c r="J493" s="2" t="s">
        <v>3892</v>
      </c>
      <c r="K493" s="2" t="s">
        <v>3896</v>
      </c>
      <c r="L493" s="2">
        <v>2024</v>
      </c>
      <c r="M493" s="2">
        <v>-217202</v>
      </c>
      <c r="N493" s="2">
        <f xml:space="preserve"> (Table1[[#This Row],[Variance (USD)]] / Table1[[#This Row],[Actual Spending (USD)]]) * 100</f>
        <v>-21.556328788549447</v>
      </c>
      <c r="O493" s="5" t="s">
        <v>3897</v>
      </c>
    </row>
    <row r="494" spans="1:15" x14ac:dyDescent="0.25">
      <c r="A494" s="4" t="s">
        <v>507</v>
      </c>
      <c r="B494" s="2" t="s">
        <v>3375</v>
      </c>
      <c r="C494" s="2" t="s">
        <v>3869</v>
      </c>
      <c r="D494" s="2" t="s">
        <v>3876</v>
      </c>
      <c r="E494" s="3">
        <v>45162</v>
      </c>
      <c r="F494" s="3">
        <v>45681</v>
      </c>
      <c r="G494" s="2" t="s">
        <v>3884</v>
      </c>
      <c r="H494" s="2">
        <v>468882</v>
      </c>
      <c r="I494" s="2">
        <v>123375</v>
      </c>
      <c r="J494" s="2" t="s">
        <v>3892</v>
      </c>
      <c r="K494" s="2" t="s">
        <v>3893</v>
      </c>
      <c r="L494" s="2">
        <v>2024</v>
      </c>
      <c r="M494" s="2">
        <v>345507</v>
      </c>
      <c r="N494" s="2">
        <f xml:space="preserve"> (Table1[[#This Row],[Variance (USD)]] / Table1[[#This Row],[Actual Spending (USD)]]) * 100</f>
        <v>280.04620060790273</v>
      </c>
      <c r="O494" s="5" t="s">
        <v>3897</v>
      </c>
    </row>
    <row r="495" spans="1:15" x14ac:dyDescent="0.25">
      <c r="A495" s="4" t="s">
        <v>508</v>
      </c>
      <c r="B495" s="2" t="s">
        <v>3318</v>
      </c>
      <c r="C495" s="2" t="s">
        <v>3875</v>
      </c>
      <c r="D495" s="2" t="s">
        <v>3882</v>
      </c>
      <c r="E495" s="3">
        <v>45232</v>
      </c>
      <c r="F495" s="3">
        <v>45535</v>
      </c>
      <c r="G495" s="2" t="s">
        <v>3884</v>
      </c>
      <c r="H495" s="2">
        <v>93794</v>
      </c>
      <c r="I495" s="2">
        <v>734388</v>
      </c>
      <c r="J495" s="2" t="s">
        <v>3890</v>
      </c>
      <c r="K495" s="2" t="s">
        <v>3893</v>
      </c>
      <c r="L495" s="2">
        <v>2023</v>
      </c>
      <c r="M495" s="2">
        <v>-640594</v>
      </c>
      <c r="N495" s="2">
        <f xml:space="preserve"> (Table1[[#This Row],[Variance (USD)]] / Table1[[#This Row],[Actual Spending (USD)]]) * 100</f>
        <v>-87.228277150498101</v>
      </c>
      <c r="O495" s="5" t="s">
        <v>3897</v>
      </c>
    </row>
    <row r="496" spans="1:15" x14ac:dyDescent="0.25">
      <c r="A496" s="4" t="s">
        <v>509</v>
      </c>
      <c r="B496" s="2" t="s">
        <v>3376</v>
      </c>
      <c r="C496" s="2" t="s">
        <v>3869</v>
      </c>
      <c r="D496" s="2" t="s">
        <v>3880</v>
      </c>
      <c r="E496" s="3">
        <v>45404</v>
      </c>
      <c r="F496" s="3">
        <v>45876</v>
      </c>
      <c r="G496" s="2" t="s">
        <v>3884</v>
      </c>
      <c r="H496" s="2">
        <v>969580</v>
      </c>
      <c r="I496" s="2">
        <v>352904</v>
      </c>
      <c r="J496" s="2" t="s">
        <v>3892</v>
      </c>
      <c r="K496" s="2" t="s">
        <v>3893</v>
      </c>
      <c r="L496" s="2">
        <v>2024</v>
      </c>
      <c r="M496" s="2">
        <v>616676</v>
      </c>
      <c r="N496" s="2">
        <f xml:space="preserve"> (Table1[[#This Row],[Variance (USD)]] / Table1[[#This Row],[Actual Spending (USD)]]) * 100</f>
        <v>174.74327295808493</v>
      </c>
      <c r="O496" s="5" t="s">
        <v>3897</v>
      </c>
    </row>
    <row r="497" spans="1:15" x14ac:dyDescent="0.25">
      <c r="A497" s="4" t="s">
        <v>510</v>
      </c>
      <c r="B497" s="2" t="s">
        <v>3377</v>
      </c>
      <c r="C497" s="2" t="s">
        <v>3875</v>
      </c>
      <c r="D497" s="2" t="s">
        <v>3876</v>
      </c>
      <c r="E497" s="3">
        <v>45605</v>
      </c>
      <c r="F497" s="3">
        <v>45759</v>
      </c>
      <c r="G497" s="2" t="s">
        <v>3884</v>
      </c>
      <c r="H497" s="2">
        <v>178544</v>
      </c>
      <c r="I497" s="2">
        <v>557930</v>
      </c>
      <c r="J497" s="2" t="s">
        <v>3889</v>
      </c>
      <c r="K497" s="2" t="s">
        <v>3895</v>
      </c>
      <c r="L497" s="2">
        <v>2024</v>
      </c>
      <c r="M497" s="2">
        <v>-379386</v>
      </c>
      <c r="N497" s="2">
        <f xml:space="preserve"> (Table1[[#This Row],[Variance (USD)]] / Table1[[#This Row],[Actual Spending (USD)]]) * 100</f>
        <v>-67.998852902693883</v>
      </c>
      <c r="O497" s="5" t="s">
        <v>3897</v>
      </c>
    </row>
    <row r="498" spans="1:15" x14ac:dyDescent="0.25">
      <c r="A498" s="4" t="s">
        <v>511</v>
      </c>
      <c r="B498" s="2" t="s">
        <v>3084</v>
      </c>
      <c r="C498" s="2" t="s">
        <v>3873</v>
      </c>
      <c r="D498" s="2" t="s">
        <v>3880</v>
      </c>
      <c r="E498" s="3">
        <v>44946</v>
      </c>
      <c r="F498" s="3">
        <v>45829</v>
      </c>
      <c r="G498" s="2" t="s">
        <v>3884</v>
      </c>
      <c r="H498" s="2">
        <v>87555</v>
      </c>
      <c r="I498" s="2">
        <v>537866</v>
      </c>
      <c r="J498" s="2" t="s">
        <v>3889</v>
      </c>
      <c r="K498" s="2" t="s">
        <v>3894</v>
      </c>
      <c r="L498" s="2">
        <v>2023</v>
      </c>
      <c r="M498" s="2">
        <v>-450311</v>
      </c>
      <c r="N498" s="2">
        <f xml:space="preserve"> (Table1[[#This Row],[Variance (USD)]] / Table1[[#This Row],[Actual Spending (USD)]]) * 100</f>
        <v>-83.721782005183442</v>
      </c>
      <c r="O498" s="5" t="s">
        <v>3897</v>
      </c>
    </row>
    <row r="499" spans="1:15" x14ac:dyDescent="0.25">
      <c r="A499" s="4" t="s">
        <v>512</v>
      </c>
      <c r="B499" s="2" t="s">
        <v>3378</v>
      </c>
      <c r="C499" s="2" t="s">
        <v>3875</v>
      </c>
      <c r="D499" s="2" t="s">
        <v>3880</v>
      </c>
      <c r="E499" s="3">
        <v>45142</v>
      </c>
      <c r="F499" s="3">
        <v>45501</v>
      </c>
      <c r="G499" s="2" t="s">
        <v>3884</v>
      </c>
      <c r="H499" s="2">
        <v>760568</v>
      </c>
      <c r="I499" s="2">
        <v>563910</v>
      </c>
      <c r="J499" s="2" t="s">
        <v>3889</v>
      </c>
      <c r="K499" s="2" t="s">
        <v>3895</v>
      </c>
      <c r="L499" s="2">
        <v>2024</v>
      </c>
      <c r="M499" s="2">
        <v>196658</v>
      </c>
      <c r="N499" s="2">
        <f xml:space="preserve"> (Table1[[#This Row],[Variance (USD)]] / Table1[[#This Row],[Actual Spending (USD)]]) * 100</f>
        <v>34.874004717064778</v>
      </c>
      <c r="O499" s="5" t="s">
        <v>3897</v>
      </c>
    </row>
    <row r="500" spans="1:15" x14ac:dyDescent="0.25">
      <c r="A500" s="4" t="s">
        <v>513</v>
      </c>
      <c r="B500" s="2" t="s">
        <v>3379</v>
      </c>
      <c r="C500" s="2" t="s">
        <v>3872</v>
      </c>
      <c r="D500" s="2" t="s">
        <v>3877</v>
      </c>
      <c r="E500" s="3">
        <v>45061</v>
      </c>
      <c r="F500" s="3">
        <v>45895</v>
      </c>
      <c r="G500" s="2" t="s">
        <v>3886</v>
      </c>
      <c r="H500" s="2">
        <v>868838</v>
      </c>
      <c r="I500" s="2">
        <v>78423</v>
      </c>
      <c r="J500" s="2" t="s">
        <v>3891</v>
      </c>
      <c r="K500" s="2" t="s">
        <v>3893</v>
      </c>
      <c r="L500" s="2">
        <v>2023</v>
      </c>
      <c r="M500" s="2">
        <v>790415</v>
      </c>
      <c r="N500" s="2">
        <f xml:space="preserve"> (Table1[[#This Row],[Variance (USD)]] / Table1[[#This Row],[Actual Spending (USD)]]) * 100</f>
        <v>1007.8867169070298</v>
      </c>
      <c r="O500" s="5" t="s">
        <v>3899</v>
      </c>
    </row>
    <row r="501" spans="1:15" x14ac:dyDescent="0.25">
      <c r="A501" s="4" t="s">
        <v>514</v>
      </c>
      <c r="B501" s="2" t="s">
        <v>3380</v>
      </c>
      <c r="C501" s="2" t="s">
        <v>3873</v>
      </c>
      <c r="D501" s="2" t="s">
        <v>3876</v>
      </c>
      <c r="E501" s="3">
        <v>45055</v>
      </c>
      <c r="F501" s="3">
        <v>45928</v>
      </c>
      <c r="G501" s="2" t="s">
        <v>3886</v>
      </c>
      <c r="H501" s="2">
        <v>504788</v>
      </c>
      <c r="I501" s="2">
        <v>789904</v>
      </c>
      <c r="J501" s="2" t="s">
        <v>3891</v>
      </c>
      <c r="K501" s="2" t="s">
        <v>3895</v>
      </c>
      <c r="L501" s="2">
        <v>2025</v>
      </c>
      <c r="M501" s="2">
        <v>-285116</v>
      </c>
      <c r="N501" s="2">
        <f xml:space="preserve"> (Table1[[#This Row],[Variance (USD)]] / Table1[[#This Row],[Actual Spending (USD)]]) * 100</f>
        <v>-36.095019141566567</v>
      </c>
      <c r="O501" s="5" t="s">
        <v>3899</v>
      </c>
    </row>
    <row r="502" spans="1:15" x14ac:dyDescent="0.25">
      <c r="A502" s="4" t="s">
        <v>515</v>
      </c>
      <c r="B502" s="2" t="s">
        <v>3112</v>
      </c>
      <c r="C502" s="2" t="s">
        <v>3875</v>
      </c>
      <c r="D502" s="2" t="s">
        <v>3882</v>
      </c>
      <c r="E502" s="3">
        <v>45336</v>
      </c>
      <c r="F502" s="3">
        <v>45364</v>
      </c>
      <c r="G502" s="2" t="s">
        <v>3884</v>
      </c>
      <c r="H502" s="2">
        <v>90262</v>
      </c>
      <c r="I502" s="2">
        <v>1126141</v>
      </c>
      <c r="J502" s="2" t="s">
        <v>3892</v>
      </c>
      <c r="K502" s="2" t="s">
        <v>3896</v>
      </c>
      <c r="L502" s="2">
        <v>2025</v>
      </c>
      <c r="M502" s="2">
        <v>-1035879</v>
      </c>
      <c r="N502" s="2">
        <f xml:space="preserve"> (Table1[[#This Row],[Variance (USD)]] / Table1[[#This Row],[Actual Spending (USD)]]) * 100</f>
        <v>-91.984840264229788</v>
      </c>
      <c r="O502" s="5" t="s">
        <v>3897</v>
      </c>
    </row>
    <row r="503" spans="1:15" x14ac:dyDescent="0.25">
      <c r="A503" s="4" t="s">
        <v>516</v>
      </c>
      <c r="B503" s="2" t="s">
        <v>3355</v>
      </c>
      <c r="C503" s="2" t="s">
        <v>3869</v>
      </c>
      <c r="D503" s="2" t="s">
        <v>3878</v>
      </c>
      <c r="E503" s="3">
        <v>45348</v>
      </c>
      <c r="F503" s="3">
        <v>45926</v>
      </c>
      <c r="G503" s="2" t="s">
        <v>3884</v>
      </c>
      <c r="H503" s="2">
        <v>927752</v>
      </c>
      <c r="I503" s="2">
        <v>817189</v>
      </c>
      <c r="J503" s="2" t="s">
        <v>3891</v>
      </c>
      <c r="K503" s="2" t="s">
        <v>3896</v>
      </c>
      <c r="L503" s="2">
        <v>2025</v>
      </c>
      <c r="M503" s="2">
        <v>110563</v>
      </c>
      <c r="N503" s="2">
        <f xml:space="preserve"> (Table1[[#This Row],[Variance (USD)]] / Table1[[#This Row],[Actual Spending (USD)]]) * 100</f>
        <v>13.529673062167994</v>
      </c>
      <c r="O503" s="5" t="s">
        <v>3897</v>
      </c>
    </row>
    <row r="504" spans="1:15" x14ac:dyDescent="0.25">
      <c r="A504" s="4" t="s">
        <v>517</v>
      </c>
      <c r="B504" s="2" t="s">
        <v>3381</v>
      </c>
      <c r="C504" s="2" t="s">
        <v>3869</v>
      </c>
      <c r="D504" s="2" t="s">
        <v>3880</v>
      </c>
      <c r="E504" s="3">
        <v>45220</v>
      </c>
      <c r="F504" s="3">
        <v>45600</v>
      </c>
      <c r="G504" s="2" t="s">
        <v>3884</v>
      </c>
      <c r="H504" s="2">
        <v>792021</v>
      </c>
      <c r="I504" s="2">
        <v>968974</v>
      </c>
      <c r="J504" s="2" t="s">
        <v>3891</v>
      </c>
      <c r="K504" s="2" t="s">
        <v>3895</v>
      </c>
      <c r="L504" s="2">
        <v>2024</v>
      </c>
      <c r="M504" s="2">
        <v>-176953</v>
      </c>
      <c r="N504" s="2">
        <f xml:space="preserve"> (Table1[[#This Row],[Variance (USD)]] / Table1[[#This Row],[Actual Spending (USD)]]) * 100</f>
        <v>-18.261893507978542</v>
      </c>
      <c r="O504" s="5" t="s">
        <v>3897</v>
      </c>
    </row>
    <row r="505" spans="1:15" x14ac:dyDescent="0.25">
      <c r="A505" s="4" t="s">
        <v>518</v>
      </c>
      <c r="B505" s="2" t="s">
        <v>3382</v>
      </c>
      <c r="C505" s="2" t="s">
        <v>3874</v>
      </c>
      <c r="D505" s="2" t="s">
        <v>3883</v>
      </c>
      <c r="E505" s="3">
        <v>45172</v>
      </c>
      <c r="F505" s="3">
        <v>45987</v>
      </c>
      <c r="G505" s="2" t="s">
        <v>3886</v>
      </c>
      <c r="H505" s="2">
        <v>466432</v>
      </c>
      <c r="I505" s="2">
        <v>36220</v>
      </c>
      <c r="J505" s="2" t="s">
        <v>3890</v>
      </c>
      <c r="K505" s="2" t="s">
        <v>3895</v>
      </c>
      <c r="L505" s="2">
        <v>2025</v>
      </c>
      <c r="M505" s="2">
        <v>430212</v>
      </c>
      <c r="N505" s="2">
        <f xml:space="preserve"> (Table1[[#This Row],[Variance (USD)]] / Table1[[#This Row],[Actual Spending (USD)]]) * 100</f>
        <v>1187.7747101049144</v>
      </c>
      <c r="O505" s="5" t="s">
        <v>3899</v>
      </c>
    </row>
    <row r="506" spans="1:15" x14ac:dyDescent="0.25">
      <c r="A506" s="4" t="s">
        <v>519</v>
      </c>
      <c r="B506" s="2" t="s">
        <v>3383</v>
      </c>
      <c r="C506" s="2" t="s">
        <v>3869</v>
      </c>
      <c r="D506" s="2" t="s">
        <v>3883</v>
      </c>
      <c r="E506" s="3">
        <v>45627</v>
      </c>
      <c r="F506" s="3">
        <v>45990</v>
      </c>
      <c r="G506" s="2" t="s">
        <v>3884</v>
      </c>
      <c r="H506" s="2">
        <v>511333</v>
      </c>
      <c r="I506" s="2">
        <v>924840</v>
      </c>
      <c r="J506" s="2" t="s">
        <v>3891</v>
      </c>
      <c r="K506" s="2" t="s">
        <v>3894</v>
      </c>
      <c r="L506" s="2">
        <v>2024</v>
      </c>
      <c r="M506" s="2">
        <v>-413507</v>
      </c>
      <c r="N506" s="2">
        <f xml:space="preserve"> (Table1[[#This Row],[Variance (USD)]] / Table1[[#This Row],[Actual Spending (USD)]]) * 100</f>
        <v>-44.711193287487568</v>
      </c>
      <c r="O506" s="5" t="s">
        <v>3897</v>
      </c>
    </row>
    <row r="507" spans="1:15" x14ac:dyDescent="0.25">
      <c r="A507" s="4" t="s">
        <v>520</v>
      </c>
      <c r="B507" s="2" t="s">
        <v>3183</v>
      </c>
      <c r="C507" s="2" t="s">
        <v>3871</v>
      </c>
      <c r="D507" s="2" t="s">
        <v>3878</v>
      </c>
      <c r="E507" s="3">
        <v>45482</v>
      </c>
      <c r="F507" s="3">
        <v>46001</v>
      </c>
      <c r="G507" s="2" t="s">
        <v>3884</v>
      </c>
      <c r="H507" s="2">
        <v>786496</v>
      </c>
      <c r="I507" s="2">
        <v>646139</v>
      </c>
      <c r="J507" s="2" t="s">
        <v>3888</v>
      </c>
      <c r="K507" s="2" t="s">
        <v>3895</v>
      </c>
      <c r="L507" s="2">
        <v>2023</v>
      </c>
      <c r="M507" s="2">
        <v>140357</v>
      </c>
      <c r="N507" s="2">
        <f xml:space="preserve"> (Table1[[#This Row],[Variance (USD)]] / Table1[[#This Row],[Actual Spending (USD)]]) * 100</f>
        <v>21.722415765028888</v>
      </c>
      <c r="O507" s="5" t="s">
        <v>3897</v>
      </c>
    </row>
    <row r="508" spans="1:15" x14ac:dyDescent="0.25">
      <c r="A508" s="4" t="s">
        <v>521</v>
      </c>
      <c r="B508" s="2" t="s">
        <v>3060</v>
      </c>
      <c r="C508" s="2" t="s">
        <v>3868</v>
      </c>
      <c r="D508" s="2" t="s">
        <v>3883</v>
      </c>
      <c r="E508" s="3">
        <v>45012</v>
      </c>
      <c r="F508" s="3">
        <v>45881</v>
      </c>
      <c r="G508" s="2" t="s">
        <v>3884</v>
      </c>
      <c r="H508" s="2">
        <v>342428</v>
      </c>
      <c r="I508" s="2">
        <v>740114</v>
      </c>
      <c r="J508" s="2" t="s">
        <v>3888</v>
      </c>
      <c r="K508" s="2" t="s">
        <v>3895</v>
      </c>
      <c r="L508" s="2">
        <v>2025</v>
      </c>
      <c r="M508" s="2">
        <v>-397686</v>
      </c>
      <c r="N508" s="2">
        <f xml:space="preserve"> (Table1[[#This Row],[Variance (USD)]] / Table1[[#This Row],[Actual Spending (USD)]]) * 100</f>
        <v>-53.73307355353365</v>
      </c>
      <c r="O508" s="5" t="s">
        <v>3897</v>
      </c>
    </row>
    <row r="509" spans="1:15" x14ac:dyDescent="0.25">
      <c r="A509" s="4" t="s">
        <v>522</v>
      </c>
      <c r="B509" s="2" t="s">
        <v>3384</v>
      </c>
      <c r="C509" s="2" t="s">
        <v>3869</v>
      </c>
      <c r="D509" s="2" t="s">
        <v>3879</v>
      </c>
      <c r="E509" s="3">
        <v>45482</v>
      </c>
      <c r="F509" s="3">
        <v>45477</v>
      </c>
      <c r="G509" s="2" t="s">
        <v>3885</v>
      </c>
      <c r="H509" s="2">
        <v>725531</v>
      </c>
      <c r="I509" s="2">
        <v>157636</v>
      </c>
      <c r="J509" s="2" t="s">
        <v>3888</v>
      </c>
      <c r="K509" s="2" t="s">
        <v>3894</v>
      </c>
      <c r="L509" s="2">
        <v>2024</v>
      </c>
      <c r="M509" s="2">
        <v>567895</v>
      </c>
      <c r="N509" s="2">
        <f xml:space="preserve"> (Table1[[#This Row],[Variance (USD)]] / Table1[[#This Row],[Actual Spending (USD)]]) * 100</f>
        <v>360.25717475703522</v>
      </c>
      <c r="O509" s="5" t="s">
        <v>3898</v>
      </c>
    </row>
    <row r="510" spans="1:15" x14ac:dyDescent="0.25">
      <c r="A510" s="4" t="s">
        <v>523</v>
      </c>
      <c r="B510" s="2" t="s">
        <v>3385</v>
      </c>
      <c r="C510" s="2" t="s">
        <v>3873</v>
      </c>
      <c r="D510" s="2" t="s">
        <v>3880</v>
      </c>
      <c r="E510" s="3">
        <v>45301</v>
      </c>
      <c r="F510" s="3">
        <v>45544</v>
      </c>
      <c r="G510" s="2" t="s">
        <v>3884</v>
      </c>
      <c r="H510" s="2">
        <v>927059</v>
      </c>
      <c r="I510" s="2">
        <v>530846</v>
      </c>
      <c r="J510" s="2" t="s">
        <v>3892</v>
      </c>
      <c r="K510" s="2" t="s">
        <v>3895</v>
      </c>
      <c r="L510" s="2">
        <v>2025</v>
      </c>
      <c r="M510" s="2">
        <v>396213</v>
      </c>
      <c r="N510" s="2">
        <f xml:space="preserve"> (Table1[[#This Row],[Variance (USD)]] / Table1[[#This Row],[Actual Spending (USD)]]) * 100</f>
        <v>74.63803061528202</v>
      </c>
      <c r="O510" s="5" t="s">
        <v>3897</v>
      </c>
    </row>
    <row r="511" spans="1:15" x14ac:dyDescent="0.25">
      <c r="A511" s="4" t="s">
        <v>524</v>
      </c>
      <c r="B511" s="2" t="s">
        <v>3047</v>
      </c>
      <c r="C511" s="2" t="s">
        <v>3874</v>
      </c>
      <c r="D511" s="2" t="s">
        <v>3878</v>
      </c>
      <c r="E511" s="3">
        <v>45372</v>
      </c>
      <c r="F511" s="3">
        <v>45304</v>
      </c>
      <c r="G511" s="2" t="s">
        <v>3886</v>
      </c>
      <c r="H511" s="2">
        <v>981837</v>
      </c>
      <c r="I511" s="2">
        <v>445721</v>
      </c>
      <c r="J511" s="2" t="s">
        <v>3889</v>
      </c>
      <c r="K511" s="2" t="s">
        <v>3895</v>
      </c>
      <c r="L511" s="2">
        <v>2024</v>
      </c>
      <c r="M511" s="2">
        <v>536116</v>
      </c>
      <c r="N511" s="2">
        <f xml:space="preserve"> (Table1[[#This Row],[Variance (USD)]] / Table1[[#This Row],[Actual Spending (USD)]]) * 100</f>
        <v>120.28062397777984</v>
      </c>
      <c r="O511" s="5" t="s">
        <v>3899</v>
      </c>
    </row>
    <row r="512" spans="1:15" x14ac:dyDescent="0.25">
      <c r="A512" s="4" t="s">
        <v>525</v>
      </c>
      <c r="B512" s="2" t="s">
        <v>3351</v>
      </c>
      <c r="C512" s="2" t="s">
        <v>3869</v>
      </c>
      <c r="D512" s="2" t="s">
        <v>3876</v>
      </c>
      <c r="E512" s="3">
        <v>45304</v>
      </c>
      <c r="F512" s="3">
        <v>45590</v>
      </c>
      <c r="G512" s="2" t="s">
        <v>3884</v>
      </c>
      <c r="H512" s="2">
        <v>473751</v>
      </c>
      <c r="I512" s="2">
        <v>628780</v>
      </c>
      <c r="J512" s="2" t="s">
        <v>3890</v>
      </c>
      <c r="K512" s="2" t="s">
        <v>3895</v>
      </c>
      <c r="L512" s="2">
        <v>2024</v>
      </c>
      <c r="M512" s="2">
        <v>-155029</v>
      </c>
      <c r="N512" s="2">
        <f xml:space="preserve"> (Table1[[#This Row],[Variance (USD)]] / Table1[[#This Row],[Actual Spending (USD)]]) * 100</f>
        <v>-24.655523394510006</v>
      </c>
      <c r="O512" s="5" t="s">
        <v>3897</v>
      </c>
    </row>
    <row r="513" spans="1:15" x14ac:dyDescent="0.25">
      <c r="A513" s="4" t="s">
        <v>526</v>
      </c>
      <c r="B513" s="2" t="s">
        <v>3386</v>
      </c>
      <c r="C513" s="2" t="s">
        <v>3871</v>
      </c>
      <c r="D513" s="2" t="s">
        <v>3880</v>
      </c>
      <c r="E513" s="3">
        <v>45316</v>
      </c>
      <c r="F513" s="3">
        <v>45367</v>
      </c>
      <c r="G513" s="2" t="s">
        <v>3885</v>
      </c>
      <c r="H513" s="2">
        <v>139023</v>
      </c>
      <c r="I513" s="2">
        <v>311253</v>
      </c>
      <c r="J513" s="2" t="s">
        <v>3892</v>
      </c>
      <c r="K513" s="2" t="s">
        <v>3895</v>
      </c>
      <c r="L513" s="2">
        <v>2023</v>
      </c>
      <c r="M513" s="2">
        <v>-172230</v>
      </c>
      <c r="N513" s="2">
        <f xml:space="preserve"> (Table1[[#This Row],[Variance (USD)]] / Table1[[#This Row],[Actual Spending (USD)]]) * 100</f>
        <v>-55.334406415359851</v>
      </c>
      <c r="O513" s="5" t="s">
        <v>3898</v>
      </c>
    </row>
    <row r="514" spans="1:15" x14ac:dyDescent="0.25">
      <c r="A514" s="4" t="s">
        <v>527</v>
      </c>
      <c r="B514" s="2" t="s">
        <v>3387</v>
      </c>
      <c r="C514" s="2" t="s">
        <v>3872</v>
      </c>
      <c r="D514" s="2" t="s">
        <v>3878</v>
      </c>
      <c r="E514" s="3">
        <v>45583</v>
      </c>
      <c r="F514" s="3">
        <v>45342</v>
      </c>
      <c r="G514" s="2" t="s">
        <v>3886</v>
      </c>
      <c r="H514" s="2">
        <v>257012</v>
      </c>
      <c r="I514" s="2">
        <v>87326</v>
      </c>
      <c r="J514" s="2" t="s">
        <v>3889</v>
      </c>
      <c r="K514" s="2" t="s">
        <v>3895</v>
      </c>
      <c r="L514" s="2">
        <v>2024</v>
      </c>
      <c r="M514" s="2">
        <v>169686</v>
      </c>
      <c r="N514" s="2">
        <f xml:space="preserve"> (Table1[[#This Row],[Variance (USD)]] / Table1[[#This Row],[Actual Spending (USD)]]) * 100</f>
        <v>194.31326294574353</v>
      </c>
      <c r="O514" s="5" t="s">
        <v>3899</v>
      </c>
    </row>
    <row r="515" spans="1:15" x14ac:dyDescent="0.25">
      <c r="A515" s="4" t="s">
        <v>528</v>
      </c>
      <c r="B515" s="2" t="s">
        <v>3229</v>
      </c>
      <c r="C515" s="2" t="s">
        <v>3873</v>
      </c>
      <c r="D515" s="2" t="s">
        <v>3877</v>
      </c>
      <c r="E515" s="3">
        <v>44977</v>
      </c>
      <c r="F515" s="3">
        <v>45440</v>
      </c>
      <c r="G515" s="2" t="s">
        <v>3884</v>
      </c>
      <c r="H515" s="2">
        <v>214772</v>
      </c>
      <c r="I515" s="2">
        <v>1088440</v>
      </c>
      <c r="J515" s="2" t="s">
        <v>3890</v>
      </c>
      <c r="K515" s="2" t="s">
        <v>3893</v>
      </c>
      <c r="L515" s="2">
        <v>2024</v>
      </c>
      <c r="M515" s="2">
        <v>-873668</v>
      </c>
      <c r="N515" s="2">
        <f xml:space="preserve"> (Table1[[#This Row],[Variance (USD)]] / Table1[[#This Row],[Actual Spending (USD)]]) * 100</f>
        <v>-80.267906361397962</v>
      </c>
      <c r="O515" s="5" t="s">
        <v>3897</v>
      </c>
    </row>
    <row r="516" spans="1:15" x14ac:dyDescent="0.25">
      <c r="A516" s="4" t="s">
        <v>529</v>
      </c>
      <c r="B516" s="2" t="s">
        <v>3056</v>
      </c>
      <c r="C516" s="2" t="s">
        <v>3871</v>
      </c>
      <c r="D516" s="2" t="s">
        <v>3882</v>
      </c>
      <c r="E516" s="3">
        <v>45168</v>
      </c>
      <c r="F516" s="3">
        <v>46022</v>
      </c>
      <c r="G516" s="2" t="s">
        <v>3885</v>
      </c>
      <c r="H516" s="2">
        <v>526799</v>
      </c>
      <c r="I516" s="2">
        <v>379706</v>
      </c>
      <c r="J516" s="2" t="s">
        <v>3890</v>
      </c>
      <c r="K516" s="2" t="s">
        <v>3895</v>
      </c>
      <c r="L516" s="2">
        <v>2025</v>
      </c>
      <c r="M516" s="2">
        <v>147093</v>
      </c>
      <c r="N516" s="2">
        <f xml:space="preserve"> (Table1[[#This Row],[Variance (USD)]] / Table1[[#This Row],[Actual Spending (USD)]]) * 100</f>
        <v>38.738655696775922</v>
      </c>
      <c r="O516" s="5" t="s">
        <v>3898</v>
      </c>
    </row>
    <row r="517" spans="1:15" x14ac:dyDescent="0.25">
      <c r="A517" s="4" t="s">
        <v>530</v>
      </c>
      <c r="B517" s="2" t="s">
        <v>3388</v>
      </c>
      <c r="C517" s="2" t="s">
        <v>3872</v>
      </c>
      <c r="D517" s="2" t="s">
        <v>3876</v>
      </c>
      <c r="E517" s="3">
        <v>45220</v>
      </c>
      <c r="F517" s="3">
        <v>45413</v>
      </c>
      <c r="G517" s="2" t="s">
        <v>3884</v>
      </c>
      <c r="H517" s="2">
        <v>91516</v>
      </c>
      <c r="I517" s="2">
        <v>1152886</v>
      </c>
      <c r="J517" s="2" t="s">
        <v>3890</v>
      </c>
      <c r="K517" s="2" t="s">
        <v>3894</v>
      </c>
      <c r="L517" s="2">
        <v>2023</v>
      </c>
      <c r="M517" s="2">
        <v>-1061370</v>
      </c>
      <c r="N517" s="2">
        <f xml:space="preserve"> (Table1[[#This Row],[Variance (USD)]] / Table1[[#This Row],[Actual Spending (USD)]]) * 100</f>
        <v>-92.062007865478463</v>
      </c>
      <c r="O517" s="5" t="s">
        <v>3897</v>
      </c>
    </row>
    <row r="518" spans="1:15" x14ac:dyDescent="0.25">
      <c r="A518" s="4" t="s">
        <v>531</v>
      </c>
      <c r="B518" s="2" t="s">
        <v>3059</v>
      </c>
      <c r="C518" s="2" t="s">
        <v>3870</v>
      </c>
      <c r="D518" s="2" t="s">
        <v>3882</v>
      </c>
      <c r="E518" s="3">
        <v>45489</v>
      </c>
      <c r="F518" s="3">
        <v>45502</v>
      </c>
      <c r="G518" s="2" t="s">
        <v>3885</v>
      </c>
      <c r="H518" s="2">
        <v>327721</v>
      </c>
      <c r="I518" s="2">
        <v>411598</v>
      </c>
      <c r="J518" s="2" t="s">
        <v>3888</v>
      </c>
      <c r="K518" s="2" t="s">
        <v>3895</v>
      </c>
      <c r="L518" s="2">
        <v>2024</v>
      </c>
      <c r="M518" s="2">
        <v>-83877</v>
      </c>
      <c r="N518" s="2">
        <f xml:space="preserve"> (Table1[[#This Row],[Variance (USD)]] / Table1[[#This Row],[Actual Spending (USD)]]) * 100</f>
        <v>-20.378378903687576</v>
      </c>
      <c r="O518" s="5" t="s">
        <v>3898</v>
      </c>
    </row>
    <row r="519" spans="1:15" x14ac:dyDescent="0.25">
      <c r="A519" s="4" t="s">
        <v>532</v>
      </c>
      <c r="B519" s="2" t="s">
        <v>3297</v>
      </c>
      <c r="C519" s="2" t="s">
        <v>3870</v>
      </c>
      <c r="D519" s="2" t="s">
        <v>3877</v>
      </c>
      <c r="E519" s="3">
        <v>45192</v>
      </c>
      <c r="F519" s="3">
        <v>45571</v>
      </c>
      <c r="G519" s="2" t="s">
        <v>3885</v>
      </c>
      <c r="H519" s="2">
        <v>305623</v>
      </c>
      <c r="I519" s="2">
        <v>273415</v>
      </c>
      <c r="J519" s="2" t="s">
        <v>3888</v>
      </c>
      <c r="K519" s="2" t="s">
        <v>3893</v>
      </c>
      <c r="L519" s="2">
        <v>2025</v>
      </c>
      <c r="M519" s="2">
        <v>32208</v>
      </c>
      <c r="N519" s="2">
        <f xml:space="preserve"> (Table1[[#This Row],[Variance (USD)]] / Table1[[#This Row],[Actual Spending (USD)]]) * 100</f>
        <v>11.77989503136258</v>
      </c>
      <c r="O519" s="5" t="s">
        <v>3898</v>
      </c>
    </row>
    <row r="520" spans="1:15" x14ac:dyDescent="0.25">
      <c r="A520" s="4" t="s">
        <v>533</v>
      </c>
      <c r="B520" s="2" t="s">
        <v>3389</v>
      </c>
      <c r="C520" s="2" t="s">
        <v>3873</v>
      </c>
      <c r="D520" s="2" t="s">
        <v>3880</v>
      </c>
      <c r="E520" s="3">
        <v>45046</v>
      </c>
      <c r="F520" s="3">
        <v>45829</v>
      </c>
      <c r="G520" s="2" t="s">
        <v>3884</v>
      </c>
      <c r="H520" s="2">
        <v>589303</v>
      </c>
      <c r="I520" s="2">
        <v>837449</v>
      </c>
      <c r="J520" s="2" t="s">
        <v>3888</v>
      </c>
      <c r="K520" s="2" t="s">
        <v>3894</v>
      </c>
      <c r="L520" s="2">
        <v>2023</v>
      </c>
      <c r="M520" s="2">
        <v>-248146</v>
      </c>
      <c r="N520" s="2">
        <f xml:space="preserve"> (Table1[[#This Row],[Variance (USD)]] / Table1[[#This Row],[Actual Spending (USD)]]) * 100</f>
        <v>-29.631177540363652</v>
      </c>
      <c r="O520" s="5" t="s">
        <v>3897</v>
      </c>
    </row>
    <row r="521" spans="1:15" x14ac:dyDescent="0.25">
      <c r="A521" s="4" t="s">
        <v>534</v>
      </c>
      <c r="B521" s="2" t="s">
        <v>3167</v>
      </c>
      <c r="C521" s="2" t="s">
        <v>3875</v>
      </c>
      <c r="D521" s="2" t="s">
        <v>3876</v>
      </c>
      <c r="E521" s="3">
        <v>45638</v>
      </c>
      <c r="F521" s="3">
        <v>45976</v>
      </c>
      <c r="G521" s="2" t="s">
        <v>3886</v>
      </c>
      <c r="H521" s="2">
        <v>141104</v>
      </c>
      <c r="I521" s="2">
        <v>468701</v>
      </c>
      <c r="J521" s="2" t="s">
        <v>3890</v>
      </c>
      <c r="K521" s="2" t="s">
        <v>3894</v>
      </c>
      <c r="L521" s="2">
        <v>2024</v>
      </c>
      <c r="M521" s="2">
        <v>-327597</v>
      </c>
      <c r="N521" s="2">
        <f xml:space="preserve"> (Table1[[#This Row],[Variance (USD)]] / Table1[[#This Row],[Actual Spending (USD)]]) * 100</f>
        <v>-69.894666322452906</v>
      </c>
      <c r="O521" s="5" t="s">
        <v>3899</v>
      </c>
    </row>
    <row r="522" spans="1:15" x14ac:dyDescent="0.25">
      <c r="A522" s="4" t="s">
        <v>535</v>
      </c>
      <c r="B522" s="2" t="s">
        <v>3390</v>
      </c>
      <c r="C522" s="2" t="s">
        <v>3868</v>
      </c>
      <c r="D522" s="2" t="s">
        <v>3882</v>
      </c>
      <c r="E522" s="3">
        <v>45174</v>
      </c>
      <c r="F522" s="3">
        <v>45447</v>
      </c>
      <c r="G522" s="2" t="s">
        <v>3884</v>
      </c>
      <c r="H522" s="2">
        <v>426556</v>
      </c>
      <c r="I522" s="2">
        <v>1162133</v>
      </c>
      <c r="J522" s="2" t="s">
        <v>3890</v>
      </c>
      <c r="K522" s="2" t="s">
        <v>3895</v>
      </c>
      <c r="L522" s="2">
        <v>2025</v>
      </c>
      <c r="M522" s="2">
        <v>-735577</v>
      </c>
      <c r="N522" s="2">
        <f xml:space="preserve"> (Table1[[#This Row],[Variance (USD)]] / Table1[[#This Row],[Actual Spending (USD)]]) * 100</f>
        <v>-63.295423157246198</v>
      </c>
      <c r="O522" s="5" t="s">
        <v>3897</v>
      </c>
    </row>
    <row r="523" spans="1:15" x14ac:dyDescent="0.25">
      <c r="A523" s="4" t="s">
        <v>536</v>
      </c>
      <c r="B523" s="2" t="s">
        <v>3121</v>
      </c>
      <c r="C523" s="2" t="s">
        <v>3874</v>
      </c>
      <c r="D523" s="2" t="s">
        <v>3883</v>
      </c>
      <c r="E523" s="3">
        <v>44996</v>
      </c>
      <c r="F523" s="3">
        <v>45529</v>
      </c>
      <c r="G523" s="2" t="s">
        <v>3884</v>
      </c>
      <c r="H523" s="2">
        <v>403884</v>
      </c>
      <c r="I523" s="2">
        <v>217460</v>
      </c>
      <c r="J523" s="2" t="s">
        <v>3888</v>
      </c>
      <c r="K523" s="2" t="s">
        <v>3896</v>
      </c>
      <c r="L523" s="2">
        <v>2023</v>
      </c>
      <c r="M523" s="2">
        <v>186424</v>
      </c>
      <c r="N523" s="2">
        <f xml:space="preserve"> (Table1[[#This Row],[Variance (USD)]] / Table1[[#This Row],[Actual Spending (USD)]]) * 100</f>
        <v>85.727949967810162</v>
      </c>
      <c r="O523" s="5" t="s">
        <v>3897</v>
      </c>
    </row>
    <row r="524" spans="1:15" x14ac:dyDescent="0.25">
      <c r="A524" s="4" t="s">
        <v>537</v>
      </c>
      <c r="B524" s="2" t="s">
        <v>3284</v>
      </c>
      <c r="C524" s="2" t="s">
        <v>3868</v>
      </c>
      <c r="D524" s="2" t="s">
        <v>3882</v>
      </c>
      <c r="E524" s="3">
        <v>44983</v>
      </c>
      <c r="F524" s="3">
        <v>45667</v>
      </c>
      <c r="G524" s="2" t="s">
        <v>3884</v>
      </c>
      <c r="H524" s="2">
        <v>802644</v>
      </c>
      <c r="I524" s="2">
        <v>40372</v>
      </c>
      <c r="J524" s="2" t="s">
        <v>3890</v>
      </c>
      <c r="K524" s="2" t="s">
        <v>3893</v>
      </c>
      <c r="L524" s="2">
        <v>2023</v>
      </c>
      <c r="M524" s="2">
        <v>762272</v>
      </c>
      <c r="N524" s="2">
        <f xml:space="preserve"> (Table1[[#This Row],[Variance (USD)]] / Table1[[#This Row],[Actual Spending (USD)]]) * 100</f>
        <v>1888.1204795402755</v>
      </c>
      <c r="O524" s="5" t="s">
        <v>3897</v>
      </c>
    </row>
    <row r="525" spans="1:15" x14ac:dyDescent="0.25">
      <c r="A525" s="4" t="s">
        <v>538</v>
      </c>
      <c r="B525" s="2" t="s">
        <v>3203</v>
      </c>
      <c r="C525" s="2" t="s">
        <v>3871</v>
      </c>
      <c r="D525" s="2" t="s">
        <v>3878</v>
      </c>
      <c r="E525" s="3">
        <v>45308</v>
      </c>
      <c r="F525" s="3">
        <v>45373</v>
      </c>
      <c r="G525" s="2" t="s">
        <v>3886</v>
      </c>
      <c r="H525" s="2">
        <v>464452</v>
      </c>
      <c r="I525" s="2">
        <v>529900</v>
      </c>
      <c r="J525" s="2" t="s">
        <v>3888</v>
      </c>
      <c r="K525" s="2" t="s">
        <v>3896</v>
      </c>
      <c r="L525" s="2">
        <v>2023</v>
      </c>
      <c r="M525" s="2">
        <v>-65448</v>
      </c>
      <c r="N525" s="2">
        <f xml:space="preserve"> (Table1[[#This Row],[Variance (USD)]] / Table1[[#This Row],[Actual Spending (USD)]]) * 100</f>
        <v>-12.351009624457445</v>
      </c>
      <c r="O525" s="5" t="s">
        <v>3899</v>
      </c>
    </row>
    <row r="526" spans="1:15" x14ac:dyDescent="0.25">
      <c r="A526" s="4" t="s">
        <v>539</v>
      </c>
      <c r="B526" s="2" t="s">
        <v>3170</v>
      </c>
      <c r="C526" s="2" t="s">
        <v>3872</v>
      </c>
      <c r="D526" s="2" t="s">
        <v>3880</v>
      </c>
      <c r="E526" s="3">
        <v>44965</v>
      </c>
      <c r="F526" s="3">
        <v>45783</v>
      </c>
      <c r="G526" s="2" t="s">
        <v>3884</v>
      </c>
      <c r="H526" s="2">
        <v>378784</v>
      </c>
      <c r="I526" s="2">
        <v>1178626</v>
      </c>
      <c r="J526" s="2" t="s">
        <v>3888</v>
      </c>
      <c r="K526" s="2" t="s">
        <v>3895</v>
      </c>
      <c r="L526" s="2">
        <v>2023</v>
      </c>
      <c r="M526" s="2">
        <v>-799842</v>
      </c>
      <c r="N526" s="2">
        <f xml:space="preserve"> (Table1[[#This Row],[Variance (USD)]] / Table1[[#This Row],[Actual Spending (USD)]]) * 100</f>
        <v>-67.862239590845604</v>
      </c>
      <c r="O526" s="5" t="s">
        <v>3897</v>
      </c>
    </row>
    <row r="527" spans="1:15" x14ac:dyDescent="0.25">
      <c r="A527" s="4" t="s">
        <v>540</v>
      </c>
      <c r="B527" s="2" t="s">
        <v>3015</v>
      </c>
      <c r="C527" s="2" t="s">
        <v>3868</v>
      </c>
      <c r="D527" s="2" t="s">
        <v>3879</v>
      </c>
      <c r="E527" s="3">
        <v>45369</v>
      </c>
      <c r="F527" s="3">
        <v>45647</v>
      </c>
      <c r="G527" s="2" t="s">
        <v>3884</v>
      </c>
      <c r="H527" s="2">
        <v>657478</v>
      </c>
      <c r="I527" s="2">
        <v>363477</v>
      </c>
      <c r="J527" s="2" t="s">
        <v>3888</v>
      </c>
      <c r="K527" s="2" t="s">
        <v>3893</v>
      </c>
      <c r="L527" s="2">
        <v>2024</v>
      </c>
      <c r="M527" s="2">
        <v>294001</v>
      </c>
      <c r="N527" s="2">
        <f xml:space="preserve"> (Table1[[#This Row],[Variance (USD)]] / Table1[[#This Row],[Actual Spending (USD)]]) * 100</f>
        <v>80.885723168178458</v>
      </c>
      <c r="O527" s="5" t="s">
        <v>3897</v>
      </c>
    </row>
    <row r="528" spans="1:15" x14ac:dyDescent="0.25">
      <c r="A528" s="4" t="s">
        <v>541</v>
      </c>
      <c r="B528" s="2" t="s">
        <v>3391</v>
      </c>
      <c r="C528" s="2" t="s">
        <v>3872</v>
      </c>
      <c r="D528" s="2" t="s">
        <v>3882</v>
      </c>
      <c r="E528" s="3">
        <v>44944</v>
      </c>
      <c r="F528" s="3">
        <v>45564</v>
      </c>
      <c r="G528" s="2" t="s">
        <v>3886</v>
      </c>
      <c r="H528" s="2">
        <v>179516</v>
      </c>
      <c r="I528" s="2">
        <v>308427</v>
      </c>
      <c r="J528" s="2" t="s">
        <v>3889</v>
      </c>
      <c r="K528" s="2" t="s">
        <v>3896</v>
      </c>
      <c r="L528" s="2">
        <v>2024</v>
      </c>
      <c r="M528" s="2">
        <v>-128911</v>
      </c>
      <c r="N528" s="2">
        <f xml:space="preserve"> (Table1[[#This Row],[Variance (USD)]] / Table1[[#This Row],[Actual Spending (USD)]]) * 100</f>
        <v>-41.796275942119202</v>
      </c>
      <c r="O528" s="5" t="s">
        <v>3899</v>
      </c>
    </row>
    <row r="529" spans="1:15" x14ac:dyDescent="0.25">
      <c r="A529" s="4" t="s">
        <v>542</v>
      </c>
      <c r="B529" s="2" t="s">
        <v>3392</v>
      </c>
      <c r="C529" s="2" t="s">
        <v>3872</v>
      </c>
      <c r="D529" s="2" t="s">
        <v>3876</v>
      </c>
      <c r="E529" s="3">
        <v>45278</v>
      </c>
      <c r="F529" s="3">
        <v>45871</v>
      </c>
      <c r="G529" s="2" t="s">
        <v>3884</v>
      </c>
      <c r="H529" s="2">
        <v>223441</v>
      </c>
      <c r="I529" s="2">
        <v>1119433</v>
      </c>
      <c r="J529" s="2" t="s">
        <v>3890</v>
      </c>
      <c r="K529" s="2" t="s">
        <v>3893</v>
      </c>
      <c r="L529" s="2">
        <v>2023</v>
      </c>
      <c r="M529" s="2">
        <v>-895992</v>
      </c>
      <c r="N529" s="2">
        <f xml:space="preserve"> (Table1[[#This Row],[Variance (USD)]] / Table1[[#This Row],[Actual Spending (USD)]]) * 100</f>
        <v>-80.039805866005381</v>
      </c>
      <c r="O529" s="5" t="s">
        <v>3897</v>
      </c>
    </row>
    <row r="530" spans="1:15" x14ac:dyDescent="0.25">
      <c r="A530" s="4" t="s">
        <v>543</v>
      </c>
      <c r="B530" s="2" t="s">
        <v>3393</v>
      </c>
      <c r="C530" s="2" t="s">
        <v>3871</v>
      </c>
      <c r="D530" s="2" t="s">
        <v>3876</v>
      </c>
      <c r="E530" s="3">
        <v>45224</v>
      </c>
      <c r="F530" s="3">
        <v>45335</v>
      </c>
      <c r="G530" s="2" t="s">
        <v>3884</v>
      </c>
      <c r="H530" s="2">
        <v>709006</v>
      </c>
      <c r="I530" s="2">
        <v>1057945</v>
      </c>
      <c r="J530" s="2" t="s">
        <v>3892</v>
      </c>
      <c r="K530" s="2" t="s">
        <v>3895</v>
      </c>
      <c r="L530" s="2">
        <v>2023</v>
      </c>
      <c r="M530" s="2">
        <v>-348939</v>
      </c>
      <c r="N530" s="2">
        <f xml:space="preserve"> (Table1[[#This Row],[Variance (USD)]] / Table1[[#This Row],[Actual Spending (USD)]]) * 100</f>
        <v>-32.98271649282335</v>
      </c>
      <c r="O530" s="5" t="s">
        <v>3897</v>
      </c>
    </row>
    <row r="531" spans="1:15" x14ac:dyDescent="0.25">
      <c r="A531" s="4" t="s">
        <v>544</v>
      </c>
      <c r="B531" s="2" t="s">
        <v>3257</v>
      </c>
      <c r="C531" s="2" t="s">
        <v>3871</v>
      </c>
      <c r="D531" s="2" t="s">
        <v>3881</v>
      </c>
      <c r="E531" s="3">
        <v>45209</v>
      </c>
      <c r="F531" s="3">
        <v>45864</v>
      </c>
      <c r="G531" s="2" t="s">
        <v>3884</v>
      </c>
      <c r="H531" s="2">
        <v>137007</v>
      </c>
      <c r="I531" s="2">
        <v>745030</v>
      </c>
      <c r="J531" s="2" t="s">
        <v>3888</v>
      </c>
      <c r="K531" s="2" t="s">
        <v>3893</v>
      </c>
      <c r="L531" s="2">
        <v>2024</v>
      </c>
      <c r="M531" s="2">
        <v>-608023</v>
      </c>
      <c r="N531" s="2">
        <f xml:space="preserve"> (Table1[[#This Row],[Variance (USD)]] / Table1[[#This Row],[Actual Spending (USD)]]) * 100</f>
        <v>-81.610539172919218</v>
      </c>
      <c r="O531" s="5" t="s">
        <v>3897</v>
      </c>
    </row>
    <row r="532" spans="1:15" x14ac:dyDescent="0.25">
      <c r="A532" s="4" t="s">
        <v>545</v>
      </c>
      <c r="B532" s="2" t="s">
        <v>3394</v>
      </c>
      <c r="C532" s="2" t="s">
        <v>3871</v>
      </c>
      <c r="D532" s="2" t="s">
        <v>3882</v>
      </c>
      <c r="E532" s="3">
        <v>45512</v>
      </c>
      <c r="F532" s="3">
        <v>45414</v>
      </c>
      <c r="G532" s="2" t="s">
        <v>3884</v>
      </c>
      <c r="H532" s="2">
        <v>731266</v>
      </c>
      <c r="I532" s="2">
        <v>125856</v>
      </c>
      <c r="J532" s="2" t="s">
        <v>3892</v>
      </c>
      <c r="K532" s="2" t="s">
        <v>3895</v>
      </c>
      <c r="L532" s="2">
        <v>2025</v>
      </c>
      <c r="M532" s="2">
        <v>605410</v>
      </c>
      <c r="N532" s="2">
        <f xml:space="preserve"> (Table1[[#This Row],[Variance (USD)]] / Table1[[#This Row],[Actual Spending (USD)]]) * 100</f>
        <v>481.03387998982964</v>
      </c>
      <c r="O532" s="5" t="s">
        <v>3897</v>
      </c>
    </row>
    <row r="533" spans="1:15" x14ac:dyDescent="0.25">
      <c r="A533" s="4" t="s">
        <v>546</v>
      </c>
      <c r="B533" s="2" t="s">
        <v>3395</v>
      </c>
      <c r="C533" s="2" t="s">
        <v>3868</v>
      </c>
      <c r="D533" s="2" t="s">
        <v>3880</v>
      </c>
      <c r="E533" s="3">
        <v>45036</v>
      </c>
      <c r="F533" s="3">
        <v>45640</v>
      </c>
      <c r="G533" s="2" t="s">
        <v>3884</v>
      </c>
      <c r="H533" s="2">
        <v>792003</v>
      </c>
      <c r="I533" s="2">
        <v>454477</v>
      </c>
      <c r="J533" s="2" t="s">
        <v>3889</v>
      </c>
      <c r="K533" s="2" t="s">
        <v>3896</v>
      </c>
      <c r="L533" s="2">
        <v>2023</v>
      </c>
      <c r="M533" s="2">
        <v>337526</v>
      </c>
      <c r="N533" s="2">
        <f xml:space="preserve"> (Table1[[#This Row],[Variance (USD)]] / Table1[[#This Row],[Actual Spending (USD)]]) * 100</f>
        <v>74.266904595832131</v>
      </c>
      <c r="O533" s="5" t="s">
        <v>3897</v>
      </c>
    </row>
    <row r="534" spans="1:15" x14ac:dyDescent="0.25">
      <c r="A534" s="4" t="s">
        <v>547</v>
      </c>
      <c r="B534" s="2" t="s">
        <v>3366</v>
      </c>
      <c r="C534" s="2" t="s">
        <v>3870</v>
      </c>
      <c r="D534" s="2" t="s">
        <v>3880</v>
      </c>
      <c r="E534" s="3">
        <v>45106</v>
      </c>
      <c r="F534" s="3">
        <v>45999</v>
      </c>
      <c r="G534" s="2" t="s">
        <v>3884</v>
      </c>
      <c r="H534" s="2">
        <v>97728</v>
      </c>
      <c r="I534" s="2">
        <v>822539</v>
      </c>
      <c r="J534" s="2" t="s">
        <v>3890</v>
      </c>
      <c r="K534" s="2" t="s">
        <v>3893</v>
      </c>
      <c r="L534" s="2">
        <v>2024</v>
      </c>
      <c r="M534" s="2">
        <v>-724811</v>
      </c>
      <c r="N534" s="2">
        <f xml:space="preserve"> (Table1[[#This Row],[Variance (USD)]] / Table1[[#This Row],[Actual Spending (USD)]]) * 100</f>
        <v>-88.118739658545067</v>
      </c>
      <c r="O534" s="5" t="s">
        <v>3897</v>
      </c>
    </row>
    <row r="535" spans="1:15" x14ac:dyDescent="0.25">
      <c r="A535" s="4" t="s">
        <v>548</v>
      </c>
      <c r="B535" s="2" t="s">
        <v>3396</v>
      </c>
      <c r="C535" s="2" t="s">
        <v>3871</v>
      </c>
      <c r="D535" s="2" t="s">
        <v>3877</v>
      </c>
      <c r="E535" s="3">
        <v>45470</v>
      </c>
      <c r="F535" s="3">
        <v>45621</v>
      </c>
      <c r="G535" s="2" t="s">
        <v>3887</v>
      </c>
      <c r="H535" s="2">
        <v>851310</v>
      </c>
      <c r="I535" s="2">
        <v>252368</v>
      </c>
      <c r="J535" s="2" t="s">
        <v>3888</v>
      </c>
      <c r="K535" s="2" t="s">
        <v>3894</v>
      </c>
      <c r="L535" s="2">
        <v>2024</v>
      </c>
      <c r="M535" s="2">
        <v>598942</v>
      </c>
      <c r="N535" s="2">
        <f xml:space="preserve"> (Table1[[#This Row],[Variance (USD)]] / Table1[[#This Row],[Actual Spending (USD)]]) * 100</f>
        <v>237.32882140366451</v>
      </c>
      <c r="O535" s="5" t="s">
        <v>3900</v>
      </c>
    </row>
    <row r="536" spans="1:15" x14ac:dyDescent="0.25">
      <c r="A536" s="4" t="s">
        <v>549</v>
      </c>
      <c r="B536" s="2" t="s">
        <v>3273</v>
      </c>
      <c r="C536" s="2" t="s">
        <v>3874</v>
      </c>
      <c r="D536" s="2" t="s">
        <v>3881</v>
      </c>
      <c r="E536" s="3">
        <v>44951</v>
      </c>
      <c r="F536" s="3">
        <v>45700</v>
      </c>
      <c r="G536" s="2" t="s">
        <v>3886</v>
      </c>
      <c r="H536" s="2">
        <v>559958</v>
      </c>
      <c r="I536" s="2">
        <v>851993</v>
      </c>
      <c r="J536" s="2" t="s">
        <v>3888</v>
      </c>
      <c r="K536" s="2" t="s">
        <v>3895</v>
      </c>
      <c r="L536" s="2">
        <v>2025</v>
      </c>
      <c r="M536" s="2">
        <v>-292035</v>
      </c>
      <c r="N536" s="2">
        <f xml:space="preserve"> (Table1[[#This Row],[Variance (USD)]] / Table1[[#This Row],[Actual Spending (USD)]]) * 100</f>
        <v>-34.276690066702429</v>
      </c>
      <c r="O536" s="5" t="s">
        <v>3899</v>
      </c>
    </row>
    <row r="537" spans="1:15" x14ac:dyDescent="0.25">
      <c r="A537" s="4" t="s">
        <v>550</v>
      </c>
      <c r="B537" s="2" t="s">
        <v>3397</v>
      </c>
      <c r="C537" s="2" t="s">
        <v>3868</v>
      </c>
      <c r="D537" s="2" t="s">
        <v>3882</v>
      </c>
      <c r="E537" s="3">
        <v>44983</v>
      </c>
      <c r="F537" s="3">
        <v>45614</v>
      </c>
      <c r="G537" s="2" t="s">
        <v>3884</v>
      </c>
      <c r="H537" s="2">
        <v>965357</v>
      </c>
      <c r="I537" s="2">
        <v>237746</v>
      </c>
      <c r="J537" s="2" t="s">
        <v>3888</v>
      </c>
      <c r="K537" s="2" t="s">
        <v>3893</v>
      </c>
      <c r="L537" s="2">
        <v>2024</v>
      </c>
      <c r="M537" s="2">
        <v>727611</v>
      </c>
      <c r="N537" s="2">
        <f xml:space="preserve"> (Table1[[#This Row],[Variance (USD)]] / Table1[[#This Row],[Actual Spending (USD)]]) * 100</f>
        <v>306.04552757985414</v>
      </c>
      <c r="O537" s="5" t="s">
        <v>3897</v>
      </c>
    </row>
    <row r="538" spans="1:15" x14ac:dyDescent="0.25">
      <c r="A538" s="4" t="s">
        <v>551</v>
      </c>
      <c r="B538" s="2" t="s">
        <v>3398</v>
      </c>
      <c r="C538" s="2" t="s">
        <v>3871</v>
      </c>
      <c r="D538" s="2" t="s">
        <v>3883</v>
      </c>
      <c r="E538" s="3">
        <v>45106</v>
      </c>
      <c r="F538" s="3">
        <v>45402</v>
      </c>
      <c r="G538" s="2" t="s">
        <v>3884</v>
      </c>
      <c r="H538" s="2">
        <v>59145</v>
      </c>
      <c r="I538" s="2">
        <v>810985</v>
      </c>
      <c r="J538" s="2" t="s">
        <v>3892</v>
      </c>
      <c r="K538" s="2" t="s">
        <v>3894</v>
      </c>
      <c r="L538" s="2">
        <v>2023</v>
      </c>
      <c r="M538" s="2">
        <v>-751840</v>
      </c>
      <c r="N538" s="2">
        <f xml:space="preserve"> (Table1[[#This Row],[Variance (USD)]] / Table1[[#This Row],[Actual Spending (USD)]]) * 100</f>
        <v>-92.70701677589598</v>
      </c>
      <c r="O538" s="5" t="s">
        <v>3897</v>
      </c>
    </row>
    <row r="539" spans="1:15" x14ac:dyDescent="0.25">
      <c r="A539" s="4" t="s">
        <v>552</v>
      </c>
      <c r="B539" s="2" t="s">
        <v>3399</v>
      </c>
      <c r="C539" s="2" t="s">
        <v>3869</v>
      </c>
      <c r="D539" s="2" t="s">
        <v>3877</v>
      </c>
      <c r="E539" s="3">
        <v>45158</v>
      </c>
      <c r="F539" s="3">
        <v>45380</v>
      </c>
      <c r="G539" s="2" t="s">
        <v>3884</v>
      </c>
      <c r="H539" s="2">
        <v>662866</v>
      </c>
      <c r="I539" s="2">
        <v>768360</v>
      </c>
      <c r="J539" s="2" t="s">
        <v>3889</v>
      </c>
      <c r="K539" s="2" t="s">
        <v>3894</v>
      </c>
      <c r="L539" s="2">
        <v>2024</v>
      </c>
      <c r="M539" s="2">
        <v>-105494</v>
      </c>
      <c r="N539" s="2">
        <f xml:space="preserve"> (Table1[[#This Row],[Variance (USD)]] / Table1[[#This Row],[Actual Spending (USD)]]) * 100</f>
        <v>-13.729762090686656</v>
      </c>
      <c r="O539" s="5" t="s">
        <v>3897</v>
      </c>
    </row>
    <row r="540" spans="1:15" x14ac:dyDescent="0.25">
      <c r="A540" s="4" t="s">
        <v>553</v>
      </c>
      <c r="B540" s="2" t="s">
        <v>3400</v>
      </c>
      <c r="C540" s="2" t="s">
        <v>3872</v>
      </c>
      <c r="D540" s="2" t="s">
        <v>3881</v>
      </c>
      <c r="E540" s="3">
        <v>45269</v>
      </c>
      <c r="F540" s="3">
        <v>45724</v>
      </c>
      <c r="G540" s="2" t="s">
        <v>3886</v>
      </c>
      <c r="H540" s="2">
        <v>68226</v>
      </c>
      <c r="I540" s="2">
        <v>678431</v>
      </c>
      <c r="J540" s="2" t="s">
        <v>3890</v>
      </c>
      <c r="K540" s="2" t="s">
        <v>3894</v>
      </c>
      <c r="L540" s="2">
        <v>2023</v>
      </c>
      <c r="M540" s="2">
        <v>-610205</v>
      </c>
      <c r="N540" s="2">
        <f xml:space="preserve"> (Table1[[#This Row],[Variance (USD)]] / Table1[[#This Row],[Actual Spending (USD)]]) * 100</f>
        <v>-89.943560951666427</v>
      </c>
      <c r="O540" s="5" t="s">
        <v>3899</v>
      </c>
    </row>
    <row r="541" spans="1:15" x14ac:dyDescent="0.25">
      <c r="A541" s="4" t="s">
        <v>554</v>
      </c>
      <c r="B541" s="2" t="s">
        <v>3097</v>
      </c>
      <c r="C541" s="2" t="s">
        <v>3874</v>
      </c>
      <c r="D541" s="2" t="s">
        <v>3882</v>
      </c>
      <c r="E541" s="3">
        <v>45403</v>
      </c>
      <c r="F541" s="3">
        <v>46001</v>
      </c>
      <c r="G541" s="2" t="s">
        <v>3884</v>
      </c>
      <c r="H541" s="2">
        <v>314946</v>
      </c>
      <c r="I541" s="2">
        <v>835064</v>
      </c>
      <c r="J541" s="2" t="s">
        <v>3889</v>
      </c>
      <c r="K541" s="2" t="s">
        <v>3894</v>
      </c>
      <c r="L541" s="2">
        <v>2024</v>
      </c>
      <c r="M541" s="2">
        <v>-520118</v>
      </c>
      <c r="N541" s="2">
        <f xml:space="preserve"> (Table1[[#This Row],[Variance (USD)]] / Table1[[#This Row],[Actual Spending (USD)]]) * 100</f>
        <v>-62.284806913003074</v>
      </c>
      <c r="O541" s="5" t="s">
        <v>3897</v>
      </c>
    </row>
    <row r="542" spans="1:15" x14ac:dyDescent="0.25">
      <c r="A542" s="4" t="s">
        <v>555</v>
      </c>
      <c r="B542" s="2" t="s">
        <v>3322</v>
      </c>
      <c r="C542" s="2" t="s">
        <v>3871</v>
      </c>
      <c r="D542" s="2" t="s">
        <v>3882</v>
      </c>
      <c r="E542" s="3">
        <v>45502</v>
      </c>
      <c r="F542" s="3">
        <v>46003</v>
      </c>
      <c r="G542" s="2" t="s">
        <v>3884</v>
      </c>
      <c r="H542" s="2">
        <v>598407</v>
      </c>
      <c r="I542" s="2">
        <v>1126123</v>
      </c>
      <c r="J542" s="2" t="s">
        <v>3888</v>
      </c>
      <c r="K542" s="2" t="s">
        <v>3895</v>
      </c>
      <c r="L542" s="2">
        <v>2023</v>
      </c>
      <c r="M542" s="2">
        <v>-527716</v>
      </c>
      <c r="N542" s="2">
        <f xml:space="preserve"> (Table1[[#This Row],[Variance (USD)]] / Table1[[#This Row],[Actual Spending (USD)]]) * 100</f>
        <v>-46.861310886999021</v>
      </c>
      <c r="O542" s="5" t="s">
        <v>3897</v>
      </c>
    </row>
    <row r="543" spans="1:15" x14ac:dyDescent="0.25">
      <c r="A543" s="4" t="s">
        <v>556</v>
      </c>
      <c r="B543" s="2" t="s">
        <v>3293</v>
      </c>
      <c r="C543" s="2" t="s">
        <v>3873</v>
      </c>
      <c r="D543" s="2" t="s">
        <v>3877</v>
      </c>
      <c r="E543" s="3">
        <v>45381</v>
      </c>
      <c r="F543" s="3">
        <v>45390</v>
      </c>
      <c r="G543" s="2" t="s">
        <v>3885</v>
      </c>
      <c r="H543" s="2">
        <v>113560</v>
      </c>
      <c r="I543" s="2">
        <v>304244</v>
      </c>
      <c r="J543" s="2" t="s">
        <v>3889</v>
      </c>
      <c r="K543" s="2" t="s">
        <v>3893</v>
      </c>
      <c r="L543" s="2">
        <v>2023</v>
      </c>
      <c r="M543" s="2">
        <v>-190684</v>
      </c>
      <c r="N543" s="2">
        <f xml:space="preserve"> (Table1[[#This Row],[Variance (USD)]] / Table1[[#This Row],[Actual Spending (USD)]]) * 100</f>
        <v>-62.674695310343012</v>
      </c>
      <c r="O543" s="5" t="s">
        <v>3898</v>
      </c>
    </row>
    <row r="544" spans="1:15" x14ac:dyDescent="0.25">
      <c r="A544" s="4" t="s">
        <v>557</v>
      </c>
      <c r="B544" s="2" t="s">
        <v>3401</v>
      </c>
      <c r="C544" s="2" t="s">
        <v>3872</v>
      </c>
      <c r="D544" s="2" t="s">
        <v>3883</v>
      </c>
      <c r="E544" s="3">
        <v>45158</v>
      </c>
      <c r="F544" s="3">
        <v>45830</v>
      </c>
      <c r="G544" s="2" t="s">
        <v>3884</v>
      </c>
      <c r="H544" s="2">
        <v>107353</v>
      </c>
      <c r="I544" s="2">
        <v>237977</v>
      </c>
      <c r="J544" s="2" t="s">
        <v>3892</v>
      </c>
      <c r="K544" s="2" t="s">
        <v>3894</v>
      </c>
      <c r="L544" s="2">
        <v>2024</v>
      </c>
      <c r="M544" s="2">
        <v>-130624</v>
      </c>
      <c r="N544" s="2">
        <f xml:space="preserve"> (Table1[[#This Row],[Variance (USD)]] / Table1[[#This Row],[Actual Spending (USD)]]) * 100</f>
        <v>-54.889338045273284</v>
      </c>
      <c r="O544" s="5" t="s">
        <v>3897</v>
      </c>
    </row>
    <row r="545" spans="1:15" x14ac:dyDescent="0.25">
      <c r="A545" s="4" t="s">
        <v>558</v>
      </c>
      <c r="B545" s="2" t="s">
        <v>3298</v>
      </c>
      <c r="C545" s="2" t="s">
        <v>3872</v>
      </c>
      <c r="D545" s="2" t="s">
        <v>3881</v>
      </c>
      <c r="E545" s="3">
        <v>45215</v>
      </c>
      <c r="F545" s="3">
        <v>45892</v>
      </c>
      <c r="G545" s="2" t="s">
        <v>3884</v>
      </c>
      <c r="H545" s="2">
        <v>295741</v>
      </c>
      <c r="I545" s="2">
        <v>499092</v>
      </c>
      <c r="J545" s="2" t="s">
        <v>3891</v>
      </c>
      <c r="K545" s="2" t="s">
        <v>3893</v>
      </c>
      <c r="L545" s="2">
        <v>2023</v>
      </c>
      <c r="M545" s="2">
        <v>-203351</v>
      </c>
      <c r="N545" s="2">
        <f xml:space="preserve"> (Table1[[#This Row],[Variance (USD)]] / Table1[[#This Row],[Actual Spending (USD)]]) * 100</f>
        <v>-40.744191451676244</v>
      </c>
      <c r="O545" s="5" t="s">
        <v>3897</v>
      </c>
    </row>
    <row r="546" spans="1:15" x14ac:dyDescent="0.25">
      <c r="A546" s="4" t="s">
        <v>559</v>
      </c>
      <c r="B546" s="2" t="s">
        <v>3402</v>
      </c>
      <c r="C546" s="2" t="s">
        <v>3871</v>
      </c>
      <c r="D546" s="2" t="s">
        <v>3882</v>
      </c>
      <c r="E546" s="3">
        <v>45139</v>
      </c>
      <c r="F546" s="3">
        <v>45437</v>
      </c>
      <c r="G546" s="2" t="s">
        <v>3885</v>
      </c>
      <c r="H546" s="2">
        <v>798081</v>
      </c>
      <c r="I546" s="2">
        <v>108944</v>
      </c>
      <c r="J546" s="2" t="s">
        <v>3891</v>
      </c>
      <c r="K546" s="2" t="s">
        <v>3893</v>
      </c>
      <c r="L546" s="2">
        <v>2024</v>
      </c>
      <c r="M546" s="2">
        <v>689137</v>
      </c>
      <c r="N546" s="2">
        <f xml:space="preserve"> (Table1[[#This Row],[Variance (USD)]] / Table1[[#This Row],[Actual Spending (USD)]]) * 100</f>
        <v>632.56076516375379</v>
      </c>
      <c r="O546" s="5" t="s">
        <v>3898</v>
      </c>
    </row>
    <row r="547" spans="1:15" x14ac:dyDescent="0.25">
      <c r="A547" s="4" t="s">
        <v>560</v>
      </c>
      <c r="B547" s="2" t="s">
        <v>3403</v>
      </c>
      <c r="C547" s="2" t="s">
        <v>3870</v>
      </c>
      <c r="D547" s="2" t="s">
        <v>3882</v>
      </c>
      <c r="E547" s="3">
        <v>45184</v>
      </c>
      <c r="F547" s="3">
        <v>45985</v>
      </c>
      <c r="G547" s="2" t="s">
        <v>3886</v>
      </c>
      <c r="H547" s="2">
        <v>435145</v>
      </c>
      <c r="I547" s="2">
        <v>474056</v>
      </c>
      <c r="J547" s="2" t="s">
        <v>3890</v>
      </c>
      <c r="K547" s="2" t="s">
        <v>3896</v>
      </c>
      <c r="L547" s="2">
        <v>2024</v>
      </c>
      <c r="M547" s="2">
        <v>-38911</v>
      </c>
      <c r="N547" s="2">
        <f xml:space="preserve"> (Table1[[#This Row],[Variance (USD)]] / Table1[[#This Row],[Actual Spending (USD)]]) * 100</f>
        <v>-8.2081019963886135</v>
      </c>
      <c r="O547" s="5" t="s">
        <v>3899</v>
      </c>
    </row>
    <row r="548" spans="1:15" x14ac:dyDescent="0.25">
      <c r="A548" s="4" t="s">
        <v>561</v>
      </c>
      <c r="B548" s="2" t="s">
        <v>3404</v>
      </c>
      <c r="C548" s="2" t="s">
        <v>3875</v>
      </c>
      <c r="D548" s="2" t="s">
        <v>3881</v>
      </c>
      <c r="E548" s="3">
        <v>45456</v>
      </c>
      <c r="F548" s="3">
        <v>45548</v>
      </c>
      <c r="G548" s="2" t="s">
        <v>3884</v>
      </c>
      <c r="H548" s="2">
        <v>505342</v>
      </c>
      <c r="I548" s="2">
        <v>645929</v>
      </c>
      <c r="J548" s="2" t="s">
        <v>3890</v>
      </c>
      <c r="K548" s="2" t="s">
        <v>3893</v>
      </c>
      <c r="L548" s="2">
        <v>2024</v>
      </c>
      <c r="M548" s="2">
        <v>-140587</v>
      </c>
      <c r="N548" s="2">
        <f xml:space="preserve"> (Table1[[#This Row],[Variance (USD)]] / Table1[[#This Row],[Actual Spending (USD)]]) * 100</f>
        <v>-21.765085636347028</v>
      </c>
      <c r="O548" s="5" t="s">
        <v>3897</v>
      </c>
    </row>
    <row r="549" spans="1:15" x14ac:dyDescent="0.25">
      <c r="A549" s="4" t="s">
        <v>562</v>
      </c>
      <c r="B549" s="2" t="s">
        <v>3405</v>
      </c>
      <c r="C549" s="2" t="s">
        <v>3870</v>
      </c>
      <c r="D549" s="2" t="s">
        <v>3879</v>
      </c>
      <c r="E549" s="3">
        <v>45613</v>
      </c>
      <c r="F549" s="3">
        <v>45480</v>
      </c>
      <c r="G549" s="2" t="s">
        <v>3886</v>
      </c>
      <c r="H549" s="2">
        <v>645929</v>
      </c>
      <c r="I549" s="2">
        <v>948965</v>
      </c>
      <c r="J549" s="2" t="s">
        <v>3889</v>
      </c>
      <c r="K549" s="2" t="s">
        <v>3895</v>
      </c>
      <c r="L549" s="2">
        <v>2023</v>
      </c>
      <c r="M549" s="2">
        <v>-303036</v>
      </c>
      <c r="N549" s="2">
        <f xml:space="preserve"> (Table1[[#This Row],[Variance (USD)]] / Table1[[#This Row],[Actual Spending (USD)]]) * 100</f>
        <v>-31.933316824118908</v>
      </c>
      <c r="O549" s="5" t="s">
        <v>3899</v>
      </c>
    </row>
    <row r="550" spans="1:15" x14ac:dyDescent="0.25">
      <c r="A550" s="4" t="s">
        <v>563</v>
      </c>
      <c r="B550" s="2" t="s">
        <v>3080</v>
      </c>
      <c r="C550" s="2" t="s">
        <v>3871</v>
      </c>
      <c r="D550" s="2" t="s">
        <v>3877</v>
      </c>
      <c r="E550" s="3">
        <v>45155</v>
      </c>
      <c r="F550" s="3">
        <v>45531</v>
      </c>
      <c r="G550" s="2" t="s">
        <v>3884</v>
      </c>
      <c r="H550" s="2">
        <v>101712</v>
      </c>
      <c r="I550" s="2">
        <v>521592</v>
      </c>
      <c r="J550" s="2" t="s">
        <v>3890</v>
      </c>
      <c r="K550" s="2" t="s">
        <v>3895</v>
      </c>
      <c r="L550" s="2">
        <v>2024</v>
      </c>
      <c r="M550" s="2">
        <v>-419880</v>
      </c>
      <c r="N550" s="2">
        <f xml:space="preserve"> (Table1[[#This Row],[Variance (USD)]] / Table1[[#This Row],[Actual Spending (USD)]]) * 100</f>
        <v>-80.49970091565821</v>
      </c>
      <c r="O550" s="5" t="s">
        <v>3897</v>
      </c>
    </row>
    <row r="551" spans="1:15" x14ac:dyDescent="0.25">
      <c r="A551" s="4" t="s">
        <v>564</v>
      </c>
      <c r="B551" s="2" t="s">
        <v>3406</v>
      </c>
      <c r="C551" s="2" t="s">
        <v>3872</v>
      </c>
      <c r="D551" s="2" t="s">
        <v>3877</v>
      </c>
      <c r="E551" s="3">
        <v>45152</v>
      </c>
      <c r="F551" s="3">
        <v>45794</v>
      </c>
      <c r="G551" s="2" t="s">
        <v>3886</v>
      </c>
      <c r="H551" s="2">
        <v>495405</v>
      </c>
      <c r="I551" s="2">
        <v>1074733</v>
      </c>
      <c r="J551" s="2" t="s">
        <v>3892</v>
      </c>
      <c r="K551" s="2" t="s">
        <v>3894</v>
      </c>
      <c r="L551" s="2">
        <v>2025</v>
      </c>
      <c r="M551" s="2">
        <v>-579328</v>
      </c>
      <c r="N551" s="2">
        <f xml:space="preserve"> (Table1[[#This Row],[Variance (USD)]] / Table1[[#This Row],[Actual Spending (USD)]]) * 100</f>
        <v>-53.904365084165093</v>
      </c>
      <c r="O551" s="5" t="s">
        <v>3899</v>
      </c>
    </row>
    <row r="552" spans="1:15" x14ac:dyDescent="0.25">
      <c r="A552" s="4" t="s">
        <v>565</v>
      </c>
      <c r="B552" s="2" t="s">
        <v>3407</v>
      </c>
      <c r="C552" s="2" t="s">
        <v>3874</v>
      </c>
      <c r="D552" s="2" t="s">
        <v>3876</v>
      </c>
      <c r="E552" s="3">
        <v>45522</v>
      </c>
      <c r="F552" s="3">
        <v>45999</v>
      </c>
      <c r="G552" s="2" t="s">
        <v>3884</v>
      </c>
      <c r="H552" s="2">
        <v>704373</v>
      </c>
      <c r="I552" s="2">
        <v>1032220</v>
      </c>
      <c r="J552" s="2" t="s">
        <v>3888</v>
      </c>
      <c r="K552" s="2" t="s">
        <v>3893</v>
      </c>
      <c r="L552" s="2">
        <v>2023</v>
      </c>
      <c r="M552" s="2">
        <v>-327847</v>
      </c>
      <c r="N552" s="2">
        <f xml:space="preserve"> (Table1[[#This Row],[Variance (USD)]] / Table1[[#This Row],[Actual Spending (USD)]]) * 100</f>
        <v>-31.761349324756349</v>
      </c>
      <c r="O552" s="5" t="s">
        <v>3897</v>
      </c>
    </row>
    <row r="553" spans="1:15" x14ac:dyDescent="0.25">
      <c r="A553" s="4" t="s">
        <v>566</v>
      </c>
      <c r="B553" s="2" t="s">
        <v>3408</v>
      </c>
      <c r="C553" s="2" t="s">
        <v>3873</v>
      </c>
      <c r="D553" s="2" t="s">
        <v>3883</v>
      </c>
      <c r="E553" s="3">
        <v>45361</v>
      </c>
      <c r="F553" s="3">
        <v>45968</v>
      </c>
      <c r="G553" s="2" t="s">
        <v>3885</v>
      </c>
      <c r="H553" s="2">
        <v>380429</v>
      </c>
      <c r="I553" s="2">
        <v>299861</v>
      </c>
      <c r="J553" s="2" t="s">
        <v>3888</v>
      </c>
      <c r="K553" s="2" t="s">
        <v>3895</v>
      </c>
      <c r="L553" s="2">
        <v>2025</v>
      </c>
      <c r="M553" s="2">
        <v>80568</v>
      </c>
      <c r="N553" s="2">
        <f xml:space="preserve"> (Table1[[#This Row],[Variance (USD)]] / Table1[[#This Row],[Actual Spending (USD)]]) * 100</f>
        <v>26.868449048058935</v>
      </c>
      <c r="O553" s="5" t="s">
        <v>3898</v>
      </c>
    </row>
    <row r="554" spans="1:15" x14ac:dyDescent="0.25">
      <c r="A554" s="4" t="s">
        <v>567</v>
      </c>
      <c r="B554" s="2" t="s">
        <v>3231</v>
      </c>
      <c r="C554" s="2" t="s">
        <v>3874</v>
      </c>
      <c r="D554" s="2" t="s">
        <v>3878</v>
      </c>
      <c r="E554" s="3">
        <v>45328</v>
      </c>
      <c r="F554" s="3">
        <v>45562</v>
      </c>
      <c r="G554" s="2" t="s">
        <v>3887</v>
      </c>
      <c r="H554" s="2">
        <v>165278</v>
      </c>
      <c r="I554" s="2">
        <v>618310</v>
      </c>
      <c r="J554" s="2" t="s">
        <v>3889</v>
      </c>
      <c r="K554" s="2" t="s">
        <v>3895</v>
      </c>
      <c r="L554" s="2">
        <v>2025</v>
      </c>
      <c r="M554" s="2">
        <v>-453032</v>
      </c>
      <c r="N554" s="2">
        <f xml:space="preserve"> (Table1[[#This Row],[Variance (USD)]] / Table1[[#This Row],[Actual Spending (USD)]]) * 100</f>
        <v>-73.269395610616044</v>
      </c>
      <c r="O554" s="5" t="s">
        <v>3900</v>
      </c>
    </row>
    <row r="555" spans="1:15" x14ac:dyDescent="0.25">
      <c r="A555" s="4" t="s">
        <v>568</v>
      </c>
      <c r="B555" s="2" t="s">
        <v>3409</v>
      </c>
      <c r="C555" s="2" t="s">
        <v>3874</v>
      </c>
      <c r="D555" s="2" t="s">
        <v>3879</v>
      </c>
      <c r="E555" s="3">
        <v>45548</v>
      </c>
      <c r="F555" s="3">
        <v>45811</v>
      </c>
      <c r="G555" s="2" t="s">
        <v>3885</v>
      </c>
      <c r="H555" s="2">
        <v>559272</v>
      </c>
      <c r="I555" s="2">
        <v>214740</v>
      </c>
      <c r="J555" s="2" t="s">
        <v>3888</v>
      </c>
      <c r="K555" s="2" t="s">
        <v>3895</v>
      </c>
      <c r="L555" s="2">
        <v>2025</v>
      </c>
      <c r="M555" s="2">
        <v>344532</v>
      </c>
      <c r="N555" s="2">
        <f xml:space="preserve"> (Table1[[#This Row],[Variance (USD)]] / Table1[[#This Row],[Actual Spending (USD)]]) * 100</f>
        <v>160.44146409611625</v>
      </c>
      <c r="O555" s="5" t="s">
        <v>3898</v>
      </c>
    </row>
    <row r="556" spans="1:15" x14ac:dyDescent="0.25">
      <c r="A556" s="4" t="s">
        <v>569</v>
      </c>
      <c r="B556" s="2" t="s">
        <v>3410</v>
      </c>
      <c r="C556" s="2" t="s">
        <v>3872</v>
      </c>
      <c r="D556" s="2" t="s">
        <v>3881</v>
      </c>
      <c r="E556" s="3">
        <v>45014</v>
      </c>
      <c r="F556" s="3">
        <v>45841</v>
      </c>
      <c r="G556" s="2" t="s">
        <v>3885</v>
      </c>
      <c r="H556" s="2">
        <v>748309</v>
      </c>
      <c r="I556" s="2">
        <v>1130221</v>
      </c>
      <c r="J556" s="2" t="s">
        <v>3889</v>
      </c>
      <c r="K556" s="2" t="s">
        <v>3894</v>
      </c>
      <c r="L556" s="2">
        <v>2025</v>
      </c>
      <c r="M556" s="2">
        <v>-381912</v>
      </c>
      <c r="N556" s="2">
        <f xml:space="preserve"> (Table1[[#This Row],[Variance (USD)]] / Table1[[#This Row],[Actual Spending (USD)]]) * 100</f>
        <v>-33.79091345851829</v>
      </c>
      <c r="O556" s="5" t="s">
        <v>3898</v>
      </c>
    </row>
    <row r="557" spans="1:15" x14ac:dyDescent="0.25">
      <c r="A557" s="4" t="s">
        <v>570</v>
      </c>
      <c r="B557" s="2" t="s">
        <v>3176</v>
      </c>
      <c r="C557" s="2" t="s">
        <v>3870</v>
      </c>
      <c r="D557" s="2" t="s">
        <v>3881</v>
      </c>
      <c r="E557" s="3">
        <v>45510</v>
      </c>
      <c r="F557" s="3">
        <v>45405</v>
      </c>
      <c r="G557" s="2" t="s">
        <v>3884</v>
      </c>
      <c r="H557" s="2">
        <v>215201</v>
      </c>
      <c r="I557" s="2">
        <v>845982</v>
      </c>
      <c r="J557" s="2" t="s">
        <v>3890</v>
      </c>
      <c r="K557" s="2" t="s">
        <v>3895</v>
      </c>
      <c r="L557" s="2">
        <v>2024</v>
      </c>
      <c r="M557" s="2">
        <v>-630781</v>
      </c>
      <c r="N557" s="2">
        <f xml:space="preserve"> (Table1[[#This Row],[Variance (USD)]] / Table1[[#This Row],[Actual Spending (USD)]]) * 100</f>
        <v>-74.561988316536286</v>
      </c>
      <c r="O557" s="5" t="s">
        <v>3897</v>
      </c>
    </row>
    <row r="558" spans="1:15" x14ac:dyDescent="0.25">
      <c r="A558" s="4" t="s">
        <v>571</v>
      </c>
      <c r="B558" s="2" t="s">
        <v>3276</v>
      </c>
      <c r="C558" s="2" t="s">
        <v>3873</v>
      </c>
      <c r="D558" s="2" t="s">
        <v>3881</v>
      </c>
      <c r="E558" s="3">
        <v>45468</v>
      </c>
      <c r="F558" s="3">
        <v>45630</v>
      </c>
      <c r="G558" s="2" t="s">
        <v>3884</v>
      </c>
      <c r="H558" s="2">
        <v>860944</v>
      </c>
      <c r="I558" s="2">
        <v>509367</v>
      </c>
      <c r="J558" s="2" t="s">
        <v>3890</v>
      </c>
      <c r="K558" s="2" t="s">
        <v>3893</v>
      </c>
      <c r="L558" s="2">
        <v>2025</v>
      </c>
      <c r="M558" s="2">
        <v>351577</v>
      </c>
      <c r="N558" s="2">
        <f xml:space="preserve"> (Table1[[#This Row],[Variance (USD)]] / Table1[[#This Row],[Actual Spending (USD)]]) * 100</f>
        <v>69.022335565515633</v>
      </c>
      <c r="O558" s="5" t="s">
        <v>3897</v>
      </c>
    </row>
    <row r="559" spans="1:15" x14ac:dyDescent="0.25">
      <c r="A559" s="4" t="s">
        <v>572</v>
      </c>
      <c r="B559" s="2" t="s">
        <v>3405</v>
      </c>
      <c r="C559" s="2" t="s">
        <v>3868</v>
      </c>
      <c r="D559" s="2" t="s">
        <v>3879</v>
      </c>
      <c r="E559" s="3">
        <v>45610</v>
      </c>
      <c r="F559" s="3">
        <v>45859</v>
      </c>
      <c r="G559" s="2" t="s">
        <v>3884</v>
      </c>
      <c r="H559" s="2">
        <v>676365</v>
      </c>
      <c r="I559" s="2">
        <v>951080</v>
      </c>
      <c r="J559" s="2" t="s">
        <v>3892</v>
      </c>
      <c r="K559" s="2" t="s">
        <v>3895</v>
      </c>
      <c r="L559" s="2">
        <v>2023</v>
      </c>
      <c r="M559" s="2">
        <v>-274715</v>
      </c>
      <c r="N559" s="2">
        <f xml:space="preserve"> (Table1[[#This Row],[Variance (USD)]] / Table1[[#This Row],[Actual Spending (USD)]]) * 100</f>
        <v>-28.884531269714429</v>
      </c>
      <c r="O559" s="5" t="s">
        <v>3897</v>
      </c>
    </row>
    <row r="560" spans="1:15" x14ac:dyDescent="0.25">
      <c r="A560" s="4" t="s">
        <v>573</v>
      </c>
      <c r="B560" s="2" t="s">
        <v>3411</v>
      </c>
      <c r="C560" s="2" t="s">
        <v>3869</v>
      </c>
      <c r="D560" s="2" t="s">
        <v>3882</v>
      </c>
      <c r="E560" s="3">
        <v>45235</v>
      </c>
      <c r="F560" s="3">
        <v>45650</v>
      </c>
      <c r="G560" s="2" t="s">
        <v>3886</v>
      </c>
      <c r="H560" s="2">
        <v>784391</v>
      </c>
      <c r="I560" s="2">
        <v>595156</v>
      </c>
      <c r="J560" s="2" t="s">
        <v>3888</v>
      </c>
      <c r="K560" s="2" t="s">
        <v>3895</v>
      </c>
      <c r="L560" s="2">
        <v>2025</v>
      </c>
      <c r="M560" s="2">
        <v>189235</v>
      </c>
      <c r="N560" s="2">
        <f xml:space="preserve"> (Table1[[#This Row],[Variance (USD)]] / Table1[[#This Row],[Actual Spending (USD)]]) * 100</f>
        <v>31.795865285740209</v>
      </c>
      <c r="O560" s="5" t="s">
        <v>3899</v>
      </c>
    </row>
    <row r="561" spans="1:15" x14ac:dyDescent="0.25">
      <c r="A561" s="4" t="s">
        <v>574</v>
      </c>
      <c r="B561" s="2" t="s">
        <v>3412</v>
      </c>
      <c r="C561" s="2" t="s">
        <v>3872</v>
      </c>
      <c r="D561" s="2" t="s">
        <v>3881</v>
      </c>
      <c r="E561" s="3">
        <v>45269</v>
      </c>
      <c r="F561" s="3">
        <v>45941</v>
      </c>
      <c r="G561" s="2" t="s">
        <v>3885</v>
      </c>
      <c r="H561" s="2">
        <v>506770</v>
      </c>
      <c r="I561" s="2">
        <v>1176615</v>
      </c>
      <c r="J561" s="2" t="s">
        <v>3892</v>
      </c>
      <c r="K561" s="2" t="s">
        <v>3894</v>
      </c>
      <c r="L561" s="2">
        <v>2025</v>
      </c>
      <c r="M561" s="2">
        <v>-669845</v>
      </c>
      <c r="N561" s="2">
        <f xml:space="preserve"> (Table1[[#This Row],[Variance (USD)]] / Table1[[#This Row],[Actual Spending (USD)]]) * 100</f>
        <v>-56.929836862525129</v>
      </c>
      <c r="O561" s="5" t="s">
        <v>3898</v>
      </c>
    </row>
    <row r="562" spans="1:15" x14ac:dyDescent="0.25">
      <c r="A562" s="4" t="s">
        <v>575</v>
      </c>
      <c r="B562" s="2" t="s">
        <v>3413</v>
      </c>
      <c r="C562" s="2" t="s">
        <v>3871</v>
      </c>
      <c r="D562" s="2" t="s">
        <v>3881</v>
      </c>
      <c r="E562" s="3">
        <v>45362</v>
      </c>
      <c r="F562" s="3">
        <v>45905</v>
      </c>
      <c r="G562" s="2" t="s">
        <v>3884</v>
      </c>
      <c r="H562" s="2">
        <v>314208</v>
      </c>
      <c r="I562" s="2">
        <v>208308</v>
      </c>
      <c r="J562" s="2" t="s">
        <v>3891</v>
      </c>
      <c r="K562" s="2" t="s">
        <v>3893</v>
      </c>
      <c r="L562" s="2">
        <v>2025</v>
      </c>
      <c r="M562" s="2">
        <v>105900</v>
      </c>
      <c r="N562" s="2">
        <f xml:space="preserve"> (Table1[[#This Row],[Variance (USD)]] / Table1[[#This Row],[Actual Spending (USD)]]) * 100</f>
        <v>50.838181922921834</v>
      </c>
      <c r="O562" s="5" t="s">
        <v>3897</v>
      </c>
    </row>
    <row r="563" spans="1:15" x14ac:dyDescent="0.25">
      <c r="A563" s="4" t="s">
        <v>576</v>
      </c>
      <c r="B563" s="2" t="s">
        <v>3414</v>
      </c>
      <c r="C563" s="2" t="s">
        <v>3868</v>
      </c>
      <c r="D563" s="2" t="s">
        <v>3883</v>
      </c>
      <c r="E563" s="3">
        <v>45103</v>
      </c>
      <c r="F563" s="3">
        <v>45625</v>
      </c>
      <c r="G563" s="2" t="s">
        <v>3885</v>
      </c>
      <c r="H563" s="2">
        <v>669902</v>
      </c>
      <c r="I563" s="2">
        <v>600093</v>
      </c>
      <c r="J563" s="2" t="s">
        <v>3892</v>
      </c>
      <c r="K563" s="2" t="s">
        <v>3895</v>
      </c>
      <c r="L563" s="2">
        <v>2024</v>
      </c>
      <c r="M563" s="2">
        <v>69809</v>
      </c>
      <c r="N563" s="2">
        <f xml:space="preserve"> (Table1[[#This Row],[Variance (USD)]] / Table1[[#This Row],[Actual Spending (USD)]]) * 100</f>
        <v>11.633030213650217</v>
      </c>
      <c r="O563" s="5" t="s">
        <v>3898</v>
      </c>
    </row>
    <row r="564" spans="1:15" x14ac:dyDescent="0.25">
      <c r="A564" s="4" t="s">
        <v>577</v>
      </c>
      <c r="B564" s="2" t="s">
        <v>3188</v>
      </c>
      <c r="C564" s="2" t="s">
        <v>3869</v>
      </c>
      <c r="D564" s="2" t="s">
        <v>3880</v>
      </c>
      <c r="E564" s="3">
        <v>45065</v>
      </c>
      <c r="F564" s="3">
        <v>45980</v>
      </c>
      <c r="G564" s="2" t="s">
        <v>3885</v>
      </c>
      <c r="H564" s="2">
        <v>232639</v>
      </c>
      <c r="I564" s="2">
        <v>1065790</v>
      </c>
      <c r="J564" s="2" t="s">
        <v>3889</v>
      </c>
      <c r="K564" s="2" t="s">
        <v>3893</v>
      </c>
      <c r="L564" s="2">
        <v>2025</v>
      </c>
      <c r="M564" s="2">
        <v>-833151</v>
      </c>
      <c r="N564" s="2">
        <f xml:space="preserve"> (Table1[[#This Row],[Variance (USD)]] / Table1[[#This Row],[Actual Spending (USD)]]) * 100</f>
        <v>-78.172153989059751</v>
      </c>
      <c r="O564" s="5" t="s">
        <v>3898</v>
      </c>
    </row>
    <row r="565" spans="1:15" x14ac:dyDescent="0.25">
      <c r="A565" s="4" t="s">
        <v>578</v>
      </c>
      <c r="B565" s="2" t="s">
        <v>3244</v>
      </c>
      <c r="C565" s="2" t="s">
        <v>3871</v>
      </c>
      <c r="D565" s="2" t="s">
        <v>3880</v>
      </c>
      <c r="E565" s="3">
        <v>45120</v>
      </c>
      <c r="F565" s="3">
        <v>45460</v>
      </c>
      <c r="G565" s="2" t="s">
        <v>3887</v>
      </c>
      <c r="H565" s="2">
        <v>167639</v>
      </c>
      <c r="I565" s="2">
        <v>1191341</v>
      </c>
      <c r="J565" s="2" t="s">
        <v>3889</v>
      </c>
      <c r="K565" s="2" t="s">
        <v>3893</v>
      </c>
      <c r="L565" s="2">
        <v>2025</v>
      </c>
      <c r="M565" s="2">
        <v>-1023702</v>
      </c>
      <c r="N565" s="2">
        <f xml:space="preserve"> (Table1[[#This Row],[Variance (USD)]] / Table1[[#This Row],[Actual Spending (USD)]]) * 100</f>
        <v>-85.928546066995096</v>
      </c>
      <c r="O565" s="5" t="s">
        <v>3900</v>
      </c>
    </row>
    <row r="566" spans="1:15" x14ac:dyDescent="0.25">
      <c r="A566" s="4" t="s">
        <v>579</v>
      </c>
      <c r="B566" s="2" t="s">
        <v>3415</v>
      </c>
      <c r="C566" s="2" t="s">
        <v>3874</v>
      </c>
      <c r="D566" s="2" t="s">
        <v>3876</v>
      </c>
      <c r="E566" s="3">
        <v>45112</v>
      </c>
      <c r="F566" s="3">
        <v>45630</v>
      </c>
      <c r="G566" s="2" t="s">
        <v>3885</v>
      </c>
      <c r="H566" s="2">
        <v>342155</v>
      </c>
      <c r="I566" s="2">
        <v>1107264</v>
      </c>
      <c r="J566" s="2" t="s">
        <v>3892</v>
      </c>
      <c r="K566" s="2" t="s">
        <v>3895</v>
      </c>
      <c r="L566" s="2">
        <v>2025</v>
      </c>
      <c r="M566" s="2">
        <v>-765109</v>
      </c>
      <c r="N566" s="2">
        <f xml:space="preserve"> (Table1[[#This Row],[Variance (USD)]] / Table1[[#This Row],[Actual Spending (USD)]]) * 100</f>
        <v>-69.099058580428874</v>
      </c>
      <c r="O566" s="5" t="s">
        <v>3898</v>
      </c>
    </row>
    <row r="567" spans="1:15" x14ac:dyDescent="0.25">
      <c r="A567" s="4" t="s">
        <v>580</v>
      </c>
      <c r="B567" s="2" t="s">
        <v>3416</v>
      </c>
      <c r="C567" s="2" t="s">
        <v>3875</v>
      </c>
      <c r="D567" s="2" t="s">
        <v>3876</v>
      </c>
      <c r="E567" s="3">
        <v>45144</v>
      </c>
      <c r="F567" s="3">
        <v>45552</v>
      </c>
      <c r="G567" s="2" t="s">
        <v>3884</v>
      </c>
      <c r="H567" s="2">
        <v>383296</v>
      </c>
      <c r="I567" s="2">
        <v>958567</v>
      </c>
      <c r="J567" s="2" t="s">
        <v>3890</v>
      </c>
      <c r="K567" s="2" t="s">
        <v>3894</v>
      </c>
      <c r="L567" s="2">
        <v>2023</v>
      </c>
      <c r="M567" s="2">
        <v>-575271</v>
      </c>
      <c r="N567" s="2">
        <f xml:space="preserve"> (Table1[[#This Row],[Variance (USD)]] / Table1[[#This Row],[Actual Spending (USD)]]) * 100</f>
        <v>-60.013645368555359</v>
      </c>
      <c r="O567" s="5" t="s">
        <v>3897</v>
      </c>
    </row>
    <row r="568" spans="1:15" x14ac:dyDescent="0.25">
      <c r="A568" s="4" t="s">
        <v>581</v>
      </c>
      <c r="B568" s="2" t="s">
        <v>3075</v>
      </c>
      <c r="C568" s="2" t="s">
        <v>3871</v>
      </c>
      <c r="D568" s="2" t="s">
        <v>3881</v>
      </c>
      <c r="E568" s="3">
        <v>45090</v>
      </c>
      <c r="F568" s="3">
        <v>45490</v>
      </c>
      <c r="G568" s="2" t="s">
        <v>3884</v>
      </c>
      <c r="H568" s="2">
        <v>778871</v>
      </c>
      <c r="I568" s="2">
        <v>479158</v>
      </c>
      <c r="J568" s="2" t="s">
        <v>3891</v>
      </c>
      <c r="K568" s="2" t="s">
        <v>3893</v>
      </c>
      <c r="L568" s="2">
        <v>2024</v>
      </c>
      <c r="M568" s="2">
        <v>299713</v>
      </c>
      <c r="N568" s="2">
        <f xml:space="preserve"> (Table1[[#This Row],[Variance (USD)]] / Table1[[#This Row],[Actual Spending (USD)]]) * 100</f>
        <v>62.549931337888545</v>
      </c>
      <c r="O568" s="5" t="s">
        <v>3897</v>
      </c>
    </row>
    <row r="569" spans="1:15" x14ac:dyDescent="0.25">
      <c r="A569" s="4" t="s">
        <v>582</v>
      </c>
      <c r="B569" s="2" t="s">
        <v>3417</v>
      </c>
      <c r="C569" s="2" t="s">
        <v>3873</v>
      </c>
      <c r="D569" s="2" t="s">
        <v>3883</v>
      </c>
      <c r="E569" s="3">
        <v>45087</v>
      </c>
      <c r="F569" s="3">
        <v>45502</v>
      </c>
      <c r="G569" s="2" t="s">
        <v>3884</v>
      </c>
      <c r="H569" s="2">
        <v>60960</v>
      </c>
      <c r="I569" s="2">
        <v>998057</v>
      </c>
      <c r="J569" s="2" t="s">
        <v>3892</v>
      </c>
      <c r="K569" s="2" t="s">
        <v>3896</v>
      </c>
      <c r="L569" s="2">
        <v>2024</v>
      </c>
      <c r="M569" s="2">
        <v>-937097</v>
      </c>
      <c r="N569" s="2">
        <f xml:space="preserve"> (Table1[[#This Row],[Variance (USD)]] / Table1[[#This Row],[Actual Spending (USD)]]) * 100</f>
        <v>-93.892132413279001</v>
      </c>
      <c r="O569" s="5" t="s">
        <v>3897</v>
      </c>
    </row>
    <row r="570" spans="1:15" x14ac:dyDescent="0.25">
      <c r="A570" s="4" t="s">
        <v>583</v>
      </c>
      <c r="B570" s="2" t="s">
        <v>3418</v>
      </c>
      <c r="C570" s="2" t="s">
        <v>3873</v>
      </c>
      <c r="D570" s="2" t="s">
        <v>3881</v>
      </c>
      <c r="E570" s="3">
        <v>45451</v>
      </c>
      <c r="F570" s="3">
        <v>45578</v>
      </c>
      <c r="G570" s="2" t="s">
        <v>3884</v>
      </c>
      <c r="H570" s="2">
        <v>536744</v>
      </c>
      <c r="I570" s="2">
        <v>587873</v>
      </c>
      <c r="J570" s="2" t="s">
        <v>3890</v>
      </c>
      <c r="K570" s="2" t="s">
        <v>3895</v>
      </c>
      <c r="L570" s="2">
        <v>2024</v>
      </c>
      <c r="M570" s="2">
        <v>-51129</v>
      </c>
      <c r="N570" s="2">
        <f xml:space="preserve"> (Table1[[#This Row],[Variance (USD)]] / Table1[[#This Row],[Actual Spending (USD)]]) * 100</f>
        <v>-8.6972866588531872</v>
      </c>
      <c r="O570" s="5" t="s">
        <v>3897</v>
      </c>
    </row>
    <row r="571" spans="1:15" x14ac:dyDescent="0.25">
      <c r="A571" s="4" t="s">
        <v>584</v>
      </c>
      <c r="B571" s="2" t="s">
        <v>3419</v>
      </c>
      <c r="C571" s="2" t="s">
        <v>3875</v>
      </c>
      <c r="D571" s="2" t="s">
        <v>3876</v>
      </c>
      <c r="E571" s="3">
        <v>45527</v>
      </c>
      <c r="F571" s="3">
        <v>45983</v>
      </c>
      <c r="G571" s="2" t="s">
        <v>3886</v>
      </c>
      <c r="H571" s="2">
        <v>171789</v>
      </c>
      <c r="I571" s="2">
        <v>1019243</v>
      </c>
      <c r="J571" s="2" t="s">
        <v>3892</v>
      </c>
      <c r="K571" s="2" t="s">
        <v>3893</v>
      </c>
      <c r="L571" s="2">
        <v>2023</v>
      </c>
      <c r="M571" s="2">
        <v>-847454</v>
      </c>
      <c r="N571" s="2">
        <f xml:space="preserve"> (Table1[[#This Row],[Variance (USD)]] / Table1[[#This Row],[Actual Spending (USD)]]) * 100</f>
        <v>-83.145432443489923</v>
      </c>
      <c r="O571" s="5" t="s">
        <v>3899</v>
      </c>
    </row>
    <row r="572" spans="1:15" x14ac:dyDescent="0.25">
      <c r="A572" s="4" t="s">
        <v>585</v>
      </c>
      <c r="B572" s="2" t="s">
        <v>3286</v>
      </c>
      <c r="C572" s="2" t="s">
        <v>3868</v>
      </c>
      <c r="D572" s="2" t="s">
        <v>3879</v>
      </c>
      <c r="E572" s="3">
        <v>44968</v>
      </c>
      <c r="F572" s="3">
        <v>45763</v>
      </c>
      <c r="G572" s="2" t="s">
        <v>3885</v>
      </c>
      <c r="H572" s="2">
        <v>371064</v>
      </c>
      <c r="I572" s="2">
        <v>744364</v>
      </c>
      <c r="J572" s="2" t="s">
        <v>3888</v>
      </c>
      <c r="K572" s="2" t="s">
        <v>3893</v>
      </c>
      <c r="L572" s="2">
        <v>2025</v>
      </c>
      <c r="M572" s="2">
        <v>-373300</v>
      </c>
      <c r="N572" s="2">
        <f xml:space="preserve"> (Table1[[#This Row],[Variance (USD)]] / Table1[[#This Row],[Actual Spending (USD)]]) * 100</f>
        <v>-50.150195334540626</v>
      </c>
      <c r="O572" s="5" t="s">
        <v>3898</v>
      </c>
    </row>
    <row r="573" spans="1:15" x14ac:dyDescent="0.25">
      <c r="A573" s="4" t="s">
        <v>586</v>
      </c>
      <c r="B573" s="2" t="s">
        <v>3420</v>
      </c>
      <c r="C573" s="2" t="s">
        <v>3869</v>
      </c>
      <c r="D573" s="2" t="s">
        <v>3879</v>
      </c>
      <c r="E573" s="3">
        <v>45136</v>
      </c>
      <c r="F573" s="3">
        <v>45773</v>
      </c>
      <c r="G573" s="2" t="s">
        <v>3885</v>
      </c>
      <c r="H573" s="2">
        <v>857819</v>
      </c>
      <c r="I573" s="2">
        <v>280483</v>
      </c>
      <c r="J573" s="2" t="s">
        <v>3889</v>
      </c>
      <c r="K573" s="2" t="s">
        <v>3893</v>
      </c>
      <c r="L573" s="2">
        <v>2023</v>
      </c>
      <c r="M573" s="2">
        <v>577336</v>
      </c>
      <c r="N573" s="2">
        <f xml:space="preserve"> (Table1[[#This Row],[Variance (USD)]] / Table1[[#This Row],[Actual Spending (USD)]]) * 100</f>
        <v>205.83636084896412</v>
      </c>
      <c r="O573" s="5" t="s">
        <v>3898</v>
      </c>
    </row>
    <row r="574" spans="1:15" x14ac:dyDescent="0.25">
      <c r="A574" s="4" t="s">
        <v>587</v>
      </c>
      <c r="B574" s="2" t="s">
        <v>3421</v>
      </c>
      <c r="C574" s="2" t="s">
        <v>3871</v>
      </c>
      <c r="D574" s="2" t="s">
        <v>3882</v>
      </c>
      <c r="E574" s="3">
        <v>45201</v>
      </c>
      <c r="F574" s="3">
        <v>45314</v>
      </c>
      <c r="G574" s="2" t="s">
        <v>3886</v>
      </c>
      <c r="H574" s="2">
        <v>458540</v>
      </c>
      <c r="I574" s="2">
        <v>32438</v>
      </c>
      <c r="J574" s="2" t="s">
        <v>3888</v>
      </c>
      <c r="K574" s="2" t="s">
        <v>3895</v>
      </c>
      <c r="L574" s="2">
        <v>2024</v>
      </c>
      <c r="M574" s="2">
        <v>426102</v>
      </c>
      <c r="N574" s="2">
        <f xml:space="preserve"> (Table1[[#This Row],[Variance (USD)]] / Table1[[#This Row],[Actual Spending (USD)]]) * 100</f>
        <v>1313.5890005549047</v>
      </c>
      <c r="O574" s="5" t="s">
        <v>3899</v>
      </c>
    </row>
    <row r="575" spans="1:15" x14ac:dyDescent="0.25">
      <c r="A575" s="4" t="s">
        <v>588</v>
      </c>
      <c r="B575" s="2" t="s">
        <v>3422</v>
      </c>
      <c r="C575" s="2" t="s">
        <v>3873</v>
      </c>
      <c r="D575" s="2" t="s">
        <v>3878</v>
      </c>
      <c r="E575" s="3">
        <v>45205</v>
      </c>
      <c r="F575" s="3">
        <v>45851</v>
      </c>
      <c r="G575" s="2" t="s">
        <v>3884</v>
      </c>
      <c r="H575" s="2">
        <v>638248</v>
      </c>
      <c r="I575" s="2">
        <v>385239</v>
      </c>
      <c r="J575" s="2" t="s">
        <v>3888</v>
      </c>
      <c r="K575" s="2" t="s">
        <v>3896</v>
      </c>
      <c r="L575" s="2">
        <v>2024</v>
      </c>
      <c r="M575" s="2">
        <v>253009</v>
      </c>
      <c r="N575" s="2">
        <f xml:space="preserve"> (Table1[[#This Row],[Variance (USD)]] / Table1[[#This Row],[Actual Spending (USD)]]) * 100</f>
        <v>65.675853171667455</v>
      </c>
      <c r="O575" s="5" t="s">
        <v>3897</v>
      </c>
    </row>
    <row r="576" spans="1:15" x14ac:dyDescent="0.25">
      <c r="A576" s="4" t="s">
        <v>589</v>
      </c>
      <c r="B576" s="2" t="s">
        <v>3423</v>
      </c>
      <c r="C576" s="2" t="s">
        <v>3868</v>
      </c>
      <c r="D576" s="2" t="s">
        <v>3880</v>
      </c>
      <c r="E576" s="3">
        <v>45177</v>
      </c>
      <c r="F576" s="3">
        <v>45400</v>
      </c>
      <c r="G576" s="2" t="s">
        <v>3884</v>
      </c>
      <c r="H576" s="2">
        <v>172994</v>
      </c>
      <c r="I576" s="2">
        <v>446428</v>
      </c>
      <c r="J576" s="2" t="s">
        <v>3891</v>
      </c>
      <c r="K576" s="2" t="s">
        <v>3893</v>
      </c>
      <c r="L576" s="2">
        <v>2024</v>
      </c>
      <c r="M576" s="2">
        <v>-273434</v>
      </c>
      <c r="N576" s="2">
        <f xml:space="preserve"> (Table1[[#This Row],[Variance (USD)]] / Table1[[#This Row],[Actual Spending (USD)]]) * 100</f>
        <v>-61.249294399096833</v>
      </c>
      <c r="O576" s="5" t="s">
        <v>3897</v>
      </c>
    </row>
    <row r="577" spans="1:15" x14ac:dyDescent="0.25">
      <c r="A577" s="4" t="s">
        <v>590</v>
      </c>
      <c r="B577" s="2" t="s">
        <v>3424</v>
      </c>
      <c r="C577" s="2" t="s">
        <v>3875</v>
      </c>
      <c r="D577" s="2" t="s">
        <v>3883</v>
      </c>
      <c r="E577" s="3">
        <v>45236</v>
      </c>
      <c r="F577" s="3">
        <v>45587</v>
      </c>
      <c r="G577" s="2" t="s">
        <v>3884</v>
      </c>
      <c r="H577" s="2">
        <v>344772</v>
      </c>
      <c r="I577" s="2">
        <v>495393</v>
      </c>
      <c r="J577" s="2" t="s">
        <v>3890</v>
      </c>
      <c r="K577" s="2" t="s">
        <v>3893</v>
      </c>
      <c r="L577" s="2">
        <v>2023</v>
      </c>
      <c r="M577" s="2">
        <v>-150621</v>
      </c>
      <c r="N577" s="2">
        <f xml:space="preserve"> (Table1[[#This Row],[Variance (USD)]] / Table1[[#This Row],[Actual Spending (USD)]]) * 100</f>
        <v>-30.40434564073372</v>
      </c>
      <c r="O577" s="5" t="s">
        <v>3897</v>
      </c>
    </row>
    <row r="578" spans="1:15" x14ac:dyDescent="0.25">
      <c r="A578" s="4" t="s">
        <v>591</v>
      </c>
      <c r="B578" s="2" t="s">
        <v>3425</v>
      </c>
      <c r="C578" s="2" t="s">
        <v>3870</v>
      </c>
      <c r="D578" s="2" t="s">
        <v>3877</v>
      </c>
      <c r="E578" s="3">
        <v>45646</v>
      </c>
      <c r="F578" s="3">
        <v>45297</v>
      </c>
      <c r="G578" s="2" t="s">
        <v>3884</v>
      </c>
      <c r="H578" s="2">
        <v>957701</v>
      </c>
      <c r="I578" s="2">
        <v>830458</v>
      </c>
      <c r="J578" s="2" t="s">
        <v>3889</v>
      </c>
      <c r="K578" s="2" t="s">
        <v>3894</v>
      </c>
      <c r="L578" s="2">
        <v>2024</v>
      </c>
      <c r="M578" s="2">
        <v>127243</v>
      </c>
      <c r="N578" s="2">
        <f xml:space="preserve"> (Table1[[#This Row],[Variance (USD)]] / Table1[[#This Row],[Actual Spending (USD)]]) * 100</f>
        <v>15.322027122383069</v>
      </c>
      <c r="O578" s="5" t="s">
        <v>3897</v>
      </c>
    </row>
    <row r="579" spans="1:15" x14ac:dyDescent="0.25">
      <c r="A579" s="4" t="s">
        <v>592</v>
      </c>
      <c r="B579" s="2" t="s">
        <v>3017</v>
      </c>
      <c r="C579" s="2" t="s">
        <v>3872</v>
      </c>
      <c r="D579" s="2" t="s">
        <v>3880</v>
      </c>
      <c r="E579" s="3">
        <v>45066</v>
      </c>
      <c r="F579" s="3">
        <v>45841</v>
      </c>
      <c r="G579" s="2" t="s">
        <v>3884</v>
      </c>
      <c r="H579" s="2">
        <v>780456</v>
      </c>
      <c r="I579" s="2">
        <v>1003248</v>
      </c>
      <c r="J579" s="2" t="s">
        <v>3888</v>
      </c>
      <c r="K579" s="2" t="s">
        <v>3895</v>
      </c>
      <c r="L579" s="2">
        <v>2025</v>
      </c>
      <c r="M579" s="2">
        <v>-222792</v>
      </c>
      <c r="N579" s="2">
        <f xml:space="preserve"> (Table1[[#This Row],[Variance (USD)]] / Table1[[#This Row],[Actual Spending (USD)]]) * 100</f>
        <v>-22.207071431988901</v>
      </c>
      <c r="O579" s="5" t="s">
        <v>3897</v>
      </c>
    </row>
    <row r="580" spans="1:15" x14ac:dyDescent="0.25">
      <c r="A580" s="4" t="s">
        <v>593</v>
      </c>
      <c r="B580" s="2" t="s">
        <v>3247</v>
      </c>
      <c r="C580" s="2" t="s">
        <v>3870</v>
      </c>
      <c r="D580" s="2" t="s">
        <v>3877</v>
      </c>
      <c r="E580" s="3">
        <v>45472</v>
      </c>
      <c r="F580" s="3">
        <v>45972</v>
      </c>
      <c r="G580" s="2" t="s">
        <v>3884</v>
      </c>
      <c r="H580" s="2">
        <v>883884</v>
      </c>
      <c r="I580" s="2">
        <v>873445</v>
      </c>
      <c r="J580" s="2" t="s">
        <v>3889</v>
      </c>
      <c r="K580" s="2" t="s">
        <v>3895</v>
      </c>
      <c r="L580" s="2">
        <v>2023</v>
      </c>
      <c r="M580" s="2">
        <v>10439</v>
      </c>
      <c r="N580" s="2">
        <f xml:space="preserve"> (Table1[[#This Row],[Variance (USD)]] / Table1[[#This Row],[Actual Spending (USD)]]) * 100</f>
        <v>1.1951525282072712</v>
      </c>
      <c r="O580" s="5" t="s">
        <v>3897</v>
      </c>
    </row>
    <row r="581" spans="1:15" x14ac:dyDescent="0.25">
      <c r="A581" s="4" t="s">
        <v>594</v>
      </c>
      <c r="B581" s="2" t="s">
        <v>3426</v>
      </c>
      <c r="C581" s="2" t="s">
        <v>3870</v>
      </c>
      <c r="D581" s="2" t="s">
        <v>3878</v>
      </c>
      <c r="E581" s="3">
        <v>45456</v>
      </c>
      <c r="F581" s="3">
        <v>45494</v>
      </c>
      <c r="G581" s="2" t="s">
        <v>3884</v>
      </c>
      <c r="H581" s="2">
        <v>877530</v>
      </c>
      <c r="I581" s="2">
        <v>81039</v>
      </c>
      <c r="J581" s="2" t="s">
        <v>3890</v>
      </c>
      <c r="K581" s="2" t="s">
        <v>3893</v>
      </c>
      <c r="L581" s="2">
        <v>2025</v>
      </c>
      <c r="M581" s="2">
        <v>796491</v>
      </c>
      <c r="N581" s="2">
        <f xml:space="preserve"> (Table1[[#This Row],[Variance (USD)]] / Table1[[#This Row],[Actual Spending (USD)]]) * 100</f>
        <v>982.84899863028909</v>
      </c>
      <c r="O581" s="5" t="s">
        <v>3897</v>
      </c>
    </row>
    <row r="582" spans="1:15" x14ac:dyDescent="0.25">
      <c r="A582" s="4" t="s">
        <v>595</v>
      </c>
      <c r="B582" s="2" t="s">
        <v>3427</v>
      </c>
      <c r="C582" s="2" t="s">
        <v>3873</v>
      </c>
      <c r="D582" s="2" t="s">
        <v>3878</v>
      </c>
      <c r="E582" s="3">
        <v>44983</v>
      </c>
      <c r="F582" s="3">
        <v>45616</v>
      </c>
      <c r="G582" s="2" t="s">
        <v>3884</v>
      </c>
      <c r="H582" s="2">
        <v>513675</v>
      </c>
      <c r="I582" s="2">
        <v>735191</v>
      </c>
      <c r="J582" s="2" t="s">
        <v>3892</v>
      </c>
      <c r="K582" s="2" t="s">
        <v>3894</v>
      </c>
      <c r="L582" s="2">
        <v>2024</v>
      </c>
      <c r="M582" s="2">
        <v>-221516</v>
      </c>
      <c r="N582" s="2">
        <f xml:space="preserve"> (Table1[[#This Row],[Variance (USD)]] / Table1[[#This Row],[Actual Spending (USD)]]) * 100</f>
        <v>-30.13040148750461</v>
      </c>
      <c r="O582" s="5" t="s">
        <v>3897</v>
      </c>
    </row>
    <row r="583" spans="1:15" x14ac:dyDescent="0.25">
      <c r="A583" s="4" t="s">
        <v>596</v>
      </c>
      <c r="B583" s="2" t="s">
        <v>3397</v>
      </c>
      <c r="C583" s="2" t="s">
        <v>3874</v>
      </c>
      <c r="D583" s="2" t="s">
        <v>3881</v>
      </c>
      <c r="E583" s="3">
        <v>45038</v>
      </c>
      <c r="F583" s="3">
        <v>45535</v>
      </c>
      <c r="G583" s="2" t="s">
        <v>3886</v>
      </c>
      <c r="H583" s="2">
        <v>744595</v>
      </c>
      <c r="I583" s="2">
        <v>719963</v>
      </c>
      <c r="J583" s="2" t="s">
        <v>3888</v>
      </c>
      <c r="K583" s="2" t="s">
        <v>3893</v>
      </c>
      <c r="L583" s="2">
        <v>2024</v>
      </c>
      <c r="M583" s="2">
        <v>24632</v>
      </c>
      <c r="N583" s="2">
        <f xml:space="preserve"> (Table1[[#This Row],[Variance (USD)]] / Table1[[#This Row],[Actual Spending (USD)]]) * 100</f>
        <v>3.4212869272448723</v>
      </c>
      <c r="O583" s="5" t="s">
        <v>3899</v>
      </c>
    </row>
    <row r="584" spans="1:15" x14ac:dyDescent="0.25">
      <c r="A584" s="4" t="s">
        <v>597</v>
      </c>
      <c r="B584" s="2" t="s">
        <v>3428</v>
      </c>
      <c r="C584" s="2" t="s">
        <v>3874</v>
      </c>
      <c r="D584" s="2" t="s">
        <v>3876</v>
      </c>
      <c r="E584" s="3">
        <v>44931</v>
      </c>
      <c r="F584" s="3">
        <v>45618</v>
      </c>
      <c r="G584" s="2" t="s">
        <v>3884</v>
      </c>
      <c r="H584" s="2">
        <v>399005</v>
      </c>
      <c r="I584" s="2">
        <v>1025262</v>
      </c>
      <c r="J584" s="2" t="s">
        <v>3890</v>
      </c>
      <c r="K584" s="2" t="s">
        <v>3893</v>
      </c>
      <c r="L584" s="2">
        <v>2023</v>
      </c>
      <c r="M584" s="2">
        <v>-626257</v>
      </c>
      <c r="N584" s="2">
        <f xml:space="preserve"> (Table1[[#This Row],[Variance (USD)]] / Table1[[#This Row],[Actual Spending (USD)]]) * 100</f>
        <v>-61.082630586133099</v>
      </c>
      <c r="O584" s="5" t="s">
        <v>3897</v>
      </c>
    </row>
    <row r="585" spans="1:15" x14ac:dyDescent="0.25">
      <c r="A585" s="4" t="s">
        <v>598</v>
      </c>
      <c r="B585" s="2" t="s">
        <v>3198</v>
      </c>
      <c r="C585" s="2" t="s">
        <v>3875</v>
      </c>
      <c r="D585" s="2" t="s">
        <v>3878</v>
      </c>
      <c r="E585" s="3">
        <v>45336</v>
      </c>
      <c r="F585" s="3">
        <v>45338</v>
      </c>
      <c r="G585" s="2" t="s">
        <v>3884</v>
      </c>
      <c r="H585" s="2">
        <v>77949</v>
      </c>
      <c r="I585" s="2">
        <v>1015217</v>
      </c>
      <c r="J585" s="2" t="s">
        <v>3889</v>
      </c>
      <c r="K585" s="2" t="s">
        <v>3895</v>
      </c>
      <c r="L585" s="2">
        <v>2025</v>
      </c>
      <c r="M585" s="2">
        <v>-937268</v>
      </c>
      <c r="N585" s="2">
        <f xml:space="preserve"> (Table1[[#This Row],[Variance (USD)]] / Table1[[#This Row],[Actual Spending (USD)]]) * 100</f>
        <v>-92.321937083401878</v>
      </c>
      <c r="O585" s="5" t="s">
        <v>3897</v>
      </c>
    </row>
    <row r="586" spans="1:15" x14ac:dyDescent="0.25">
      <c r="A586" s="4" t="s">
        <v>599</v>
      </c>
      <c r="B586" s="2" t="s">
        <v>3429</v>
      </c>
      <c r="C586" s="2" t="s">
        <v>3871</v>
      </c>
      <c r="D586" s="2" t="s">
        <v>3878</v>
      </c>
      <c r="E586" s="3">
        <v>45340</v>
      </c>
      <c r="F586" s="3">
        <v>45882</v>
      </c>
      <c r="G586" s="2" t="s">
        <v>3884</v>
      </c>
      <c r="H586" s="2">
        <v>203893</v>
      </c>
      <c r="I586" s="2">
        <v>914884</v>
      </c>
      <c r="J586" s="2" t="s">
        <v>3890</v>
      </c>
      <c r="K586" s="2" t="s">
        <v>3894</v>
      </c>
      <c r="L586" s="2">
        <v>2023</v>
      </c>
      <c r="M586" s="2">
        <v>-710991</v>
      </c>
      <c r="N586" s="2">
        <f xml:space="preserve"> (Table1[[#This Row],[Variance (USD)]] / Table1[[#This Row],[Actual Spending (USD)]]) * 100</f>
        <v>-77.713786665850535</v>
      </c>
      <c r="O586" s="5" t="s">
        <v>3897</v>
      </c>
    </row>
    <row r="587" spans="1:15" x14ac:dyDescent="0.25">
      <c r="A587" s="4" t="s">
        <v>600</v>
      </c>
      <c r="B587" s="2" t="s">
        <v>3430</v>
      </c>
      <c r="C587" s="2" t="s">
        <v>3874</v>
      </c>
      <c r="D587" s="2" t="s">
        <v>3877</v>
      </c>
      <c r="E587" s="3">
        <v>45108</v>
      </c>
      <c r="F587" s="3">
        <v>45913</v>
      </c>
      <c r="G587" s="2" t="s">
        <v>3887</v>
      </c>
      <c r="H587" s="2">
        <v>252684</v>
      </c>
      <c r="I587" s="2">
        <v>1063687</v>
      </c>
      <c r="J587" s="2" t="s">
        <v>3892</v>
      </c>
      <c r="K587" s="2" t="s">
        <v>3893</v>
      </c>
      <c r="L587" s="2">
        <v>2025</v>
      </c>
      <c r="M587" s="2">
        <v>-811003</v>
      </c>
      <c r="N587" s="2">
        <f xml:space="preserve"> (Table1[[#This Row],[Variance (USD)]] / Table1[[#This Row],[Actual Spending (USD)]]) * 100</f>
        <v>-76.244515538875618</v>
      </c>
      <c r="O587" s="5" t="s">
        <v>3900</v>
      </c>
    </row>
    <row r="588" spans="1:15" x14ac:dyDescent="0.25">
      <c r="A588" s="4" t="s">
        <v>601</v>
      </c>
      <c r="B588" s="2" t="s">
        <v>3240</v>
      </c>
      <c r="C588" s="2" t="s">
        <v>3870</v>
      </c>
      <c r="D588" s="2" t="s">
        <v>3876</v>
      </c>
      <c r="E588" s="3">
        <v>44939</v>
      </c>
      <c r="F588" s="3">
        <v>45304</v>
      </c>
      <c r="G588" s="2" t="s">
        <v>3884</v>
      </c>
      <c r="H588" s="2">
        <v>989536</v>
      </c>
      <c r="I588" s="2">
        <v>436321</v>
      </c>
      <c r="J588" s="2" t="s">
        <v>3890</v>
      </c>
      <c r="K588" s="2" t="s">
        <v>3895</v>
      </c>
      <c r="L588" s="2">
        <v>2024</v>
      </c>
      <c r="M588" s="2">
        <v>553215</v>
      </c>
      <c r="N588" s="2">
        <f xml:space="preserve"> (Table1[[#This Row],[Variance (USD)]] / Table1[[#This Row],[Actual Spending (USD)]]) * 100</f>
        <v>126.79082602029239</v>
      </c>
      <c r="O588" s="5" t="s">
        <v>3897</v>
      </c>
    </row>
    <row r="589" spans="1:15" x14ac:dyDescent="0.25">
      <c r="A589" s="4" t="s">
        <v>602</v>
      </c>
      <c r="B589" s="2" t="s">
        <v>3431</v>
      </c>
      <c r="C589" s="2" t="s">
        <v>3874</v>
      </c>
      <c r="D589" s="2" t="s">
        <v>3878</v>
      </c>
      <c r="E589" s="3">
        <v>45265</v>
      </c>
      <c r="F589" s="3">
        <v>45671</v>
      </c>
      <c r="G589" s="2" t="s">
        <v>3884</v>
      </c>
      <c r="H589" s="2">
        <v>385681</v>
      </c>
      <c r="I589" s="2">
        <v>359326</v>
      </c>
      <c r="J589" s="2" t="s">
        <v>3889</v>
      </c>
      <c r="K589" s="2" t="s">
        <v>3893</v>
      </c>
      <c r="L589" s="2">
        <v>2023</v>
      </c>
      <c r="M589" s="2">
        <v>26355</v>
      </c>
      <c r="N589" s="2">
        <f xml:space="preserve"> (Table1[[#This Row],[Variance (USD)]] / Table1[[#This Row],[Actual Spending (USD)]]) * 100</f>
        <v>7.3345652694210823</v>
      </c>
      <c r="O589" s="5" t="s">
        <v>3897</v>
      </c>
    </row>
    <row r="590" spans="1:15" x14ac:dyDescent="0.25">
      <c r="A590" s="4" t="s">
        <v>603</v>
      </c>
      <c r="B590" s="2" t="s">
        <v>3395</v>
      </c>
      <c r="C590" s="2" t="s">
        <v>3870</v>
      </c>
      <c r="D590" s="2" t="s">
        <v>3880</v>
      </c>
      <c r="E590" s="3">
        <v>45185</v>
      </c>
      <c r="F590" s="3">
        <v>45656</v>
      </c>
      <c r="G590" s="2" t="s">
        <v>3886</v>
      </c>
      <c r="H590" s="2">
        <v>458519</v>
      </c>
      <c r="I590" s="2">
        <v>606435</v>
      </c>
      <c r="J590" s="2" t="s">
        <v>3888</v>
      </c>
      <c r="K590" s="2" t="s">
        <v>3893</v>
      </c>
      <c r="L590" s="2">
        <v>2023</v>
      </c>
      <c r="M590" s="2">
        <v>-147916</v>
      </c>
      <c r="N590" s="2">
        <f xml:space="preserve"> (Table1[[#This Row],[Variance (USD)]] / Table1[[#This Row],[Actual Spending (USD)]]) * 100</f>
        <v>-24.391072415015625</v>
      </c>
      <c r="O590" s="5" t="s">
        <v>3899</v>
      </c>
    </row>
    <row r="591" spans="1:15" x14ac:dyDescent="0.25">
      <c r="A591" s="4" t="s">
        <v>604</v>
      </c>
      <c r="B591" s="2" t="s">
        <v>3432</v>
      </c>
      <c r="C591" s="2" t="s">
        <v>3869</v>
      </c>
      <c r="D591" s="2" t="s">
        <v>3882</v>
      </c>
      <c r="E591" s="3">
        <v>45016</v>
      </c>
      <c r="F591" s="3">
        <v>45893</v>
      </c>
      <c r="G591" s="2" t="s">
        <v>3886</v>
      </c>
      <c r="H591" s="2">
        <v>428147</v>
      </c>
      <c r="I591" s="2">
        <v>806691</v>
      </c>
      <c r="J591" s="2" t="s">
        <v>3888</v>
      </c>
      <c r="K591" s="2" t="s">
        <v>3894</v>
      </c>
      <c r="L591" s="2">
        <v>2025</v>
      </c>
      <c r="M591" s="2">
        <v>-378544</v>
      </c>
      <c r="N591" s="2">
        <f xml:space="preserve"> (Table1[[#This Row],[Variance (USD)]] / Table1[[#This Row],[Actual Spending (USD)]]) * 100</f>
        <v>-46.925526626676138</v>
      </c>
      <c r="O591" s="5" t="s">
        <v>3899</v>
      </c>
    </row>
    <row r="592" spans="1:15" x14ac:dyDescent="0.25">
      <c r="A592" s="4" t="s">
        <v>605</v>
      </c>
      <c r="B592" s="2" t="s">
        <v>3321</v>
      </c>
      <c r="C592" s="2" t="s">
        <v>3873</v>
      </c>
      <c r="D592" s="2" t="s">
        <v>3878</v>
      </c>
      <c r="E592" s="3">
        <v>45542</v>
      </c>
      <c r="F592" s="3">
        <v>45633</v>
      </c>
      <c r="G592" s="2" t="s">
        <v>3885</v>
      </c>
      <c r="H592" s="2">
        <v>263065</v>
      </c>
      <c r="I592" s="2">
        <v>600722</v>
      </c>
      <c r="J592" s="2" t="s">
        <v>3891</v>
      </c>
      <c r="K592" s="2" t="s">
        <v>3894</v>
      </c>
      <c r="L592" s="2">
        <v>2024</v>
      </c>
      <c r="M592" s="2">
        <v>-337657</v>
      </c>
      <c r="N592" s="2">
        <f xml:space="preserve"> (Table1[[#This Row],[Variance (USD)]] / Table1[[#This Row],[Actual Spending (USD)]]) * 100</f>
        <v>-56.208529070019075</v>
      </c>
      <c r="O592" s="5" t="s">
        <v>3898</v>
      </c>
    </row>
    <row r="593" spans="1:15" x14ac:dyDescent="0.25">
      <c r="A593" s="4" t="s">
        <v>606</v>
      </c>
      <c r="B593" s="2" t="s">
        <v>3290</v>
      </c>
      <c r="C593" s="2" t="s">
        <v>3873</v>
      </c>
      <c r="D593" s="2" t="s">
        <v>3882</v>
      </c>
      <c r="E593" s="3">
        <v>45624</v>
      </c>
      <c r="F593" s="3">
        <v>45512</v>
      </c>
      <c r="G593" s="2" t="s">
        <v>3884</v>
      </c>
      <c r="H593" s="2">
        <v>832086</v>
      </c>
      <c r="I593" s="2">
        <v>1105091</v>
      </c>
      <c r="J593" s="2" t="s">
        <v>3889</v>
      </c>
      <c r="K593" s="2" t="s">
        <v>3894</v>
      </c>
      <c r="L593" s="2">
        <v>2024</v>
      </c>
      <c r="M593" s="2">
        <v>-273005</v>
      </c>
      <c r="N593" s="2">
        <f xml:space="preserve"> (Table1[[#This Row],[Variance (USD)]] / Table1[[#This Row],[Actual Spending (USD)]]) * 100</f>
        <v>-24.704300369833796</v>
      </c>
      <c r="O593" s="5" t="s">
        <v>3897</v>
      </c>
    </row>
    <row r="594" spans="1:15" x14ac:dyDescent="0.25">
      <c r="A594" s="4" t="s">
        <v>607</v>
      </c>
      <c r="B594" s="2" t="s">
        <v>3433</v>
      </c>
      <c r="C594" s="2" t="s">
        <v>3871</v>
      </c>
      <c r="D594" s="2" t="s">
        <v>3876</v>
      </c>
      <c r="E594" s="3">
        <v>45176</v>
      </c>
      <c r="F594" s="3">
        <v>45364</v>
      </c>
      <c r="G594" s="2" t="s">
        <v>3884</v>
      </c>
      <c r="H594" s="2">
        <v>455519</v>
      </c>
      <c r="I594" s="2">
        <v>743757</v>
      </c>
      <c r="J594" s="2" t="s">
        <v>3891</v>
      </c>
      <c r="K594" s="2" t="s">
        <v>3893</v>
      </c>
      <c r="L594" s="2">
        <v>2025</v>
      </c>
      <c r="M594" s="2">
        <v>-288238</v>
      </c>
      <c r="N594" s="2">
        <f xml:space="preserve"> (Table1[[#This Row],[Variance (USD)]] / Table1[[#This Row],[Actual Spending (USD)]]) * 100</f>
        <v>-38.754324329048337</v>
      </c>
      <c r="O594" s="5" t="s">
        <v>3897</v>
      </c>
    </row>
    <row r="595" spans="1:15" x14ac:dyDescent="0.25">
      <c r="A595" s="4" t="s">
        <v>608</v>
      </c>
      <c r="B595" s="2" t="s">
        <v>3171</v>
      </c>
      <c r="C595" s="2" t="s">
        <v>3874</v>
      </c>
      <c r="D595" s="2" t="s">
        <v>3881</v>
      </c>
      <c r="E595" s="3">
        <v>45181</v>
      </c>
      <c r="F595" s="3">
        <v>45916</v>
      </c>
      <c r="G595" s="2" t="s">
        <v>3884</v>
      </c>
      <c r="H595" s="2">
        <v>624989</v>
      </c>
      <c r="I595" s="2">
        <v>746775</v>
      </c>
      <c r="J595" s="2" t="s">
        <v>3891</v>
      </c>
      <c r="K595" s="2" t="s">
        <v>3896</v>
      </c>
      <c r="L595" s="2">
        <v>2025</v>
      </c>
      <c r="M595" s="2">
        <v>-121786</v>
      </c>
      <c r="N595" s="2">
        <f xml:space="preserve"> (Table1[[#This Row],[Variance (USD)]] / Table1[[#This Row],[Actual Spending (USD)]]) * 100</f>
        <v>-16.308258846372738</v>
      </c>
      <c r="O595" s="5" t="s">
        <v>3897</v>
      </c>
    </row>
    <row r="596" spans="1:15" x14ac:dyDescent="0.25">
      <c r="A596" s="4" t="s">
        <v>609</v>
      </c>
      <c r="B596" s="2" t="s">
        <v>3407</v>
      </c>
      <c r="C596" s="2" t="s">
        <v>3874</v>
      </c>
      <c r="D596" s="2" t="s">
        <v>3883</v>
      </c>
      <c r="E596" s="3">
        <v>45514</v>
      </c>
      <c r="F596" s="3">
        <v>45337</v>
      </c>
      <c r="G596" s="2" t="s">
        <v>3886</v>
      </c>
      <c r="H596" s="2">
        <v>886943</v>
      </c>
      <c r="I596" s="2">
        <v>964464</v>
      </c>
      <c r="J596" s="2" t="s">
        <v>3892</v>
      </c>
      <c r="K596" s="2" t="s">
        <v>3894</v>
      </c>
      <c r="L596" s="2">
        <v>2025</v>
      </c>
      <c r="M596" s="2">
        <v>-77521</v>
      </c>
      <c r="N596" s="2">
        <f xml:space="preserve"> (Table1[[#This Row],[Variance (USD)]] / Table1[[#This Row],[Actual Spending (USD)]]) * 100</f>
        <v>-8.0377287280810901</v>
      </c>
      <c r="O596" s="5" t="s">
        <v>3899</v>
      </c>
    </row>
    <row r="597" spans="1:15" x14ac:dyDescent="0.25">
      <c r="A597" s="4" t="s">
        <v>610</v>
      </c>
      <c r="B597" s="2" t="s">
        <v>3434</v>
      </c>
      <c r="C597" s="2" t="s">
        <v>3872</v>
      </c>
      <c r="D597" s="2" t="s">
        <v>3876</v>
      </c>
      <c r="E597" s="3">
        <v>45034</v>
      </c>
      <c r="F597" s="3">
        <v>45795</v>
      </c>
      <c r="G597" s="2" t="s">
        <v>3884</v>
      </c>
      <c r="H597" s="2">
        <v>130664</v>
      </c>
      <c r="I597" s="2">
        <v>520073</v>
      </c>
      <c r="J597" s="2" t="s">
        <v>3889</v>
      </c>
      <c r="K597" s="2" t="s">
        <v>3896</v>
      </c>
      <c r="L597" s="2">
        <v>2025</v>
      </c>
      <c r="M597" s="2">
        <v>-389409</v>
      </c>
      <c r="N597" s="2">
        <f xml:space="preserve"> (Table1[[#This Row],[Variance (USD)]] / Table1[[#This Row],[Actual Spending (USD)]]) * 100</f>
        <v>-74.875834738584786</v>
      </c>
      <c r="O597" s="5" t="s">
        <v>3897</v>
      </c>
    </row>
    <row r="598" spans="1:15" x14ac:dyDescent="0.25">
      <c r="A598" s="4" t="s">
        <v>611</v>
      </c>
      <c r="B598" s="2" t="s">
        <v>3435</v>
      </c>
      <c r="C598" s="2" t="s">
        <v>3868</v>
      </c>
      <c r="D598" s="2" t="s">
        <v>3877</v>
      </c>
      <c r="E598" s="3">
        <v>45594</v>
      </c>
      <c r="F598" s="3">
        <v>45565</v>
      </c>
      <c r="G598" s="2" t="s">
        <v>3884</v>
      </c>
      <c r="H598" s="2">
        <v>461496</v>
      </c>
      <c r="I598" s="2">
        <v>919515</v>
      </c>
      <c r="J598" s="2" t="s">
        <v>3888</v>
      </c>
      <c r="K598" s="2" t="s">
        <v>3896</v>
      </c>
      <c r="L598" s="2">
        <v>2025</v>
      </c>
      <c r="M598" s="2">
        <v>-458019</v>
      </c>
      <c r="N598" s="2">
        <f xml:space="preserve"> (Table1[[#This Row],[Variance (USD)]] / Table1[[#This Row],[Actual Spending (USD)]]) * 100</f>
        <v>-49.810932937472472</v>
      </c>
      <c r="O598" s="5" t="s">
        <v>3897</v>
      </c>
    </row>
    <row r="599" spans="1:15" x14ac:dyDescent="0.25">
      <c r="A599" s="4" t="s">
        <v>612</v>
      </c>
      <c r="B599" s="2" t="s">
        <v>3275</v>
      </c>
      <c r="C599" s="2" t="s">
        <v>3869</v>
      </c>
      <c r="D599" s="2" t="s">
        <v>3883</v>
      </c>
      <c r="E599" s="3">
        <v>45520</v>
      </c>
      <c r="F599" s="3">
        <v>45846</v>
      </c>
      <c r="G599" s="2" t="s">
        <v>3884</v>
      </c>
      <c r="H599" s="2">
        <v>89427</v>
      </c>
      <c r="I599" s="2">
        <v>239637</v>
      </c>
      <c r="J599" s="2" t="s">
        <v>3889</v>
      </c>
      <c r="K599" s="2" t="s">
        <v>3896</v>
      </c>
      <c r="L599" s="2">
        <v>2024</v>
      </c>
      <c r="M599" s="2">
        <v>-150210</v>
      </c>
      <c r="N599" s="2">
        <f xml:space="preserve"> (Table1[[#This Row],[Variance (USD)]] / Table1[[#This Row],[Actual Spending (USD)]]) * 100</f>
        <v>-62.682306989321347</v>
      </c>
      <c r="O599" s="5" t="s">
        <v>3897</v>
      </c>
    </row>
    <row r="600" spans="1:15" x14ac:dyDescent="0.25">
      <c r="A600" s="4" t="s">
        <v>613</v>
      </c>
      <c r="B600" s="2" t="s">
        <v>3436</v>
      </c>
      <c r="C600" s="2" t="s">
        <v>3873</v>
      </c>
      <c r="D600" s="2" t="s">
        <v>3880</v>
      </c>
      <c r="E600" s="3">
        <v>45515</v>
      </c>
      <c r="F600" s="3">
        <v>45499</v>
      </c>
      <c r="G600" s="2" t="s">
        <v>3884</v>
      </c>
      <c r="H600" s="2">
        <v>147180</v>
      </c>
      <c r="I600" s="2">
        <v>917708</v>
      </c>
      <c r="J600" s="2" t="s">
        <v>3892</v>
      </c>
      <c r="K600" s="2" t="s">
        <v>3895</v>
      </c>
      <c r="L600" s="2">
        <v>2024</v>
      </c>
      <c r="M600" s="2">
        <v>-770528</v>
      </c>
      <c r="N600" s="2">
        <f xml:space="preserve"> (Table1[[#This Row],[Variance (USD)]] / Table1[[#This Row],[Actual Spending (USD)]]) * 100</f>
        <v>-83.962218919307659</v>
      </c>
      <c r="O600" s="5" t="s">
        <v>3897</v>
      </c>
    </row>
    <row r="601" spans="1:15" x14ac:dyDescent="0.25">
      <c r="A601" s="4" t="s">
        <v>614</v>
      </c>
      <c r="B601" s="2" t="s">
        <v>3145</v>
      </c>
      <c r="C601" s="2" t="s">
        <v>3869</v>
      </c>
      <c r="D601" s="2" t="s">
        <v>3879</v>
      </c>
      <c r="E601" s="3">
        <v>45411</v>
      </c>
      <c r="F601" s="3">
        <v>45906</v>
      </c>
      <c r="G601" s="2" t="s">
        <v>3884</v>
      </c>
      <c r="H601" s="2">
        <v>677838</v>
      </c>
      <c r="I601" s="2">
        <v>910480</v>
      </c>
      <c r="J601" s="2" t="s">
        <v>3889</v>
      </c>
      <c r="K601" s="2" t="s">
        <v>3893</v>
      </c>
      <c r="L601" s="2">
        <v>2023</v>
      </c>
      <c r="M601" s="2">
        <v>-232642</v>
      </c>
      <c r="N601" s="2">
        <f xml:space="preserve"> (Table1[[#This Row],[Variance (USD)]] / Table1[[#This Row],[Actual Spending (USD)]]) * 100</f>
        <v>-25.5515771900536</v>
      </c>
      <c r="O601" s="5" t="s">
        <v>3897</v>
      </c>
    </row>
    <row r="602" spans="1:15" x14ac:dyDescent="0.25">
      <c r="A602" s="4" t="s">
        <v>615</v>
      </c>
      <c r="B602" s="2" t="s">
        <v>3288</v>
      </c>
      <c r="C602" s="2" t="s">
        <v>3873</v>
      </c>
      <c r="D602" s="2" t="s">
        <v>3882</v>
      </c>
      <c r="E602" s="3">
        <v>45184</v>
      </c>
      <c r="F602" s="3">
        <v>45415</v>
      </c>
      <c r="G602" s="2" t="s">
        <v>3886</v>
      </c>
      <c r="H602" s="2">
        <v>974471</v>
      </c>
      <c r="I602" s="2">
        <v>277387</v>
      </c>
      <c r="J602" s="2" t="s">
        <v>3889</v>
      </c>
      <c r="K602" s="2" t="s">
        <v>3894</v>
      </c>
      <c r="L602" s="2">
        <v>2024</v>
      </c>
      <c r="M602" s="2">
        <v>697084</v>
      </c>
      <c r="N602" s="2">
        <f xml:space="preserve"> (Table1[[#This Row],[Variance (USD)]] / Table1[[#This Row],[Actual Spending (USD)]]) * 100</f>
        <v>251.30377414947347</v>
      </c>
      <c r="O602" s="5" t="s">
        <v>3899</v>
      </c>
    </row>
    <row r="603" spans="1:15" x14ac:dyDescent="0.25">
      <c r="A603" s="4" t="s">
        <v>616</v>
      </c>
      <c r="B603" s="2" t="s">
        <v>3189</v>
      </c>
      <c r="C603" s="2" t="s">
        <v>3869</v>
      </c>
      <c r="D603" s="2" t="s">
        <v>3882</v>
      </c>
      <c r="E603" s="3">
        <v>45565</v>
      </c>
      <c r="F603" s="3">
        <v>45301</v>
      </c>
      <c r="G603" s="2" t="s">
        <v>3886</v>
      </c>
      <c r="H603" s="2">
        <v>974165</v>
      </c>
      <c r="I603" s="2">
        <v>700207</v>
      </c>
      <c r="J603" s="2" t="s">
        <v>3891</v>
      </c>
      <c r="K603" s="2" t="s">
        <v>3893</v>
      </c>
      <c r="L603" s="2">
        <v>2025</v>
      </c>
      <c r="M603" s="2">
        <v>273958</v>
      </c>
      <c r="N603" s="2">
        <f xml:space="preserve"> (Table1[[#This Row],[Variance (USD)]] / Table1[[#This Row],[Actual Spending (USD)]]) * 100</f>
        <v>39.125287236488639</v>
      </c>
      <c r="O603" s="5" t="s">
        <v>3899</v>
      </c>
    </row>
    <row r="604" spans="1:15" x14ac:dyDescent="0.25">
      <c r="A604" s="4" t="s">
        <v>617</v>
      </c>
      <c r="B604" s="2" t="s">
        <v>3437</v>
      </c>
      <c r="C604" s="2" t="s">
        <v>3875</v>
      </c>
      <c r="D604" s="2" t="s">
        <v>3882</v>
      </c>
      <c r="E604" s="3">
        <v>45208</v>
      </c>
      <c r="F604" s="3">
        <v>45620</v>
      </c>
      <c r="G604" s="2" t="s">
        <v>3884</v>
      </c>
      <c r="H604" s="2">
        <v>127952</v>
      </c>
      <c r="I604" s="2">
        <v>732551</v>
      </c>
      <c r="J604" s="2" t="s">
        <v>3889</v>
      </c>
      <c r="K604" s="2" t="s">
        <v>3893</v>
      </c>
      <c r="L604" s="2">
        <v>2024</v>
      </c>
      <c r="M604" s="2">
        <v>-604599</v>
      </c>
      <c r="N604" s="2">
        <f xml:space="preserve"> (Table1[[#This Row],[Variance (USD)]] / Table1[[#This Row],[Actual Spending (USD)]]) * 100</f>
        <v>-82.533366277569755</v>
      </c>
      <c r="O604" s="5" t="s">
        <v>3897</v>
      </c>
    </row>
    <row r="605" spans="1:15" x14ac:dyDescent="0.25">
      <c r="A605" s="4" t="s">
        <v>618</v>
      </c>
      <c r="B605" s="2" t="s">
        <v>3438</v>
      </c>
      <c r="C605" s="2" t="s">
        <v>3870</v>
      </c>
      <c r="D605" s="2" t="s">
        <v>3876</v>
      </c>
      <c r="E605" s="3">
        <v>45014</v>
      </c>
      <c r="F605" s="3">
        <v>45478</v>
      </c>
      <c r="G605" s="2" t="s">
        <v>3884</v>
      </c>
      <c r="H605" s="2">
        <v>116046</v>
      </c>
      <c r="I605" s="2">
        <v>943457</v>
      </c>
      <c r="J605" s="2" t="s">
        <v>3891</v>
      </c>
      <c r="K605" s="2" t="s">
        <v>3895</v>
      </c>
      <c r="L605" s="2">
        <v>2024</v>
      </c>
      <c r="M605" s="2">
        <v>-827411</v>
      </c>
      <c r="N605" s="2">
        <f xml:space="preserve"> (Table1[[#This Row],[Variance (USD)]] / Table1[[#This Row],[Actual Spending (USD)]]) * 100</f>
        <v>-87.69991637138736</v>
      </c>
      <c r="O605" s="5" t="s">
        <v>3897</v>
      </c>
    </row>
    <row r="606" spans="1:15" x14ac:dyDescent="0.25">
      <c r="A606" s="4" t="s">
        <v>619</v>
      </c>
      <c r="B606" s="2" t="s">
        <v>3439</v>
      </c>
      <c r="C606" s="2" t="s">
        <v>3873</v>
      </c>
      <c r="D606" s="2" t="s">
        <v>3882</v>
      </c>
      <c r="E606" s="3">
        <v>45130</v>
      </c>
      <c r="F606" s="3">
        <v>45834</v>
      </c>
      <c r="G606" s="2" t="s">
        <v>3886</v>
      </c>
      <c r="H606" s="2">
        <v>156918</v>
      </c>
      <c r="I606" s="2">
        <v>681631</v>
      </c>
      <c r="J606" s="2" t="s">
        <v>3891</v>
      </c>
      <c r="K606" s="2" t="s">
        <v>3895</v>
      </c>
      <c r="L606" s="2">
        <v>2024</v>
      </c>
      <c r="M606" s="2">
        <v>-524713</v>
      </c>
      <c r="N606" s="2">
        <f xml:space="preserve"> (Table1[[#This Row],[Variance (USD)]] / Table1[[#This Row],[Actual Spending (USD)]]) * 100</f>
        <v>-76.979039979108933</v>
      </c>
      <c r="O606" s="5" t="s">
        <v>3899</v>
      </c>
    </row>
    <row r="607" spans="1:15" x14ac:dyDescent="0.25">
      <c r="A607" s="4" t="s">
        <v>620</v>
      </c>
      <c r="B607" s="2" t="s">
        <v>3440</v>
      </c>
      <c r="C607" s="2" t="s">
        <v>3869</v>
      </c>
      <c r="D607" s="2" t="s">
        <v>3881</v>
      </c>
      <c r="E607" s="3">
        <v>44942</v>
      </c>
      <c r="F607" s="3">
        <v>45959</v>
      </c>
      <c r="G607" s="2" t="s">
        <v>3884</v>
      </c>
      <c r="H607" s="2">
        <v>871632</v>
      </c>
      <c r="I607" s="2">
        <v>1196827</v>
      </c>
      <c r="J607" s="2" t="s">
        <v>3890</v>
      </c>
      <c r="K607" s="2" t="s">
        <v>3895</v>
      </c>
      <c r="L607" s="2">
        <v>2023</v>
      </c>
      <c r="M607" s="2">
        <v>-325195</v>
      </c>
      <c r="N607" s="2">
        <f xml:space="preserve"> (Table1[[#This Row],[Variance (USD)]] / Table1[[#This Row],[Actual Spending (USD)]]) * 100</f>
        <v>-27.17142912049945</v>
      </c>
      <c r="O607" s="5" t="s">
        <v>3897</v>
      </c>
    </row>
    <row r="608" spans="1:15" x14ac:dyDescent="0.25">
      <c r="A608" s="4" t="s">
        <v>621</v>
      </c>
      <c r="B608" s="2" t="s">
        <v>3441</v>
      </c>
      <c r="C608" s="2" t="s">
        <v>3874</v>
      </c>
      <c r="D608" s="2" t="s">
        <v>3882</v>
      </c>
      <c r="E608" s="3">
        <v>45077</v>
      </c>
      <c r="F608" s="3">
        <v>45351</v>
      </c>
      <c r="G608" s="2" t="s">
        <v>3884</v>
      </c>
      <c r="H608" s="2">
        <v>379586</v>
      </c>
      <c r="I608" s="2">
        <v>713565</v>
      </c>
      <c r="J608" s="2" t="s">
        <v>3892</v>
      </c>
      <c r="K608" s="2" t="s">
        <v>3893</v>
      </c>
      <c r="L608" s="2">
        <v>2023</v>
      </c>
      <c r="M608" s="2">
        <v>-333979</v>
      </c>
      <c r="N608" s="2">
        <f xml:space="preserve"> (Table1[[#This Row],[Variance (USD)]] / Table1[[#This Row],[Actual Spending (USD)]]) * 100</f>
        <v>-46.804285524093807</v>
      </c>
      <c r="O608" s="5" t="s">
        <v>3897</v>
      </c>
    </row>
    <row r="609" spans="1:15" x14ac:dyDescent="0.25">
      <c r="A609" s="4" t="s">
        <v>622</v>
      </c>
      <c r="B609" s="2" t="s">
        <v>3256</v>
      </c>
      <c r="C609" s="2" t="s">
        <v>3868</v>
      </c>
      <c r="D609" s="2" t="s">
        <v>3877</v>
      </c>
      <c r="E609" s="3">
        <v>45180</v>
      </c>
      <c r="F609" s="3">
        <v>45733</v>
      </c>
      <c r="G609" s="2" t="s">
        <v>3884</v>
      </c>
      <c r="H609" s="2">
        <v>504887</v>
      </c>
      <c r="I609" s="2">
        <v>897595</v>
      </c>
      <c r="J609" s="2" t="s">
        <v>3891</v>
      </c>
      <c r="K609" s="2" t="s">
        <v>3896</v>
      </c>
      <c r="L609" s="2">
        <v>2025</v>
      </c>
      <c r="M609" s="2">
        <v>-392708</v>
      </c>
      <c r="N609" s="2">
        <f xml:space="preserve"> (Table1[[#This Row],[Variance (USD)]] / Table1[[#This Row],[Actual Spending (USD)]]) * 100</f>
        <v>-43.751134977356159</v>
      </c>
      <c r="O609" s="5" t="s">
        <v>3897</v>
      </c>
    </row>
    <row r="610" spans="1:15" x14ac:dyDescent="0.25">
      <c r="A610" s="4" t="s">
        <v>623</v>
      </c>
      <c r="B610" s="2" t="s">
        <v>3031</v>
      </c>
      <c r="C610" s="2" t="s">
        <v>3875</v>
      </c>
      <c r="D610" s="2" t="s">
        <v>3880</v>
      </c>
      <c r="E610" s="3">
        <v>45114</v>
      </c>
      <c r="F610" s="3">
        <v>45508</v>
      </c>
      <c r="G610" s="2" t="s">
        <v>3886</v>
      </c>
      <c r="H610" s="2">
        <v>665358</v>
      </c>
      <c r="I610" s="2">
        <v>934711</v>
      </c>
      <c r="J610" s="2" t="s">
        <v>3889</v>
      </c>
      <c r="K610" s="2" t="s">
        <v>3893</v>
      </c>
      <c r="L610" s="2">
        <v>2025</v>
      </c>
      <c r="M610" s="2">
        <v>-269353</v>
      </c>
      <c r="N610" s="2">
        <f xml:space="preserve"> (Table1[[#This Row],[Variance (USD)]] / Table1[[#This Row],[Actual Spending (USD)]]) * 100</f>
        <v>-28.816714471103904</v>
      </c>
      <c r="O610" s="5" t="s">
        <v>3899</v>
      </c>
    </row>
    <row r="611" spans="1:15" x14ac:dyDescent="0.25">
      <c r="A611" s="4" t="s">
        <v>624</v>
      </c>
      <c r="B611" s="2" t="s">
        <v>3414</v>
      </c>
      <c r="C611" s="2" t="s">
        <v>3875</v>
      </c>
      <c r="D611" s="2" t="s">
        <v>3882</v>
      </c>
      <c r="E611" s="3">
        <v>45255</v>
      </c>
      <c r="F611" s="3">
        <v>45293</v>
      </c>
      <c r="G611" s="2" t="s">
        <v>3885</v>
      </c>
      <c r="H611" s="2">
        <v>632456</v>
      </c>
      <c r="I611" s="2">
        <v>86795</v>
      </c>
      <c r="J611" s="2" t="s">
        <v>3891</v>
      </c>
      <c r="K611" s="2" t="s">
        <v>3895</v>
      </c>
      <c r="L611" s="2">
        <v>2023</v>
      </c>
      <c r="M611" s="2">
        <v>545661</v>
      </c>
      <c r="N611" s="2">
        <f xml:space="preserve"> (Table1[[#This Row],[Variance (USD)]] / Table1[[#This Row],[Actual Spending (USD)]]) * 100</f>
        <v>628.67791923497896</v>
      </c>
      <c r="O611" s="5" t="s">
        <v>3898</v>
      </c>
    </row>
    <row r="612" spans="1:15" x14ac:dyDescent="0.25">
      <c r="A612" s="4" t="s">
        <v>625</v>
      </c>
      <c r="B612" s="2" t="s">
        <v>3442</v>
      </c>
      <c r="C612" s="2" t="s">
        <v>3868</v>
      </c>
      <c r="D612" s="2" t="s">
        <v>3882</v>
      </c>
      <c r="E612" s="3">
        <v>45470</v>
      </c>
      <c r="F612" s="3">
        <v>45827</v>
      </c>
      <c r="G612" s="2" t="s">
        <v>3886</v>
      </c>
      <c r="H612" s="2">
        <v>884754</v>
      </c>
      <c r="I612" s="2">
        <v>717693</v>
      </c>
      <c r="J612" s="2" t="s">
        <v>3891</v>
      </c>
      <c r="K612" s="2" t="s">
        <v>3893</v>
      </c>
      <c r="L612" s="2">
        <v>2024</v>
      </c>
      <c r="M612" s="2">
        <v>167061</v>
      </c>
      <c r="N612" s="2">
        <f xml:space="preserve"> (Table1[[#This Row],[Variance (USD)]] / Table1[[#This Row],[Actual Spending (USD)]]) * 100</f>
        <v>23.277501661573961</v>
      </c>
      <c r="O612" s="5" t="s">
        <v>3899</v>
      </c>
    </row>
    <row r="613" spans="1:15" x14ac:dyDescent="0.25">
      <c r="A613" s="4" t="s">
        <v>626</v>
      </c>
      <c r="B613" s="2" t="s">
        <v>3443</v>
      </c>
      <c r="C613" s="2" t="s">
        <v>3869</v>
      </c>
      <c r="D613" s="2" t="s">
        <v>3883</v>
      </c>
      <c r="E613" s="3">
        <v>45323</v>
      </c>
      <c r="F613" s="3">
        <v>46009</v>
      </c>
      <c r="G613" s="2" t="s">
        <v>3884</v>
      </c>
      <c r="H613" s="2">
        <v>120246</v>
      </c>
      <c r="I613" s="2">
        <v>1114655</v>
      </c>
      <c r="J613" s="2" t="s">
        <v>3891</v>
      </c>
      <c r="K613" s="2" t="s">
        <v>3895</v>
      </c>
      <c r="L613" s="2">
        <v>2024</v>
      </c>
      <c r="M613" s="2">
        <v>-994409</v>
      </c>
      <c r="N613" s="2">
        <f xml:space="preserve"> (Table1[[#This Row],[Variance (USD)]] / Table1[[#This Row],[Actual Spending (USD)]]) * 100</f>
        <v>-89.212267472895206</v>
      </c>
      <c r="O613" s="5" t="s">
        <v>3897</v>
      </c>
    </row>
    <row r="614" spans="1:15" x14ac:dyDescent="0.25">
      <c r="A614" s="4" t="s">
        <v>627</v>
      </c>
      <c r="B614" s="2" t="s">
        <v>3439</v>
      </c>
      <c r="C614" s="2" t="s">
        <v>3874</v>
      </c>
      <c r="D614" s="2" t="s">
        <v>3880</v>
      </c>
      <c r="E614" s="3">
        <v>45443</v>
      </c>
      <c r="F614" s="3">
        <v>46002</v>
      </c>
      <c r="G614" s="2" t="s">
        <v>3884</v>
      </c>
      <c r="H614" s="2">
        <v>744252</v>
      </c>
      <c r="I614" s="2">
        <v>1162801</v>
      </c>
      <c r="J614" s="2" t="s">
        <v>3888</v>
      </c>
      <c r="K614" s="2" t="s">
        <v>3895</v>
      </c>
      <c r="L614" s="2">
        <v>2023</v>
      </c>
      <c r="M614" s="2">
        <v>-418549</v>
      </c>
      <c r="N614" s="2">
        <f xml:space="preserve"> (Table1[[#This Row],[Variance (USD)]] / Table1[[#This Row],[Actual Spending (USD)]]) * 100</f>
        <v>-35.994895085229544</v>
      </c>
      <c r="O614" s="5" t="s">
        <v>3897</v>
      </c>
    </row>
    <row r="615" spans="1:15" x14ac:dyDescent="0.25">
      <c r="A615" s="4" t="s">
        <v>628</v>
      </c>
      <c r="B615" s="2" t="s">
        <v>3293</v>
      </c>
      <c r="C615" s="2" t="s">
        <v>3871</v>
      </c>
      <c r="D615" s="2" t="s">
        <v>3882</v>
      </c>
      <c r="E615" s="3">
        <v>45385</v>
      </c>
      <c r="F615" s="3">
        <v>45647</v>
      </c>
      <c r="G615" s="2" t="s">
        <v>3885</v>
      </c>
      <c r="H615" s="2">
        <v>589871</v>
      </c>
      <c r="I615" s="2">
        <v>318715</v>
      </c>
      <c r="J615" s="2" t="s">
        <v>3888</v>
      </c>
      <c r="K615" s="2" t="s">
        <v>3894</v>
      </c>
      <c r="L615" s="2">
        <v>2025</v>
      </c>
      <c r="M615" s="2">
        <v>271156</v>
      </c>
      <c r="N615" s="2">
        <f xml:space="preserve"> (Table1[[#This Row],[Variance (USD)]] / Table1[[#This Row],[Actual Spending (USD)]]) * 100</f>
        <v>85.07789090566807</v>
      </c>
      <c r="O615" s="5" t="s">
        <v>3898</v>
      </c>
    </row>
    <row r="616" spans="1:15" x14ac:dyDescent="0.25">
      <c r="A616" s="4" t="s">
        <v>629</v>
      </c>
      <c r="B616" s="2" t="s">
        <v>3233</v>
      </c>
      <c r="C616" s="2" t="s">
        <v>3868</v>
      </c>
      <c r="D616" s="2" t="s">
        <v>3876</v>
      </c>
      <c r="E616" s="3">
        <v>45256</v>
      </c>
      <c r="F616" s="3">
        <v>45917</v>
      </c>
      <c r="G616" s="2" t="s">
        <v>3884</v>
      </c>
      <c r="H616" s="2">
        <v>394864</v>
      </c>
      <c r="I616" s="2">
        <v>1129695</v>
      </c>
      <c r="J616" s="2" t="s">
        <v>3888</v>
      </c>
      <c r="K616" s="2" t="s">
        <v>3896</v>
      </c>
      <c r="L616" s="2">
        <v>2024</v>
      </c>
      <c r="M616" s="2">
        <v>-734831</v>
      </c>
      <c r="N616" s="2">
        <f xml:space="preserve"> (Table1[[#This Row],[Variance (USD)]] / Table1[[#This Row],[Actual Spending (USD)]]) * 100</f>
        <v>-65.04684892825054</v>
      </c>
      <c r="O616" s="5" t="s">
        <v>3897</v>
      </c>
    </row>
    <row r="617" spans="1:15" x14ac:dyDescent="0.25">
      <c r="A617" s="4" t="s">
        <v>630</v>
      </c>
      <c r="B617" s="2" t="s">
        <v>3227</v>
      </c>
      <c r="C617" s="2" t="s">
        <v>3869</v>
      </c>
      <c r="D617" s="2" t="s">
        <v>3878</v>
      </c>
      <c r="E617" s="3">
        <v>45095</v>
      </c>
      <c r="F617" s="3">
        <v>45958</v>
      </c>
      <c r="G617" s="2" t="s">
        <v>3887</v>
      </c>
      <c r="H617" s="2">
        <v>498431</v>
      </c>
      <c r="I617" s="2">
        <v>300153</v>
      </c>
      <c r="J617" s="2" t="s">
        <v>3888</v>
      </c>
      <c r="K617" s="2" t="s">
        <v>3895</v>
      </c>
      <c r="L617" s="2">
        <v>2025</v>
      </c>
      <c r="M617" s="2">
        <v>198278</v>
      </c>
      <c r="N617" s="2">
        <f xml:space="preserve"> (Table1[[#This Row],[Variance (USD)]] / Table1[[#This Row],[Actual Spending (USD)]]) * 100</f>
        <v>66.058976588606484</v>
      </c>
      <c r="O617" s="5" t="s">
        <v>3900</v>
      </c>
    </row>
    <row r="618" spans="1:15" x14ac:dyDescent="0.25">
      <c r="A618" s="4" t="s">
        <v>631</v>
      </c>
      <c r="B618" s="2" t="s">
        <v>3169</v>
      </c>
      <c r="C618" s="2" t="s">
        <v>3868</v>
      </c>
      <c r="D618" s="2" t="s">
        <v>3881</v>
      </c>
      <c r="E618" s="3">
        <v>45619</v>
      </c>
      <c r="F618" s="3">
        <v>45456</v>
      </c>
      <c r="G618" s="2" t="s">
        <v>3885</v>
      </c>
      <c r="H618" s="2">
        <v>730213</v>
      </c>
      <c r="I618" s="2">
        <v>1188786</v>
      </c>
      <c r="J618" s="2" t="s">
        <v>3890</v>
      </c>
      <c r="K618" s="2" t="s">
        <v>3894</v>
      </c>
      <c r="L618" s="2">
        <v>2024</v>
      </c>
      <c r="M618" s="2">
        <v>-458573</v>
      </c>
      <c r="N618" s="2">
        <f xml:space="preserve"> (Table1[[#This Row],[Variance (USD)]] / Table1[[#This Row],[Actual Spending (USD)]]) * 100</f>
        <v>-38.574899098744432</v>
      </c>
      <c r="O618" s="5" t="s">
        <v>3898</v>
      </c>
    </row>
    <row r="619" spans="1:15" x14ac:dyDescent="0.25">
      <c r="A619" s="4" t="s">
        <v>632</v>
      </c>
      <c r="B619" s="2" t="s">
        <v>3444</v>
      </c>
      <c r="C619" s="2" t="s">
        <v>3868</v>
      </c>
      <c r="D619" s="2" t="s">
        <v>3876</v>
      </c>
      <c r="E619" s="3">
        <v>45292</v>
      </c>
      <c r="F619" s="3">
        <v>45382</v>
      </c>
      <c r="G619" s="2" t="s">
        <v>3884</v>
      </c>
      <c r="H619" s="2">
        <v>449325</v>
      </c>
      <c r="I619" s="2">
        <v>330374</v>
      </c>
      <c r="J619" s="2" t="s">
        <v>3891</v>
      </c>
      <c r="K619" s="2" t="s">
        <v>3896</v>
      </c>
      <c r="L619" s="2">
        <v>2025</v>
      </c>
      <c r="M619" s="2">
        <v>118951</v>
      </c>
      <c r="N619" s="2">
        <f xml:space="preserve"> (Table1[[#This Row],[Variance (USD)]] / Table1[[#This Row],[Actual Spending (USD)]]) * 100</f>
        <v>36.004951963532235</v>
      </c>
      <c r="O619" s="5" t="s">
        <v>3897</v>
      </c>
    </row>
    <row r="620" spans="1:15" x14ac:dyDescent="0.25">
      <c r="A620" s="4" t="s">
        <v>633</v>
      </c>
      <c r="B620" s="2" t="s">
        <v>3332</v>
      </c>
      <c r="C620" s="2" t="s">
        <v>3873</v>
      </c>
      <c r="D620" s="2" t="s">
        <v>3879</v>
      </c>
      <c r="E620" s="3">
        <v>45104</v>
      </c>
      <c r="F620" s="3">
        <v>45458</v>
      </c>
      <c r="G620" s="2" t="s">
        <v>3885</v>
      </c>
      <c r="H620" s="2">
        <v>289285</v>
      </c>
      <c r="I620" s="2">
        <v>1189940</v>
      </c>
      <c r="J620" s="2" t="s">
        <v>3890</v>
      </c>
      <c r="K620" s="2" t="s">
        <v>3895</v>
      </c>
      <c r="L620" s="2">
        <v>2024</v>
      </c>
      <c r="M620" s="2">
        <v>-900655</v>
      </c>
      <c r="N620" s="2">
        <f xml:space="preserve"> (Table1[[#This Row],[Variance (USD)]] / Table1[[#This Row],[Actual Spending (USD)]]) * 100</f>
        <v>-75.689110375313035</v>
      </c>
      <c r="O620" s="5" t="s">
        <v>3898</v>
      </c>
    </row>
    <row r="621" spans="1:15" x14ac:dyDescent="0.25">
      <c r="A621" s="4" t="s">
        <v>634</v>
      </c>
      <c r="B621" s="2" t="s">
        <v>3445</v>
      </c>
      <c r="C621" s="2" t="s">
        <v>3869</v>
      </c>
      <c r="D621" s="2" t="s">
        <v>3876</v>
      </c>
      <c r="E621" s="3">
        <v>45581</v>
      </c>
      <c r="F621" s="3">
        <v>45498</v>
      </c>
      <c r="G621" s="2" t="s">
        <v>3884</v>
      </c>
      <c r="H621" s="2">
        <v>371901</v>
      </c>
      <c r="I621" s="2">
        <v>411610</v>
      </c>
      <c r="J621" s="2" t="s">
        <v>3889</v>
      </c>
      <c r="K621" s="2" t="s">
        <v>3896</v>
      </c>
      <c r="L621" s="2">
        <v>2025</v>
      </c>
      <c r="M621" s="2">
        <v>-39709</v>
      </c>
      <c r="N621" s="2">
        <f xml:space="preserve"> (Table1[[#This Row],[Variance (USD)]] / Table1[[#This Row],[Actual Spending (USD)]]) * 100</f>
        <v>-9.6472388911834024</v>
      </c>
      <c r="O621" s="5" t="s">
        <v>3897</v>
      </c>
    </row>
    <row r="622" spans="1:15" x14ac:dyDescent="0.25">
      <c r="A622" s="4" t="s">
        <v>635</v>
      </c>
      <c r="B622" s="2" t="s">
        <v>3122</v>
      </c>
      <c r="C622" s="2" t="s">
        <v>3871</v>
      </c>
      <c r="D622" s="2" t="s">
        <v>3883</v>
      </c>
      <c r="E622" s="3">
        <v>45288</v>
      </c>
      <c r="F622" s="3">
        <v>45573</v>
      </c>
      <c r="G622" s="2" t="s">
        <v>3885</v>
      </c>
      <c r="H622" s="2">
        <v>843091</v>
      </c>
      <c r="I622" s="2">
        <v>673341</v>
      </c>
      <c r="J622" s="2" t="s">
        <v>3892</v>
      </c>
      <c r="K622" s="2" t="s">
        <v>3896</v>
      </c>
      <c r="L622" s="2">
        <v>2025</v>
      </c>
      <c r="M622" s="2">
        <v>169750</v>
      </c>
      <c r="N622" s="2">
        <f xml:space="preserve"> (Table1[[#This Row],[Variance (USD)]] / Table1[[#This Row],[Actual Spending (USD)]]) * 100</f>
        <v>25.21010899380849</v>
      </c>
      <c r="O622" s="5" t="s">
        <v>3898</v>
      </c>
    </row>
    <row r="623" spans="1:15" x14ac:dyDescent="0.25">
      <c r="A623" s="4" t="s">
        <v>636</v>
      </c>
      <c r="B623" s="2" t="s">
        <v>3446</v>
      </c>
      <c r="C623" s="2" t="s">
        <v>3870</v>
      </c>
      <c r="D623" s="2" t="s">
        <v>3883</v>
      </c>
      <c r="E623" s="3">
        <v>45565</v>
      </c>
      <c r="F623" s="3">
        <v>45356</v>
      </c>
      <c r="G623" s="2" t="s">
        <v>3884</v>
      </c>
      <c r="H623" s="2">
        <v>313382</v>
      </c>
      <c r="I623" s="2">
        <v>911450</v>
      </c>
      <c r="J623" s="2" t="s">
        <v>3890</v>
      </c>
      <c r="K623" s="2" t="s">
        <v>3893</v>
      </c>
      <c r="L623" s="2">
        <v>2025</v>
      </c>
      <c r="M623" s="2">
        <v>-598068</v>
      </c>
      <c r="N623" s="2">
        <f xml:space="preserve"> (Table1[[#This Row],[Variance (USD)]] / Table1[[#This Row],[Actual Spending (USD)]]) * 100</f>
        <v>-65.617203357287835</v>
      </c>
      <c r="O623" s="5" t="s">
        <v>3897</v>
      </c>
    </row>
    <row r="624" spans="1:15" x14ac:dyDescent="0.25">
      <c r="A624" s="4" t="s">
        <v>637</v>
      </c>
      <c r="B624" s="2" t="s">
        <v>3364</v>
      </c>
      <c r="C624" s="2" t="s">
        <v>3873</v>
      </c>
      <c r="D624" s="2" t="s">
        <v>3882</v>
      </c>
      <c r="E624" s="3">
        <v>44966</v>
      </c>
      <c r="F624" s="3">
        <v>45807</v>
      </c>
      <c r="G624" s="2" t="s">
        <v>3884</v>
      </c>
      <c r="H624" s="2">
        <v>695558</v>
      </c>
      <c r="I624" s="2">
        <v>849227</v>
      </c>
      <c r="J624" s="2" t="s">
        <v>3888</v>
      </c>
      <c r="K624" s="2" t="s">
        <v>3894</v>
      </c>
      <c r="L624" s="2">
        <v>2023</v>
      </c>
      <c r="M624" s="2">
        <v>-153669</v>
      </c>
      <c r="N624" s="2">
        <f xml:space="preserve"> (Table1[[#This Row],[Variance (USD)]] / Table1[[#This Row],[Actual Spending (USD)]]) * 100</f>
        <v>-18.09516183541032</v>
      </c>
      <c r="O624" s="5" t="s">
        <v>3897</v>
      </c>
    </row>
    <row r="625" spans="1:15" x14ac:dyDescent="0.25">
      <c r="A625" s="4" t="s">
        <v>638</v>
      </c>
      <c r="B625" s="2" t="s">
        <v>3447</v>
      </c>
      <c r="C625" s="2" t="s">
        <v>3868</v>
      </c>
      <c r="D625" s="2" t="s">
        <v>3876</v>
      </c>
      <c r="E625" s="3">
        <v>45342</v>
      </c>
      <c r="F625" s="3">
        <v>45448</v>
      </c>
      <c r="G625" s="2" t="s">
        <v>3886</v>
      </c>
      <c r="H625" s="2">
        <v>955643</v>
      </c>
      <c r="I625" s="2">
        <v>668100</v>
      </c>
      <c r="J625" s="2" t="s">
        <v>3888</v>
      </c>
      <c r="K625" s="2" t="s">
        <v>3896</v>
      </c>
      <c r="L625" s="2">
        <v>2025</v>
      </c>
      <c r="M625" s="2">
        <v>287543</v>
      </c>
      <c r="N625" s="2">
        <f xml:space="preserve"> (Table1[[#This Row],[Variance (USD)]] / Table1[[#This Row],[Actual Spending (USD)]]) * 100</f>
        <v>43.038916329890739</v>
      </c>
      <c r="O625" s="5" t="s">
        <v>3899</v>
      </c>
    </row>
    <row r="626" spans="1:15" x14ac:dyDescent="0.25">
      <c r="A626" s="4" t="s">
        <v>639</v>
      </c>
      <c r="B626" s="2" t="s">
        <v>3232</v>
      </c>
      <c r="C626" s="2" t="s">
        <v>3870</v>
      </c>
      <c r="D626" s="2" t="s">
        <v>3883</v>
      </c>
      <c r="E626" s="3">
        <v>45281</v>
      </c>
      <c r="F626" s="3">
        <v>45597</v>
      </c>
      <c r="G626" s="2" t="s">
        <v>3886</v>
      </c>
      <c r="H626" s="2">
        <v>65064</v>
      </c>
      <c r="I626" s="2">
        <v>331335</v>
      </c>
      <c r="J626" s="2" t="s">
        <v>3889</v>
      </c>
      <c r="K626" s="2" t="s">
        <v>3893</v>
      </c>
      <c r="L626" s="2">
        <v>2023</v>
      </c>
      <c r="M626" s="2">
        <v>-266271</v>
      </c>
      <c r="N626" s="2">
        <f xml:space="preserve"> (Table1[[#This Row],[Variance (USD)]] / Table1[[#This Row],[Actual Spending (USD)]]) * 100</f>
        <v>-80.363076644483684</v>
      </c>
      <c r="O626" s="5" t="s">
        <v>3899</v>
      </c>
    </row>
    <row r="627" spans="1:15" x14ac:dyDescent="0.25">
      <c r="A627" s="4" t="s">
        <v>640</v>
      </c>
      <c r="B627" s="2" t="s">
        <v>3308</v>
      </c>
      <c r="C627" s="2" t="s">
        <v>3872</v>
      </c>
      <c r="D627" s="2" t="s">
        <v>3878</v>
      </c>
      <c r="E627" s="3">
        <v>45181</v>
      </c>
      <c r="F627" s="3">
        <v>45686</v>
      </c>
      <c r="G627" s="2" t="s">
        <v>3884</v>
      </c>
      <c r="H627" s="2">
        <v>212187</v>
      </c>
      <c r="I627" s="2">
        <v>215525</v>
      </c>
      <c r="J627" s="2" t="s">
        <v>3891</v>
      </c>
      <c r="K627" s="2" t="s">
        <v>3896</v>
      </c>
      <c r="L627" s="2">
        <v>2023</v>
      </c>
      <c r="M627" s="2">
        <v>-3338</v>
      </c>
      <c r="N627" s="2">
        <f xml:space="preserve"> (Table1[[#This Row],[Variance (USD)]] / Table1[[#This Row],[Actual Spending (USD)]]) * 100</f>
        <v>-1.548776244055214</v>
      </c>
      <c r="O627" s="5" t="s">
        <v>3897</v>
      </c>
    </row>
    <row r="628" spans="1:15" x14ac:dyDescent="0.25">
      <c r="A628" s="4" t="s">
        <v>641</v>
      </c>
      <c r="B628" s="2" t="s">
        <v>3195</v>
      </c>
      <c r="C628" s="2" t="s">
        <v>3870</v>
      </c>
      <c r="D628" s="2" t="s">
        <v>3880</v>
      </c>
      <c r="E628" s="3">
        <v>45069</v>
      </c>
      <c r="F628" s="3">
        <v>45365</v>
      </c>
      <c r="G628" s="2" t="s">
        <v>3886</v>
      </c>
      <c r="H628" s="2">
        <v>737312</v>
      </c>
      <c r="I628" s="2">
        <v>1091029</v>
      </c>
      <c r="J628" s="2" t="s">
        <v>3892</v>
      </c>
      <c r="K628" s="2" t="s">
        <v>3893</v>
      </c>
      <c r="L628" s="2">
        <v>2025</v>
      </c>
      <c r="M628" s="2">
        <v>-353717</v>
      </c>
      <c r="N628" s="2">
        <f xml:space="preserve"> (Table1[[#This Row],[Variance (USD)]] / Table1[[#This Row],[Actual Spending (USD)]]) * 100</f>
        <v>-32.420494780615364</v>
      </c>
      <c r="O628" s="5" t="s">
        <v>3899</v>
      </c>
    </row>
    <row r="629" spans="1:15" x14ac:dyDescent="0.25">
      <c r="A629" s="4" t="s">
        <v>642</v>
      </c>
      <c r="B629" s="2" t="s">
        <v>3053</v>
      </c>
      <c r="C629" s="2" t="s">
        <v>3868</v>
      </c>
      <c r="D629" s="2" t="s">
        <v>3876</v>
      </c>
      <c r="E629" s="3">
        <v>45636</v>
      </c>
      <c r="F629" s="3">
        <v>45478</v>
      </c>
      <c r="G629" s="2" t="s">
        <v>3884</v>
      </c>
      <c r="H629" s="2">
        <v>710980</v>
      </c>
      <c r="I629" s="2">
        <v>1199424</v>
      </c>
      <c r="J629" s="2" t="s">
        <v>3890</v>
      </c>
      <c r="K629" s="2" t="s">
        <v>3895</v>
      </c>
      <c r="L629" s="2">
        <v>2023</v>
      </c>
      <c r="M629" s="2">
        <v>-488444</v>
      </c>
      <c r="N629" s="2">
        <f xml:space="preserve"> (Table1[[#This Row],[Variance (USD)]] / Table1[[#This Row],[Actual Spending (USD)]]) * 100</f>
        <v>-40.723213809295125</v>
      </c>
      <c r="O629" s="5" t="s">
        <v>3897</v>
      </c>
    </row>
    <row r="630" spans="1:15" x14ac:dyDescent="0.25">
      <c r="A630" s="4" t="s">
        <v>643</v>
      </c>
      <c r="B630" s="2" t="s">
        <v>3304</v>
      </c>
      <c r="C630" s="2" t="s">
        <v>3868</v>
      </c>
      <c r="D630" s="2" t="s">
        <v>3881</v>
      </c>
      <c r="E630" s="3">
        <v>45503</v>
      </c>
      <c r="F630" s="3">
        <v>45865</v>
      </c>
      <c r="G630" s="2" t="s">
        <v>3884</v>
      </c>
      <c r="H630" s="2">
        <v>674078</v>
      </c>
      <c r="I630" s="2">
        <v>996994</v>
      </c>
      <c r="J630" s="2" t="s">
        <v>3891</v>
      </c>
      <c r="K630" s="2" t="s">
        <v>3895</v>
      </c>
      <c r="L630" s="2">
        <v>2023</v>
      </c>
      <c r="M630" s="2">
        <v>-322916</v>
      </c>
      <c r="N630" s="2">
        <f xml:space="preserve"> (Table1[[#This Row],[Variance (USD)]] / Table1[[#This Row],[Actual Spending (USD)]]) * 100</f>
        <v>-32.388961217419563</v>
      </c>
      <c r="O630" s="5" t="s">
        <v>3897</v>
      </c>
    </row>
    <row r="631" spans="1:15" x14ac:dyDescent="0.25">
      <c r="A631" s="4" t="s">
        <v>644</v>
      </c>
      <c r="B631" s="2" t="s">
        <v>3033</v>
      </c>
      <c r="C631" s="2" t="s">
        <v>3874</v>
      </c>
      <c r="D631" s="2" t="s">
        <v>3878</v>
      </c>
      <c r="E631" s="3">
        <v>44937</v>
      </c>
      <c r="F631" s="3">
        <v>45628</v>
      </c>
      <c r="G631" s="2" t="s">
        <v>3884</v>
      </c>
      <c r="H631" s="2">
        <v>939417</v>
      </c>
      <c r="I631" s="2">
        <v>1022300</v>
      </c>
      <c r="J631" s="2" t="s">
        <v>3891</v>
      </c>
      <c r="K631" s="2" t="s">
        <v>3893</v>
      </c>
      <c r="L631" s="2">
        <v>2023</v>
      </c>
      <c r="M631" s="2">
        <v>-82883</v>
      </c>
      <c r="N631" s="2">
        <f xml:space="preserve"> (Table1[[#This Row],[Variance (USD)]] / Table1[[#This Row],[Actual Spending (USD)]]) * 100</f>
        <v>-8.1075026900127156</v>
      </c>
      <c r="O631" s="5" t="s">
        <v>3897</v>
      </c>
    </row>
    <row r="632" spans="1:15" x14ac:dyDescent="0.25">
      <c r="A632" s="4" t="s">
        <v>645</v>
      </c>
      <c r="B632" s="2" t="s">
        <v>3448</v>
      </c>
      <c r="C632" s="2" t="s">
        <v>3869</v>
      </c>
      <c r="D632" s="2" t="s">
        <v>3882</v>
      </c>
      <c r="E632" s="3">
        <v>45546</v>
      </c>
      <c r="F632" s="3">
        <v>45967</v>
      </c>
      <c r="G632" s="2" t="s">
        <v>3884</v>
      </c>
      <c r="H632" s="2">
        <v>94258</v>
      </c>
      <c r="I632" s="2">
        <v>604281</v>
      </c>
      <c r="J632" s="2" t="s">
        <v>3890</v>
      </c>
      <c r="K632" s="2" t="s">
        <v>3895</v>
      </c>
      <c r="L632" s="2">
        <v>2024</v>
      </c>
      <c r="M632" s="2">
        <v>-510023</v>
      </c>
      <c r="N632" s="2">
        <f xml:space="preserve"> (Table1[[#This Row],[Variance (USD)]] / Table1[[#This Row],[Actual Spending (USD)]]) * 100</f>
        <v>-84.401627719554313</v>
      </c>
      <c r="O632" s="5" t="s">
        <v>3897</v>
      </c>
    </row>
    <row r="633" spans="1:15" x14ac:dyDescent="0.25">
      <c r="A633" s="4" t="s">
        <v>646</v>
      </c>
      <c r="B633" s="2" t="s">
        <v>3143</v>
      </c>
      <c r="C633" s="2" t="s">
        <v>3869</v>
      </c>
      <c r="D633" s="2" t="s">
        <v>3880</v>
      </c>
      <c r="E633" s="3">
        <v>44952</v>
      </c>
      <c r="F633" s="3">
        <v>45859</v>
      </c>
      <c r="G633" s="2" t="s">
        <v>3884</v>
      </c>
      <c r="H633" s="2">
        <v>709830</v>
      </c>
      <c r="I633" s="2">
        <v>75706</v>
      </c>
      <c r="J633" s="2" t="s">
        <v>3890</v>
      </c>
      <c r="K633" s="2" t="s">
        <v>3895</v>
      </c>
      <c r="L633" s="2">
        <v>2025</v>
      </c>
      <c r="M633" s="2">
        <v>634124</v>
      </c>
      <c r="N633" s="2">
        <f xml:space="preserve"> (Table1[[#This Row],[Variance (USD)]] / Table1[[#This Row],[Actual Spending (USD)]]) * 100</f>
        <v>837.61392756188422</v>
      </c>
      <c r="O633" s="5" t="s">
        <v>3897</v>
      </c>
    </row>
    <row r="634" spans="1:15" x14ac:dyDescent="0.25">
      <c r="A634" s="4" t="s">
        <v>647</v>
      </c>
      <c r="B634" s="2" t="s">
        <v>3126</v>
      </c>
      <c r="C634" s="2" t="s">
        <v>3873</v>
      </c>
      <c r="D634" s="2" t="s">
        <v>3881</v>
      </c>
      <c r="E634" s="3">
        <v>45347</v>
      </c>
      <c r="F634" s="3">
        <v>45914</v>
      </c>
      <c r="G634" s="2" t="s">
        <v>3884</v>
      </c>
      <c r="H634" s="2">
        <v>989507</v>
      </c>
      <c r="I634" s="2">
        <v>553324</v>
      </c>
      <c r="J634" s="2" t="s">
        <v>3890</v>
      </c>
      <c r="K634" s="2" t="s">
        <v>3895</v>
      </c>
      <c r="L634" s="2">
        <v>2023</v>
      </c>
      <c r="M634" s="2">
        <v>436183</v>
      </c>
      <c r="N634" s="2">
        <f xml:space="preserve"> (Table1[[#This Row],[Variance (USD)]] / Table1[[#This Row],[Actual Spending (USD)]]) * 100</f>
        <v>78.829582667659466</v>
      </c>
      <c r="O634" s="5" t="s">
        <v>3897</v>
      </c>
    </row>
    <row r="635" spans="1:15" x14ac:dyDescent="0.25">
      <c r="A635" s="4" t="s">
        <v>648</v>
      </c>
      <c r="B635" s="2" t="s">
        <v>3449</v>
      </c>
      <c r="C635" s="2" t="s">
        <v>3871</v>
      </c>
      <c r="D635" s="2" t="s">
        <v>3882</v>
      </c>
      <c r="E635" s="3">
        <v>45589</v>
      </c>
      <c r="F635" s="3">
        <v>46021</v>
      </c>
      <c r="G635" s="2" t="s">
        <v>3884</v>
      </c>
      <c r="H635" s="2">
        <v>995075</v>
      </c>
      <c r="I635" s="2">
        <v>538197</v>
      </c>
      <c r="J635" s="2" t="s">
        <v>3890</v>
      </c>
      <c r="K635" s="2" t="s">
        <v>3896</v>
      </c>
      <c r="L635" s="2">
        <v>2025</v>
      </c>
      <c r="M635" s="2">
        <v>456878</v>
      </c>
      <c r="N635" s="2">
        <f xml:space="preserve"> (Table1[[#This Row],[Variance (USD)]] / Table1[[#This Row],[Actual Spending (USD)]]) * 100</f>
        <v>84.890476907154806</v>
      </c>
      <c r="O635" s="5" t="s">
        <v>3897</v>
      </c>
    </row>
    <row r="636" spans="1:15" x14ac:dyDescent="0.25">
      <c r="A636" s="4" t="s">
        <v>649</v>
      </c>
      <c r="B636" s="2" t="s">
        <v>3182</v>
      </c>
      <c r="C636" s="2" t="s">
        <v>3873</v>
      </c>
      <c r="D636" s="2" t="s">
        <v>3881</v>
      </c>
      <c r="E636" s="3">
        <v>45147</v>
      </c>
      <c r="F636" s="3">
        <v>45531</v>
      </c>
      <c r="G636" s="2" t="s">
        <v>3884</v>
      </c>
      <c r="H636" s="2">
        <v>861100</v>
      </c>
      <c r="I636" s="2">
        <v>605087</v>
      </c>
      <c r="J636" s="2" t="s">
        <v>3888</v>
      </c>
      <c r="K636" s="2" t="s">
        <v>3893</v>
      </c>
      <c r="L636" s="2">
        <v>2023</v>
      </c>
      <c r="M636" s="2">
        <v>256013</v>
      </c>
      <c r="N636" s="2">
        <f xml:space="preserve"> (Table1[[#This Row],[Variance (USD)]] / Table1[[#This Row],[Actual Spending (USD)]]) * 100</f>
        <v>42.310114082768266</v>
      </c>
      <c r="O636" s="5" t="s">
        <v>3897</v>
      </c>
    </row>
    <row r="637" spans="1:15" x14ac:dyDescent="0.25">
      <c r="A637" s="4" t="s">
        <v>650</v>
      </c>
      <c r="B637" s="2" t="s">
        <v>3450</v>
      </c>
      <c r="C637" s="2" t="s">
        <v>3875</v>
      </c>
      <c r="D637" s="2" t="s">
        <v>3882</v>
      </c>
      <c r="E637" s="3">
        <v>45422</v>
      </c>
      <c r="F637" s="3">
        <v>45824</v>
      </c>
      <c r="G637" s="2" t="s">
        <v>3884</v>
      </c>
      <c r="H637" s="2">
        <v>389403</v>
      </c>
      <c r="I637" s="2">
        <v>673874</v>
      </c>
      <c r="J637" s="2" t="s">
        <v>3891</v>
      </c>
      <c r="K637" s="2" t="s">
        <v>3894</v>
      </c>
      <c r="L637" s="2">
        <v>2025</v>
      </c>
      <c r="M637" s="2">
        <v>-284471</v>
      </c>
      <c r="N637" s="2">
        <f xml:space="preserve"> (Table1[[#This Row],[Variance (USD)]] / Table1[[#This Row],[Actual Spending (USD)]]) * 100</f>
        <v>-42.214271510697849</v>
      </c>
      <c r="O637" s="5" t="s">
        <v>3897</v>
      </c>
    </row>
    <row r="638" spans="1:15" x14ac:dyDescent="0.25">
      <c r="A638" s="4" t="s">
        <v>651</v>
      </c>
      <c r="B638" s="2" t="s">
        <v>3167</v>
      </c>
      <c r="C638" s="2" t="s">
        <v>3868</v>
      </c>
      <c r="D638" s="2" t="s">
        <v>3881</v>
      </c>
      <c r="E638" s="3">
        <v>45163</v>
      </c>
      <c r="F638" s="3">
        <v>45432</v>
      </c>
      <c r="G638" s="2" t="s">
        <v>3887</v>
      </c>
      <c r="H638" s="2">
        <v>686480</v>
      </c>
      <c r="I638" s="2">
        <v>90964</v>
      </c>
      <c r="J638" s="2" t="s">
        <v>3891</v>
      </c>
      <c r="K638" s="2" t="s">
        <v>3894</v>
      </c>
      <c r="L638" s="2">
        <v>2023</v>
      </c>
      <c r="M638" s="2">
        <v>595516</v>
      </c>
      <c r="N638" s="2">
        <f xml:space="preserve"> (Table1[[#This Row],[Variance (USD)]] / Table1[[#This Row],[Actual Spending (USD)]]) * 100</f>
        <v>654.6721780044852</v>
      </c>
      <c r="O638" s="5" t="s">
        <v>3900</v>
      </c>
    </row>
    <row r="639" spans="1:15" x14ac:dyDescent="0.25">
      <c r="A639" s="4" t="s">
        <v>652</v>
      </c>
      <c r="B639" s="2" t="s">
        <v>3234</v>
      </c>
      <c r="C639" s="2" t="s">
        <v>3870</v>
      </c>
      <c r="D639" s="2" t="s">
        <v>3880</v>
      </c>
      <c r="E639" s="3">
        <v>45163</v>
      </c>
      <c r="F639" s="3">
        <v>45556</v>
      </c>
      <c r="G639" s="2" t="s">
        <v>3884</v>
      </c>
      <c r="H639" s="2">
        <v>408720</v>
      </c>
      <c r="I639" s="2">
        <v>389523</v>
      </c>
      <c r="J639" s="2" t="s">
        <v>3888</v>
      </c>
      <c r="K639" s="2" t="s">
        <v>3893</v>
      </c>
      <c r="L639" s="2">
        <v>2024</v>
      </c>
      <c r="M639" s="2">
        <v>19197</v>
      </c>
      <c r="N639" s="2">
        <f xml:space="preserve"> (Table1[[#This Row],[Variance (USD)]] / Table1[[#This Row],[Actual Spending (USD)]]) * 100</f>
        <v>4.9283354256359697</v>
      </c>
      <c r="O639" s="5" t="s">
        <v>3897</v>
      </c>
    </row>
    <row r="640" spans="1:15" x14ac:dyDescent="0.25">
      <c r="A640" s="4" t="s">
        <v>653</v>
      </c>
      <c r="B640" s="2" t="s">
        <v>3451</v>
      </c>
      <c r="C640" s="2" t="s">
        <v>3872</v>
      </c>
      <c r="D640" s="2" t="s">
        <v>3878</v>
      </c>
      <c r="E640" s="3">
        <v>45145</v>
      </c>
      <c r="F640" s="3">
        <v>45430</v>
      </c>
      <c r="G640" s="2" t="s">
        <v>3885</v>
      </c>
      <c r="H640" s="2">
        <v>679769</v>
      </c>
      <c r="I640" s="2">
        <v>1024727</v>
      </c>
      <c r="J640" s="2" t="s">
        <v>3891</v>
      </c>
      <c r="K640" s="2" t="s">
        <v>3896</v>
      </c>
      <c r="L640" s="2">
        <v>2024</v>
      </c>
      <c r="M640" s="2">
        <v>-344958</v>
      </c>
      <c r="N640" s="2">
        <f xml:space="preserve"> (Table1[[#This Row],[Variance (USD)]] / Table1[[#This Row],[Actual Spending (USD)]]) * 100</f>
        <v>-33.663404984937451</v>
      </c>
      <c r="O640" s="5" t="s">
        <v>3898</v>
      </c>
    </row>
    <row r="641" spans="1:15" x14ac:dyDescent="0.25">
      <c r="A641" s="4" t="s">
        <v>654</v>
      </c>
      <c r="B641" s="2" t="s">
        <v>3452</v>
      </c>
      <c r="C641" s="2" t="s">
        <v>3868</v>
      </c>
      <c r="D641" s="2" t="s">
        <v>3881</v>
      </c>
      <c r="E641" s="3">
        <v>45413</v>
      </c>
      <c r="F641" s="3">
        <v>45750</v>
      </c>
      <c r="G641" s="2" t="s">
        <v>3886</v>
      </c>
      <c r="H641" s="2">
        <v>947937</v>
      </c>
      <c r="I641" s="2">
        <v>558089</v>
      </c>
      <c r="J641" s="2" t="s">
        <v>3890</v>
      </c>
      <c r="K641" s="2" t="s">
        <v>3895</v>
      </c>
      <c r="L641" s="2">
        <v>2024</v>
      </c>
      <c r="M641" s="2">
        <v>389848</v>
      </c>
      <c r="N641" s="2">
        <f xml:space="preserve"> (Table1[[#This Row],[Variance (USD)]] / Table1[[#This Row],[Actual Spending (USD)]]) * 100</f>
        <v>69.854091372523015</v>
      </c>
      <c r="O641" s="5" t="s">
        <v>3899</v>
      </c>
    </row>
    <row r="642" spans="1:15" x14ac:dyDescent="0.25">
      <c r="A642" s="4" t="s">
        <v>655</v>
      </c>
      <c r="B642" s="2" t="s">
        <v>3453</v>
      </c>
      <c r="C642" s="2" t="s">
        <v>3868</v>
      </c>
      <c r="D642" s="2" t="s">
        <v>3881</v>
      </c>
      <c r="E642" s="3">
        <v>45387</v>
      </c>
      <c r="F642" s="3">
        <v>45361</v>
      </c>
      <c r="G642" s="2" t="s">
        <v>3886</v>
      </c>
      <c r="H642" s="2">
        <v>213118</v>
      </c>
      <c r="I642" s="2">
        <v>856576</v>
      </c>
      <c r="J642" s="2" t="s">
        <v>3892</v>
      </c>
      <c r="K642" s="2" t="s">
        <v>3895</v>
      </c>
      <c r="L642" s="2">
        <v>2023</v>
      </c>
      <c r="M642" s="2">
        <v>-643458</v>
      </c>
      <c r="N642" s="2">
        <f xml:space="preserve"> (Table1[[#This Row],[Variance (USD)]] / Table1[[#This Row],[Actual Spending (USD)]]) * 100</f>
        <v>-75.119779213986845</v>
      </c>
      <c r="O642" s="5" t="s">
        <v>3899</v>
      </c>
    </row>
    <row r="643" spans="1:15" x14ac:dyDescent="0.25">
      <c r="A643" s="4" t="s">
        <v>656</v>
      </c>
      <c r="B643" s="2" t="s">
        <v>3454</v>
      </c>
      <c r="C643" s="2" t="s">
        <v>3873</v>
      </c>
      <c r="D643" s="2" t="s">
        <v>3877</v>
      </c>
      <c r="E643" s="3">
        <v>45589</v>
      </c>
      <c r="F643" s="3">
        <v>45676</v>
      </c>
      <c r="G643" s="2" t="s">
        <v>3886</v>
      </c>
      <c r="H643" s="2">
        <v>252049</v>
      </c>
      <c r="I643" s="2">
        <v>695508</v>
      </c>
      <c r="J643" s="2" t="s">
        <v>3891</v>
      </c>
      <c r="K643" s="2" t="s">
        <v>3896</v>
      </c>
      <c r="L643" s="2">
        <v>2025</v>
      </c>
      <c r="M643" s="2">
        <v>-443459</v>
      </c>
      <c r="N643" s="2">
        <f xml:space="preserve"> (Table1[[#This Row],[Variance (USD)]] / Table1[[#This Row],[Actual Spending (USD)]]) * 100</f>
        <v>-63.760445602351091</v>
      </c>
      <c r="O643" s="5" t="s">
        <v>3899</v>
      </c>
    </row>
    <row r="644" spans="1:15" x14ac:dyDescent="0.25">
      <c r="A644" s="4" t="s">
        <v>657</v>
      </c>
      <c r="B644" s="2" t="s">
        <v>3455</v>
      </c>
      <c r="C644" s="2" t="s">
        <v>3872</v>
      </c>
      <c r="D644" s="2" t="s">
        <v>3876</v>
      </c>
      <c r="E644" s="3">
        <v>45561</v>
      </c>
      <c r="F644" s="3">
        <v>45921</v>
      </c>
      <c r="G644" s="2" t="s">
        <v>3885</v>
      </c>
      <c r="H644" s="2">
        <v>821888</v>
      </c>
      <c r="I644" s="2">
        <v>1190940</v>
      </c>
      <c r="J644" s="2" t="s">
        <v>3892</v>
      </c>
      <c r="K644" s="2" t="s">
        <v>3894</v>
      </c>
      <c r="L644" s="2">
        <v>2023</v>
      </c>
      <c r="M644" s="2">
        <v>-369052</v>
      </c>
      <c r="N644" s="2">
        <f xml:space="preserve"> (Table1[[#This Row],[Variance (USD)]] / Table1[[#This Row],[Actual Spending (USD)]]) * 100</f>
        <v>-30.988294960283476</v>
      </c>
      <c r="O644" s="5" t="s">
        <v>3898</v>
      </c>
    </row>
    <row r="645" spans="1:15" x14ac:dyDescent="0.25">
      <c r="A645" s="4" t="s">
        <v>658</v>
      </c>
      <c r="B645" s="2" t="s">
        <v>3456</v>
      </c>
      <c r="C645" s="2" t="s">
        <v>3872</v>
      </c>
      <c r="D645" s="2" t="s">
        <v>3880</v>
      </c>
      <c r="E645" s="3">
        <v>45070</v>
      </c>
      <c r="F645" s="3">
        <v>45489</v>
      </c>
      <c r="G645" s="2" t="s">
        <v>3884</v>
      </c>
      <c r="H645" s="2">
        <v>520471</v>
      </c>
      <c r="I645" s="2">
        <v>899251</v>
      </c>
      <c r="J645" s="2" t="s">
        <v>3892</v>
      </c>
      <c r="K645" s="2" t="s">
        <v>3893</v>
      </c>
      <c r="L645" s="2">
        <v>2024</v>
      </c>
      <c r="M645" s="2">
        <v>-378780</v>
      </c>
      <c r="N645" s="2">
        <f xml:space="preserve"> (Table1[[#This Row],[Variance (USD)]] / Table1[[#This Row],[Actual Spending (USD)]]) * 100</f>
        <v>-42.12172129917009</v>
      </c>
      <c r="O645" s="5" t="s">
        <v>3897</v>
      </c>
    </row>
    <row r="646" spans="1:15" x14ac:dyDescent="0.25">
      <c r="A646" s="4" t="s">
        <v>659</v>
      </c>
      <c r="B646" s="2" t="s">
        <v>3104</v>
      </c>
      <c r="C646" s="2" t="s">
        <v>3872</v>
      </c>
      <c r="D646" s="2" t="s">
        <v>3882</v>
      </c>
      <c r="E646" s="3">
        <v>45115</v>
      </c>
      <c r="F646" s="3">
        <v>45496</v>
      </c>
      <c r="G646" s="2" t="s">
        <v>3884</v>
      </c>
      <c r="H646" s="2">
        <v>55397</v>
      </c>
      <c r="I646" s="2">
        <v>705221</v>
      </c>
      <c r="J646" s="2" t="s">
        <v>3888</v>
      </c>
      <c r="K646" s="2" t="s">
        <v>3893</v>
      </c>
      <c r="L646" s="2">
        <v>2023</v>
      </c>
      <c r="M646" s="2">
        <v>-649824</v>
      </c>
      <c r="N646" s="2">
        <f xml:space="preserve"> (Table1[[#This Row],[Variance (USD)]] / Table1[[#This Row],[Actual Spending (USD)]]) * 100</f>
        <v>-92.144731935095521</v>
      </c>
      <c r="O646" s="5" t="s">
        <v>3897</v>
      </c>
    </row>
    <row r="647" spans="1:15" x14ac:dyDescent="0.25">
      <c r="A647" s="4" t="s">
        <v>660</v>
      </c>
      <c r="B647" s="2" t="s">
        <v>3430</v>
      </c>
      <c r="C647" s="2" t="s">
        <v>3873</v>
      </c>
      <c r="D647" s="2" t="s">
        <v>3880</v>
      </c>
      <c r="E647" s="3">
        <v>45181</v>
      </c>
      <c r="F647" s="3">
        <v>46017</v>
      </c>
      <c r="G647" s="2" t="s">
        <v>3886</v>
      </c>
      <c r="H647" s="2">
        <v>936357</v>
      </c>
      <c r="I647" s="2">
        <v>484933</v>
      </c>
      <c r="J647" s="2" t="s">
        <v>3889</v>
      </c>
      <c r="K647" s="2" t="s">
        <v>3896</v>
      </c>
      <c r="L647" s="2">
        <v>2025</v>
      </c>
      <c r="M647" s="2">
        <v>451424</v>
      </c>
      <c r="N647" s="2">
        <f xml:space="preserve"> (Table1[[#This Row],[Variance (USD)]] / Table1[[#This Row],[Actual Spending (USD)]]) * 100</f>
        <v>93.089973254037147</v>
      </c>
      <c r="O647" s="5" t="s">
        <v>3899</v>
      </c>
    </row>
    <row r="648" spans="1:15" x14ac:dyDescent="0.25">
      <c r="A648" s="4" t="s">
        <v>661</v>
      </c>
      <c r="B648" s="2" t="s">
        <v>3457</v>
      </c>
      <c r="C648" s="2" t="s">
        <v>3868</v>
      </c>
      <c r="D648" s="2" t="s">
        <v>3883</v>
      </c>
      <c r="E648" s="3">
        <v>44994</v>
      </c>
      <c r="F648" s="3">
        <v>45859</v>
      </c>
      <c r="G648" s="2" t="s">
        <v>3886</v>
      </c>
      <c r="H648" s="2">
        <v>657769</v>
      </c>
      <c r="I648" s="2">
        <v>48637</v>
      </c>
      <c r="J648" s="2" t="s">
        <v>3891</v>
      </c>
      <c r="K648" s="2" t="s">
        <v>3895</v>
      </c>
      <c r="L648" s="2">
        <v>2024</v>
      </c>
      <c r="M648" s="2">
        <v>609132</v>
      </c>
      <c r="N648" s="2">
        <f xml:space="preserve"> (Table1[[#This Row],[Variance (USD)]] / Table1[[#This Row],[Actual Spending (USD)]]) * 100</f>
        <v>1252.404547977877</v>
      </c>
      <c r="O648" s="5" t="s">
        <v>3899</v>
      </c>
    </row>
    <row r="649" spans="1:15" x14ac:dyDescent="0.25">
      <c r="A649" s="4" t="s">
        <v>662</v>
      </c>
      <c r="B649" s="2" t="s">
        <v>3458</v>
      </c>
      <c r="C649" s="2" t="s">
        <v>3873</v>
      </c>
      <c r="D649" s="2" t="s">
        <v>3882</v>
      </c>
      <c r="E649" s="3">
        <v>45542</v>
      </c>
      <c r="F649" s="3">
        <v>45978</v>
      </c>
      <c r="G649" s="2" t="s">
        <v>3885</v>
      </c>
      <c r="H649" s="2">
        <v>203305</v>
      </c>
      <c r="I649" s="2">
        <v>654225</v>
      </c>
      <c r="J649" s="2" t="s">
        <v>3888</v>
      </c>
      <c r="K649" s="2" t="s">
        <v>3895</v>
      </c>
      <c r="L649" s="2">
        <v>2023</v>
      </c>
      <c r="M649" s="2">
        <v>-450920</v>
      </c>
      <c r="N649" s="2">
        <f xml:space="preserve"> (Table1[[#This Row],[Variance (USD)]] / Table1[[#This Row],[Actual Spending (USD)]]) * 100</f>
        <v>-68.924299743971872</v>
      </c>
      <c r="O649" s="5" t="s">
        <v>3898</v>
      </c>
    </row>
    <row r="650" spans="1:15" x14ac:dyDescent="0.25">
      <c r="A650" s="4" t="s">
        <v>663</v>
      </c>
      <c r="B650" s="2" t="s">
        <v>3342</v>
      </c>
      <c r="C650" s="2" t="s">
        <v>3869</v>
      </c>
      <c r="D650" s="2" t="s">
        <v>3880</v>
      </c>
      <c r="E650" s="3">
        <v>45262</v>
      </c>
      <c r="F650" s="3">
        <v>45931</v>
      </c>
      <c r="G650" s="2" t="s">
        <v>3884</v>
      </c>
      <c r="H650" s="2">
        <v>526552</v>
      </c>
      <c r="I650" s="2">
        <v>1036425</v>
      </c>
      <c r="J650" s="2" t="s">
        <v>3888</v>
      </c>
      <c r="K650" s="2" t="s">
        <v>3895</v>
      </c>
      <c r="L650" s="2">
        <v>2025</v>
      </c>
      <c r="M650" s="2">
        <v>-509873</v>
      </c>
      <c r="N650" s="2">
        <f xml:space="preserve"> (Table1[[#This Row],[Variance (USD)]] / Table1[[#This Row],[Actual Spending (USD)]]) * 100</f>
        <v>-49.195359046723105</v>
      </c>
      <c r="O650" s="5" t="s">
        <v>3897</v>
      </c>
    </row>
    <row r="651" spans="1:15" x14ac:dyDescent="0.25">
      <c r="A651" s="4" t="s">
        <v>664</v>
      </c>
      <c r="B651" s="2" t="s">
        <v>3340</v>
      </c>
      <c r="C651" s="2" t="s">
        <v>3869</v>
      </c>
      <c r="D651" s="2" t="s">
        <v>3878</v>
      </c>
      <c r="E651" s="3">
        <v>45597</v>
      </c>
      <c r="F651" s="3">
        <v>45722</v>
      </c>
      <c r="G651" s="2" t="s">
        <v>3886</v>
      </c>
      <c r="H651" s="2">
        <v>372452</v>
      </c>
      <c r="I651" s="2">
        <v>348316</v>
      </c>
      <c r="J651" s="2" t="s">
        <v>3892</v>
      </c>
      <c r="K651" s="2" t="s">
        <v>3893</v>
      </c>
      <c r="L651" s="2">
        <v>2024</v>
      </c>
      <c r="M651" s="2">
        <v>24136</v>
      </c>
      <c r="N651" s="2">
        <f xml:space="preserve"> (Table1[[#This Row],[Variance (USD)]] / Table1[[#This Row],[Actual Spending (USD)]]) * 100</f>
        <v>6.9293400245753851</v>
      </c>
      <c r="O651" s="5" t="s">
        <v>3899</v>
      </c>
    </row>
    <row r="652" spans="1:15" x14ac:dyDescent="0.25">
      <c r="A652" s="4" t="s">
        <v>665</v>
      </c>
      <c r="B652" s="2" t="s">
        <v>3082</v>
      </c>
      <c r="C652" s="2" t="s">
        <v>3873</v>
      </c>
      <c r="D652" s="2" t="s">
        <v>3882</v>
      </c>
      <c r="E652" s="3">
        <v>45335</v>
      </c>
      <c r="F652" s="3">
        <v>45616</v>
      </c>
      <c r="G652" s="2" t="s">
        <v>3884</v>
      </c>
      <c r="H652" s="2">
        <v>250798</v>
      </c>
      <c r="I652" s="2">
        <v>1104013</v>
      </c>
      <c r="J652" s="2" t="s">
        <v>3891</v>
      </c>
      <c r="K652" s="2" t="s">
        <v>3894</v>
      </c>
      <c r="L652" s="2">
        <v>2025</v>
      </c>
      <c r="M652" s="2">
        <v>-853215</v>
      </c>
      <c r="N652" s="2">
        <f xml:space="preserve"> (Table1[[#This Row],[Variance (USD)]] / Table1[[#This Row],[Actual Spending (USD)]]) * 100</f>
        <v>-77.283057355302887</v>
      </c>
      <c r="O652" s="5" t="s">
        <v>3897</v>
      </c>
    </row>
    <row r="653" spans="1:15" x14ac:dyDescent="0.25">
      <c r="A653" s="4" t="s">
        <v>666</v>
      </c>
      <c r="B653" s="2" t="s">
        <v>3049</v>
      </c>
      <c r="C653" s="2" t="s">
        <v>3872</v>
      </c>
      <c r="D653" s="2" t="s">
        <v>3882</v>
      </c>
      <c r="E653" s="3">
        <v>45226</v>
      </c>
      <c r="F653" s="3">
        <v>45733</v>
      </c>
      <c r="G653" s="2" t="s">
        <v>3884</v>
      </c>
      <c r="H653" s="2">
        <v>506435</v>
      </c>
      <c r="I653" s="2">
        <v>526221</v>
      </c>
      <c r="J653" s="2" t="s">
        <v>3888</v>
      </c>
      <c r="K653" s="2" t="s">
        <v>3893</v>
      </c>
      <c r="L653" s="2">
        <v>2025</v>
      </c>
      <c r="M653" s="2">
        <v>-19786</v>
      </c>
      <c r="N653" s="2">
        <f xml:space="preserve"> (Table1[[#This Row],[Variance (USD)]] / Table1[[#This Row],[Actual Spending (USD)]]) * 100</f>
        <v>-3.7600171790939552</v>
      </c>
      <c r="O653" s="5" t="s">
        <v>3897</v>
      </c>
    </row>
    <row r="654" spans="1:15" x14ac:dyDescent="0.25">
      <c r="A654" s="4" t="s">
        <v>667</v>
      </c>
      <c r="B654" s="2" t="s">
        <v>3140</v>
      </c>
      <c r="C654" s="2" t="s">
        <v>3874</v>
      </c>
      <c r="D654" s="2" t="s">
        <v>3880</v>
      </c>
      <c r="E654" s="3">
        <v>45528</v>
      </c>
      <c r="F654" s="3">
        <v>45579</v>
      </c>
      <c r="G654" s="2" t="s">
        <v>3884</v>
      </c>
      <c r="H654" s="2">
        <v>546574</v>
      </c>
      <c r="I654" s="2">
        <v>53119</v>
      </c>
      <c r="J654" s="2" t="s">
        <v>3890</v>
      </c>
      <c r="K654" s="2" t="s">
        <v>3896</v>
      </c>
      <c r="L654" s="2">
        <v>2024</v>
      </c>
      <c r="M654" s="2">
        <v>493455</v>
      </c>
      <c r="N654" s="2">
        <f xml:space="preserve"> (Table1[[#This Row],[Variance (USD)]] / Table1[[#This Row],[Actual Spending (USD)]]) * 100</f>
        <v>928.96138858035738</v>
      </c>
      <c r="O654" s="5" t="s">
        <v>3897</v>
      </c>
    </row>
    <row r="655" spans="1:15" x14ac:dyDescent="0.25">
      <c r="A655" s="4" t="s">
        <v>668</v>
      </c>
      <c r="B655" s="2" t="s">
        <v>3459</v>
      </c>
      <c r="C655" s="2" t="s">
        <v>3868</v>
      </c>
      <c r="D655" s="2" t="s">
        <v>3882</v>
      </c>
      <c r="E655" s="3">
        <v>45283</v>
      </c>
      <c r="F655" s="3">
        <v>45517</v>
      </c>
      <c r="G655" s="2" t="s">
        <v>3886</v>
      </c>
      <c r="H655" s="2">
        <v>575418</v>
      </c>
      <c r="I655" s="2">
        <v>731477</v>
      </c>
      <c r="J655" s="2" t="s">
        <v>3888</v>
      </c>
      <c r="K655" s="2" t="s">
        <v>3893</v>
      </c>
      <c r="L655" s="2">
        <v>2023</v>
      </c>
      <c r="M655" s="2">
        <v>-156059</v>
      </c>
      <c r="N655" s="2">
        <f xml:space="preserve"> (Table1[[#This Row],[Variance (USD)]] / Table1[[#This Row],[Actual Spending (USD)]]) * 100</f>
        <v>-21.334778810543597</v>
      </c>
      <c r="O655" s="5" t="s">
        <v>3899</v>
      </c>
    </row>
    <row r="656" spans="1:15" x14ac:dyDescent="0.25">
      <c r="A656" s="4" t="s">
        <v>669</v>
      </c>
      <c r="B656" s="2" t="s">
        <v>3090</v>
      </c>
      <c r="C656" s="2" t="s">
        <v>3873</v>
      </c>
      <c r="D656" s="2" t="s">
        <v>3877</v>
      </c>
      <c r="E656" s="3">
        <v>45182</v>
      </c>
      <c r="F656" s="3">
        <v>45355</v>
      </c>
      <c r="G656" s="2" t="s">
        <v>3885</v>
      </c>
      <c r="H656" s="2">
        <v>698581</v>
      </c>
      <c r="I656" s="2">
        <v>260882</v>
      </c>
      <c r="J656" s="2" t="s">
        <v>3890</v>
      </c>
      <c r="K656" s="2" t="s">
        <v>3896</v>
      </c>
      <c r="L656" s="2">
        <v>2023</v>
      </c>
      <c r="M656" s="2">
        <v>437699</v>
      </c>
      <c r="N656" s="2">
        <f xml:space="preserve"> (Table1[[#This Row],[Variance (USD)]] / Table1[[#This Row],[Actual Spending (USD)]]) * 100</f>
        <v>167.77661931447935</v>
      </c>
      <c r="O656" s="5" t="s">
        <v>3898</v>
      </c>
    </row>
    <row r="657" spans="1:15" x14ac:dyDescent="0.25">
      <c r="A657" s="4" t="s">
        <v>670</v>
      </c>
      <c r="B657" s="2" t="s">
        <v>3112</v>
      </c>
      <c r="C657" s="2" t="s">
        <v>3873</v>
      </c>
      <c r="D657" s="2" t="s">
        <v>3876</v>
      </c>
      <c r="E657" s="3">
        <v>45279</v>
      </c>
      <c r="F657" s="3">
        <v>45851</v>
      </c>
      <c r="G657" s="2" t="s">
        <v>3884</v>
      </c>
      <c r="H657" s="2">
        <v>588359</v>
      </c>
      <c r="I657" s="2">
        <v>506113</v>
      </c>
      <c r="J657" s="2" t="s">
        <v>3889</v>
      </c>
      <c r="K657" s="2" t="s">
        <v>3893</v>
      </c>
      <c r="L657" s="2">
        <v>2023</v>
      </c>
      <c r="M657" s="2">
        <v>82246</v>
      </c>
      <c r="N657" s="2">
        <f xml:space="preserve"> (Table1[[#This Row],[Variance (USD)]] / Table1[[#This Row],[Actual Spending (USD)]]) * 100</f>
        <v>16.250521128680752</v>
      </c>
      <c r="O657" s="5" t="s">
        <v>3897</v>
      </c>
    </row>
    <row r="658" spans="1:15" x14ac:dyDescent="0.25">
      <c r="A658" s="4" t="s">
        <v>671</v>
      </c>
      <c r="B658" s="2" t="s">
        <v>3460</v>
      </c>
      <c r="C658" s="2" t="s">
        <v>3873</v>
      </c>
      <c r="D658" s="2" t="s">
        <v>3882</v>
      </c>
      <c r="E658" s="3">
        <v>45447</v>
      </c>
      <c r="F658" s="3">
        <v>46005</v>
      </c>
      <c r="G658" s="2" t="s">
        <v>3885</v>
      </c>
      <c r="H658" s="2">
        <v>921949</v>
      </c>
      <c r="I658" s="2">
        <v>1096777</v>
      </c>
      <c r="J658" s="2" t="s">
        <v>3890</v>
      </c>
      <c r="K658" s="2" t="s">
        <v>3894</v>
      </c>
      <c r="L658" s="2">
        <v>2023</v>
      </c>
      <c r="M658" s="2">
        <v>-174828</v>
      </c>
      <c r="N658" s="2">
        <f xml:space="preserve"> (Table1[[#This Row],[Variance (USD)]] / Table1[[#This Row],[Actual Spending (USD)]]) * 100</f>
        <v>-15.940159211945545</v>
      </c>
      <c r="O658" s="5" t="s">
        <v>3898</v>
      </c>
    </row>
    <row r="659" spans="1:15" x14ac:dyDescent="0.25">
      <c r="A659" s="4" t="s">
        <v>672</v>
      </c>
      <c r="B659" s="2" t="s">
        <v>3461</v>
      </c>
      <c r="C659" s="2" t="s">
        <v>3874</v>
      </c>
      <c r="D659" s="2" t="s">
        <v>3876</v>
      </c>
      <c r="E659" s="3">
        <v>45450</v>
      </c>
      <c r="F659" s="3">
        <v>45789</v>
      </c>
      <c r="G659" s="2" t="s">
        <v>3884</v>
      </c>
      <c r="H659" s="2">
        <v>422384</v>
      </c>
      <c r="I659" s="2">
        <v>58634</v>
      </c>
      <c r="J659" s="2" t="s">
        <v>3890</v>
      </c>
      <c r="K659" s="2" t="s">
        <v>3896</v>
      </c>
      <c r="L659" s="2">
        <v>2025</v>
      </c>
      <c r="M659" s="2">
        <v>363750</v>
      </c>
      <c r="N659" s="2">
        <f xml:space="preserve"> (Table1[[#This Row],[Variance (USD)]] / Table1[[#This Row],[Actual Spending (USD)]]) * 100</f>
        <v>620.37384452706613</v>
      </c>
      <c r="O659" s="5" t="s">
        <v>3897</v>
      </c>
    </row>
    <row r="660" spans="1:15" x14ac:dyDescent="0.25">
      <c r="A660" s="4" t="s">
        <v>673</v>
      </c>
      <c r="B660" s="2" t="s">
        <v>3089</v>
      </c>
      <c r="C660" s="2" t="s">
        <v>3874</v>
      </c>
      <c r="D660" s="2" t="s">
        <v>3880</v>
      </c>
      <c r="E660" s="3">
        <v>45620</v>
      </c>
      <c r="F660" s="3">
        <v>45351</v>
      </c>
      <c r="G660" s="2" t="s">
        <v>3884</v>
      </c>
      <c r="H660" s="2">
        <v>576406</v>
      </c>
      <c r="I660" s="2">
        <v>434042</v>
      </c>
      <c r="J660" s="2" t="s">
        <v>3892</v>
      </c>
      <c r="K660" s="2" t="s">
        <v>3895</v>
      </c>
      <c r="L660" s="2">
        <v>2023</v>
      </c>
      <c r="M660" s="2">
        <v>142364</v>
      </c>
      <c r="N660" s="2">
        <f xml:space="preserve"> (Table1[[#This Row],[Variance (USD)]] / Table1[[#This Row],[Actual Spending (USD)]]) * 100</f>
        <v>32.799590823007911</v>
      </c>
      <c r="O660" s="5" t="s">
        <v>3897</v>
      </c>
    </row>
    <row r="661" spans="1:15" x14ac:dyDescent="0.25">
      <c r="A661" s="4" t="s">
        <v>674</v>
      </c>
      <c r="B661" s="2" t="s">
        <v>3462</v>
      </c>
      <c r="C661" s="2" t="s">
        <v>3875</v>
      </c>
      <c r="D661" s="2" t="s">
        <v>3881</v>
      </c>
      <c r="E661" s="3">
        <v>45210</v>
      </c>
      <c r="F661" s="3">
        <v>45688</v>
      </c>
      <c r="G661" s="2" t="s">
        <v>3884</v>
      </c>
      <c r="H661" s="2">
        <v>706023</v>
      </c>
      <c r="I661" s="2">
        <v>535341</v>
      </c>
      <c r="J661" s="2" t="s">
        <v>3888</v>
      </c>
      <c r="K661" s="2" t="s">
        <v>3895</v>
      </c>
      <c r="L661" s="2">
        <v>2023</v>
      </c>
      <c r="M661" s="2">
        <v>170682</v>
      </c>
      <c r="N661" s="2">
        <f xml:space="preserve"> (Table1[[#This Row],[Variance (USD)]] / Table1[[#This Row],[Actual Spending (USD)]]) * 100</f>
        <v>31.882855974042712</v>
      </c>
      <c r="O661" s="5" t="s">
        <v>3897</v>
      </c>
    </row>
    <row r="662" spans="1:15" x14ac:dyDescent="0.25">
      <c r="A662" s="4" t="s">
        <v>675</v>
      </c>
      <c r="B662" s="2" t="s">
        <v>3463</v>
      </c>
      <c r="C662" s="2" t="s">
        <v>3869</v>
      </c>
      <c r="D662" s="2" t="s">
        <v>3879</v>
      </c>
      <c r="E662" s="3">
        <v>45238</v>
      </c>
      <c r="F662" s="3">
        <v>45548</v>
      </c>
      <c r="G662" s="2" t="s">
        <v>3884</v>
      </c>
      <c r="H662" s="2">
        <v>112408</v>
      </c>
      <c r="I662" s="2">
        <v>337919</v>
      </c>
      <c r="J662" s="2" t="s">
        <v>3889</v>
      </c>
      <c r="K662" s="2" t="s">
        <v>3893</v>
      </c>
      <c r="L662" s="2">
        <v>2025</v>
      </c>
      <c r="M662" s="2">
        <v>-225511</v>
      </c>
      <c r="N662" s="2">
        <f xml:space="preserve"> (Table1[[#This Row],[Variance (USD)]] / Table1[[#This Row],[Actual Spending (USD)]]) * 100</f>
        <v>-66.735223529899173</v>
      </c>
      <c r="O662" s="5" t="s">
        <v>3897</v>
      </c>
    </row>
    <row r="663" spans="1:15" x14ac:dyDescent="0.25">
      <c r="A663" s="4" t="s">
        <v>676</v>
      </c>
      <c r="B663" s="2" t="s">
        <v>3464</v>
      </c>
      <c r="C663" s="2" t="s">
        <v>3870</v>
      </c>
      <c r="D663" s="2" t="s">
        <v>3879</v>
      </c>
      <c r="E663" s="3">
        <v>45025</v>
      </c>
      <c r="F663" s="3">
        <v>45868</v>
      </c>
      <c r="G663" s="2" t="s">
        <v>3884</v>
      </c>
      <c r="H663" s="2">
        <v>101786</v>
      </c>
      <c r="I663" s="2">
        <v>144090</v>
      </c>
      <c r="J663" s="2" t="s">
        <v>3888</v>
      </c>
      <c r="K663" s="2" t="s">
        <v>3893</v>
      </c>
      <c r="L663" s="2">
        <v>2025</v>
      </c>
      <c r="M663" s="2">
        <v>-42304</v>
      </c>
      <c r="N663" s="2">
        <f xml:space="preserve"> (Table1[[#This Row],[Variance (USD)]] / Table1[[#This Row],[Actual Spending (USD)]]) * 100</f>
        <v>-29.359428135193284</v>
      </c>
      <c r="O663" s="5" t="s">
        <v>3897</v>
      </c>
    </row>
    <row r="664" spans="1:15" x14ac:dyDescent="0.25">
      <c r="A664" s="4" t="s">
        <v>677</v>
      </c>
      <c r="B664" s="2" t="s">
        <v>3465</v>
      </c>
      <c r="C664" s="2" t="s">
        <v>3872</v>
      </c>
      <c r="D664" s="2" t="s">
        <v>3881</v>
      </c>
      <c r="E664" s="3">
        <v>45123</v>
      </c>
      <c r="F664" s="3">
        <v>45530</v>
      </c>
      <c r="G664" s="2" t="s">
        <v>3884</v>
      </c>
      <c r="H664" s="2">
        <v>655559</v>
      </c>
      <c r="I664" s="2">
        <v>1085374</v>
      </c>
      <c r="J664" s="2" t="s">
        <v>3890</v>
      </c>
      <c r="K664" s="2" t="s">
        <v>3894</v>
      </c>
      <c r="L664" s="2">
        <v>2024</v>
      </c>
      <c r="M664" s="2">
        <v>-429815</v>
      </c>
      <c r="N664" s="2">
        <f xml:space="preserve"> (Table1[[#This Row],[Variance (USD)]] / Table1[[#This Row],[Actual Spending (USD)]]) * 100</f>
        <v>-39.600635357029006</v>
      </c>
      <c r="O664" s="5" t="s">
        <v>3897</v>
      </c>
    </row>
    <row r="665" spans="1:15" x14ac:dyDescent="0.25">
      <c r="A665" s="4" t="s">
        <v>678</v>
      </c>
      <c r="B665" s="2" t="s">
        <v>3466</v>
      </c>
      <c r="C665" s="2" t="s">
        <v>3871</v>
      </c>
      <c r="D665" s="2" t="s">
        <v>3881</v>
      </c>
      <c r="E665" s="3">
        <v>45408</v>
      </c>
      <c r="F665" s="3">
        <v>45329</v>
      </c>
      <c r="G665" s="2" t="s">
        <v>3886</v>
      </c>
      <c r="H665" s="2">
        <v>69158</v>
      </c>
      <c r="I665" s="2">
        <v>538377</v>
      </c>
      <c r="J665" s="2" t="s">
        <v>3890</v>
      </c>
      <c r="K665" s="2" t="s">
        <v>3894</v>
      </c>
      <c r="L665" s="2">
        <v>2025</v>
      </c>
      <c r="M665" s="2">
        <v>-469219</v>
      </c>
      <c r="N665" s="2">
        <f xml:space="preserve"> (Table1[[#This Row],[Variance (USD)]] / Table1[[#This Row],[Actual Spending (USD)]]) * 100</f>
        <v>-87.154354662253397</v>
      </c>
      <c r="O665" s="5" t="s">
        <v>3899</v>
      </c>
    </row>
    <row r="666" spans="1:15" x14ac:dyDescent="0.25">
      <c r="A666" s="4" t="s">
        <v>679</v>
      </c>
      <c r="B666" s="2" t="s">
        <v>3391</v>
      </c>
      <c r="C666" s="2" t="s">
        <v>3874</v>
      </c>
      <c r="D666" s="2" t="s">
        <v>3881</v>
      </c>
      <c r="E666" s="3">
        <v>45152</v>
      </c>
      <c r="F666" s="3">
        <v>45316</v>
      </c>
      <c r="G666" s="2" t="s">
        <v>3886</v>
      </c>
      <c r="H666" s="2">
        <v>867519</v>
      </c>
      <c r="I666" s="2">
        <v>489319</v>
      </c>
      <c r="J666" s="2" t="s">
        <v>3888</v>
      </c>
      <c r="K666" s="2" t="s">
        <v>3895</v>
      </c>
      <c r="L666" s="2">
        <v>2024</v>
      </c>
      <c r="M666" s="2">
        <v>378200</v>
      </c>
      <c r="N666" s="2">
        <f xml:space="preserve"> (Table1[[#This Row],[Variance (USD)]] / Table1[[#This Row],[Actual Spending (USD)]]) * 100</f>
        <v>77.291092314011919</v>
      </c>
      <c r="O666" s="5" t="s">
        <v>3899</v>
      </c>
    </row>
    <row r="667" spans="1:15" x14ac:dyDescent="0.25">
      <c r="A667" s="4" t="s">
        <v>680</v>
      </c>
      <c r="B667" s="2" t="s">
        <v>3467</v>
      </c>
      <c r="C667" s="2" t="s">
        <v>3870</v>
      </c>
      <c r="D667" s="2" t="s">
        <v>3878</v>
      </c>
      <c r="E667" s="3">
        <v>45541</v>
      </c>
      <c r="F667" s="3">
        <v>45701</v>
      </c>
      <c r="G667" s="2" t="s">
        <v>3884</v>
      </c>
      <c r="H667" s="2">
        <v>138114</v>
      </c>
      <c r="I667" s="2">
        <v>1156327</v>
      </c>
      <c r="J667" s="2" t="s">
        <v>3889</v>
      </c>
      <c r="K667" s="2" t="s">
        <v>3893</v>
      </c>
      <c r="L667" s="2">
        <v>2024</v>
      </c>
      <c r="M667" s="2">
        <v>-1018213</v>
      </c>
      <c r="N667" s="2">
        <f xml:space="preserve"> (Table1[[#This Row],[Variance (USD)]] / Table1[[#This Row],[Actual Spending (USD)]]) * 100</f>
        <v>-88.055800824507259</v>
      </c>
      <c r="O667" s="5" t="s">
        <v>3897</v>
      </c>
    </row>
    <row r="668" spans="1:15" x14ac:dyDescent="0.25">
      <c r="A668" s="4" t="s">
        <v>681</v>
      </c>
      <c r="B668" s="2" t="s">
        <v>3468</v>
      </c>
      <c r="C668" s="2" t="s">
        <v>3874</v>
      </c>
      <c r="D668" s="2" t="s">
        <v>3879</v>
      </c>
      <c r="E668" s="3">
        <v>45544</v>
      </c>
      <c r="F668" s="3">
        <v>45752</v>
      </c>
      <c r="G668" s="2" t="s">
        <v>3884</v>
      </c>
      <c r="H668" s="2">
        <v>758481</v>
      </c>
      <c r="I668" s="2">
        <v>1021006</v>
      </c>
      <c r="J668" s="2" t="s">
        <v>3889</v>
      </c>
      <c r="K668" s="2" t="s">
        <v>3896</v>
      </c>
      <c r="L668" s="2">
        <v>2023</v>
      </c>
      <c r="M668" s="2">
        <v>-262525</v>
      </c>
      <c r="N668" s="2">
        <f xml:space="preserve"> (Table1[[#This Row],[Variance (USD)]] / Table1[[#This Row],[Actual Spending (USD)]]) * 100</f>
        <v>-25.712385627508556</v>
      </c>
      <c r="O668" s="5" t="s">
        <v>3897</v>
      </c>
    </row>
    <row r="669" spans="1:15" x14ac:dyDescent="0.25">
      <c r="A669" s="4" t="s">
        <v>682</v>
      </c>
      <c r="B669" s="2" t="s">
        <v>3353</v>
      </c>
      <c r="C669" s="2" t="s">
        <v>3872</v>
      </c>
      <c r="D669" s="2" t="s">
        <v>3881</v>
      </c>
      <c r="E669" s="3">
        <v>45291</v>
      </c>
      <c r="F669" s="3">
        <v>45862</v>
      </c>
      <c r="G669" s="2" t="s">
        <v>3884</v>
      </c>
      <c r="H669" s="2">
        <v>571358</v>
      </c>
      <c r="I669" s="2">
        <v>212482</v>
      </c>
      <c r="J669" s="2" t="s">
        <v>3892</v>
      </c>
      <c r="K669" s="2" t="s">
        <v>3894</v>
      </c>
      <c r="L669" s="2">
        <v>2023</v>
      </c>
      <c r="M669" s="2">
        <v>358876</v>
      </c>
      <c r="N669" s="2">
        <f xml:space="preserve"> (Table1[[#This Row],[Variance (USD)]] / Table1[[#This Row],[Actual Spending (USD)]]) * 100</f>
        <v>168.8971301098446</v>
      </c>
      <c r="O669" s="5" t="s">
        <v>3897</v>
      </c>
    </row>
    <row r="670" spans="1:15" x14ac:dyDescent="0.25">
      <c r="A670" s="4" t="s">
        <v>683</v>
      </c>
      <c r="B670" s="2" t="s">
        <v>3127</v>
      </c>
      <c r="C670" s="2" t="s">
        <v>3871</v>
      </c>
      <c r="D670" s="2" t="s">
        <v>3878</v>
      </c>
      <c r="E670" s="3">
        <v>45294</v>
      </c>
      <c r="F670" s="3">
        <v>45708</v>
      </c>
      <c r="G670" s="2" t="s">
        <v>3884</v>
      </c>
      <c r="H670" s="2">
        <v>594162</v>
      </c>
      <c r="I670" s="2">
        <v>401784</v>
      </c>
      <c r="J670" s="2" t="s">
        <v>3890</v>
      </c>
      <c r="K670" s="2" t="s">
        <v>3896</v>
      </c>
      <c r="L670" s="2">
        <v>2023</v>
      </c>
      <c r="M670" s="2">
        <v>192378</v>
      </c>
      <c r="N670" s="2">
        <f xml:space="preserve"> (Table1[[#This Row],[Variance (USD)]] / Table1[[#This Row],[Actual Spending (USD)]]) * 100</f>
        <v>47.880950958724085</v>
      </c>
      <c r="O670" s="5" t="s">
        <v>3897</v>
      </c>
    </row>
    <row r="671" spans="1:15" x14ac:dyDescent="0.25">
      <c r="A671" s="4" t="s">
        <v>684</v>
      </c>
      <c r="B671" s="2" t="s">
        <v>3469</v>
      </c>
      <c r="C671" s="2" t="s">
        <v>3875</v>
      </c>
      <c r="D671" s="2" t="s">
        <v>3883</v>
      </c>
      <c r="E671" s="3">
        <v>45496</v>
      </c>
      <c r="F671" s="3">
        <v>45648</v>
      </c>
      <c r="G671" s="2" t="s">
        <v>3884</v>
      </c>
      <c r="H671" s="2">
        <v>289139</v>
      </c>
      <c r="I671" s="2">
        <v>394758</v>
      </c>
      <c r="J671" s="2" t="s">
        <v>3890</v>
      </c>
      <c r="K671" s="2" t="s">
        <v>3896</v>
      </c>
      <c r="L671" s="2">
        <v>2025</v>
      </c>
      <c r="M671" s="2">
        <v>-105619</v>
      </c>
      <c r="N671" s="2">
        <f xml:space="preserve"> (Table1[[#This Row],[Variance (USD)]] / Table1[[#This Row],[Actual Spending (USD)]]) * 100</f>
        <v>-26.755379245005802</v>
      </c>
      <c r="O671" s="5" t="s">
        <v>3897</v>
      </c>
    </row>
    <row r="672" spans="1:15" x14ac:dyDescent="0.25">
      <c r="A672" s="4" t="s">
        <v>685</v>
      </c>
      <c r="B672" s="2" t="s">
        <v>3470</v>
      </c>
      <c r="C672" s="2" t="s">
        <v>3873</v>
      </c>
      <c r="D672" s="2" t="s">
        <v>3882</v>
      </c>
      <c r="E672" s="3">
        <v>45516</v>
      </c>
      <c r="F672" s="3">
        <v>45674</v>
      </c>
      <c r="G672" s="2" t="s">
        <v>3884</v>
      </c>
      <c r="H672" s="2">
        <v>919875</v>
      </c>
      <c r="I672" s="2">
        <v>1124531</v>
      </c>
      <c r="J672" s="2" t="s">
        <v>3892</v>
      </c>
      <c r="K672" s="2" t="s">
        <v>3894</v>
      </c>
      <c r="L672" s="2">
        <v>2025</v>
      </c>
      <c r="M672" s="2">
        <v>-204656</v>
      </c>
      <c r="N672" s="2">
        <f xml:space="preserve"> (Table1[[#This Row],[Variance (USD)]] / Table1[[#This Row],[Actual Spending (USD)]]) * 100</f>
        <v>-18.199231501843879</v>
      </c>
      <c r="O672" s="5" t="s">
        <v>3897</v>
      </c>
    </row>
    <row r="673" spans="1:15" x14ac:dyDescent="0.25">
      <c r="A673" s="4" t="s">
        <v>686</v>
      </c>
      <c r="B673" s="2" t="s">
        <v>3471</v>
      </c>
      <c r="C673" s="2" t="s">
        <v>3875</v>
      </c>
      <c r="D673" s="2" t="s">
        <v>3878</v>
      </c>
      <c r="E673" s="3">
        <v>45001</v>
      </c>
      <c r="F673" s="3">
        <v>45449</v>
      </c>
      <c r="G673" s="2" t="s">
        <v>3885</v>
      </c>
      <c r="H673" s="2">
        <v>615109</v>
      </c>
      <c r="I673" s="2">
        <v>719224</v>
      </c>
      <c r="J673" s="2" t="s">
        <v>3888</v>
      </c>
      <c r="K673" s="2" t="s">
        <v>3893</v>
      </c>
      <c r="L673" s="2">
        <v>2023</v>
      </c>
      <c r="M673" s="2">
        <v>-104115</v>
      </c>
      <c r="N673" s="2">
        <f xml:space="preserve"> (Table1[[#This Row],[Variance (USD)]] / Table1[[#This Row],[Actual Spending (USD)]]) * 100</f>
        <v>-14.476018597822096</v>
      </c>
      <c r="O673" s="5" t="s">
        <v>3898</v>
      </c>
    </row>
    <row r="674" spans="1:15" x14ac:dyDescent="0.25">
      <c r="A674" s="4" t="s">
        <v>687</v>
      </c>
      <c r="B674" s="2" t="s">
        <v>3301</v>
      </c>
      <c r="C674" s="2" t="s">
        <v>3874</v>
      </c>
      <c r="D674" s="2" t="s">
        <v>3879</v>
      </c>
      <c r="E674" s="3">
        <v>44968</v>
      </c>
      <c r="F674" s="3">
        <v>45860</v>
      </c>
      <c r="G674" s="2" t="s">
        <v>3885</v>
      </c>
      <c r="H674" s="2">
        <v>689963</v>
      </c>
      <c r="I674" s="2">
        <v>937730</v>
      </c>
      <c r="J674" s="2" t="s">
        <v>3890</v>
      </c>
      <c r="K674" s="2" t="s">
        <v>3896</v>
      </c>
      <c r="L674" s="2">
        <v>2023</v>
      </c>
      <c r="M674" s="2">
        <v>-247767</v>
      </c>
      <c r="N674" s="2">
        <f xml:space="preserve"> (Table1[[#This Row],[Variance (USD)]] / Table1[[#This Row],[Actual Spending (USD)]]) * 100</f>
        <v>-26.421997803205617</v>
      </c>
      <c r="O674" s="5" t="s">
        <v>3898</v>
      </c>
    </row>
    <row r="675" spans="1:15" x14ac:dyDescent="0.25">
      <c r="A675" s="4" t="s">
        <v>688</v>
      </c>
      <c r="B675" s="2" t="s">
        <v>3472</v>
      </c>
      <c r="C675" s="2" t="s">
        <v>3875</v>
      </c>
      <c r="D675" s="2" t="s">
        <v>3880</v>
      </c>
      <c r="E675" s="3">
        <v>45348</v>
      </c>
      <c r="F675" s="3">
        <v>45724</v>
      </c>
      <c r="G675" s="2" t="s">
        <v>3884</v>
      </c>
      <c r="H675" s="2">
        <v>372726</v>
      </c>
      <c r="I675" s="2">
        <v>1122926</v>
      </c>
      <c r="J675" s="2" t="s">
        <v>3888</v>
      </c>
      <c r="K675" s="2" t="s">
        <v>3893</v>
      </c>
      <c r="L675" s="2">
        <v>2025</v>
      </c>
      <c r="M675" s="2">
        <v>-750200</v>
      </c>
      <c r="N675" s="2">
        <f xml:space="preserve"> (Table1[[#This Row],[Variance (USD)]] / Table1[[#This Row],[Actual Spending (USD)]]) * 100</f>
        <v>-66.807607981291724</v>
      </c>
      <c r="O675" s="5" t="s">
        <v>3897</v>
      </c>
    </row>
    <row r="676" spans="1:15" x14ac:dyDescent="0.25">
      <c r="A676" s="4" t="s">
        <v>689</v>
      </c>
      <c r="B676" s="2" t="s">
        <v>3044</v>
      </c>
      <c r="C676" s="2" t="s">
        <v>3870</v>
      </c>
      <c r="D676" s="2" t="s">
        <v>3883</v>
      </c>
      <c r="E676" s="3">
        <v>45107</v>
      </c>
      <c r="F676" s="3">
        <v>45339</v>
      </c>
      <c r="G676" s="2" t="s">
        <v>3884</v>
      </c>
      <c r="H676" s="2">
        <v>172603</v>
      </c>
      <c r="I676" s="2">
        <v>844356</v>
      </c>
      <c r="J676" s="2" t="s">
        <v>3889</v>
      </c>
      <c r="K676" s="2" t="s">
        <v>3896</v>
      </c>
      <c r="L676" s="2">
        <v>2024</v>
      </c>
      <c r="M676" s="2">
        <v>-671753</v>
      </c>
      <c r="N676" s="2">
        <f xml:space="preserve"> (Table1[[#This Row],[Variance (USD)]] / Table1[[#This Row],[Actual Spending (USD)]]) * 100</f>
        <v>-79.558030025250019</v>
      </c>
      <c r="O676" s="5" t="s">
        <v>3897</v>
      </c>
    </row>
    <row r="677" spans="1:15" x14ac:dyDescent="0.25">
      <c r="A677" s="4" t="s">
        <v>690</v>
      </c>
      <c r="B677" s="2" t="s">
        <v>3473</v>
      </c>
      <c r="C677" s="2" t="s">
        <v>3868</v>
      </c>
      <c r="D677" s="2" t="s">
        <v>3879</v>
      </c>
      <c r="E677" s="3">
        <v>45471</v>
      </c>
      <c r="F677" s="3">
        <v>45619</v>
      </c>
      <c r="G677" s="2" t="s">
        <v>3884</v>
      </c>
      <c r="H677" s="2">
        <v>990291</v>
      </c>
      <c r="I677" s="2">
        <v>899025</v>
      </c>
      <c r="J677" s="2" t="s">
        <v>3891</v>
      </c>
      <c r="K677" s="2" t="s">
        <v>3893</v>
      </c>
      <c r="L677" s="2">
        <v>2024</v>
      </c>
      <c r="M677" s="2">
        <v>91266</v>
      </c>
      <c r="N677" s="2">
        <f xml:space="preserve"> (Table1[[#This Row],[Variance (USD)]] / Table1[[#This Row],[Actual Spending (USD)]]) * 100</f>
        <v>10.151664302994911</v>
      </c>
      <c r="O677" s="5" t="s">
        <v>3897</v>
      </c>
    </row>
    <row r="678" spans="1:15" x14ac:dyDescent="0.25">
      <c r="A678" s="4" t="s">
        <v>691</v>
      </c>
      <c r="B678" s="2" t="s">
        <v>3474</v>
      </c>
      <c r="C678" s="2" t="s">
        <v>3874</v>
      </c>
      <c r="D678" s="2" t="s">
        <v>3882</v>
      </c>
      <c r="E678" s="3">
        <v>44997</v>
      </c>
      <c r="F678" s="3">
        <v>45724</v>
      </c>
      <c r="G678" s="2" t="s">
        <v>3886</v>
      </c>
      <c r="H678" s="2">
        <v>464921</v>
      </c>
      <c r="I678" s="2">
        <v>933922</v>
      </c>
      <c r="J678" s="2" t="s">
        <v>3892</v>
      </c>
      <c r="K678" s="2" t="s">
        <v>3893</v>
      </c>
      <c r="L678" s="2">
        <v>2023</v>
      </c>
      <c r="M678" s="2">
        <v>-469001</v>
      </c>
      <c r="N678" s="2">
        <f xml:space="preserve"> (Table1[[#This Row],[Variance (USD)]] / Table1[[#This Row],[Actual Spending (USD)]]) * 100</f>
        <v>-50.218433659341997</v>
      </c>
      <c r="O678" s="5" t="s">
        <v>3899</v>
      </c>
    </row>
    <row r="679" spans="1:15" x14ac:dyDescent="0.25">
      <c r="A679" s="4" t="s">
        <v>692</v>
      </c>
      <c r="B679" s="2" t="s">
        <v>3475</v>
      </c>
      <c r="C679" s="2" t="s">
        <v>3874</v>
      </c>
      <c r="D679" s="2" t="s">
        <v>3878</v>
      </c>
      <c r="E679" s="3">
        <v>45494</v>
      </c>
      <c r="F679" s="3">
        <v>45722</v>
      </c>
      <c r="G679" s="2" t="s">
        <v>3884</v>
      </c>
      <c r="H679" s="2">
        <v>643669</v>
      </c>
      <c r="I679" s="2">
        <v>1085888</v>
      </c>
      <c r="J679" s="2" t="s">
        <v>3890</v>
      </c>
      <c r="K679" s="2" t="s">
        <v>3893</v>
      </c>
      <c r="L679" s="2">
        <v>2023</v>
      </c>
      <c r="M679" s="2">
        <v>-442219</v>
      </c>
      <c r="N679" s="2">
        <f xml:space="preserve"> (Table1[[#This Row],[Variance (USD)]] / Table1[[#This Row],[Actual Spending (USD)]]) * 100</f>
        <v>-40.724181499381153</v>
      </c>
      <c r="O679" s="5" t="s">
        <v>3897</v>
      </c>
    </row>
    <row r="680" spans="1:15" x14ac:dyDescent="0.25">
      <c r="A680" s="4" t="s">
        <v>693</v>
      </c>
      <c r="B680" s="2" t="s">
        <v>3476</v>
      </c>
      <c r="C680" s="2" t="s">
        <v>3870</v>
      </c>
      <c r="D680" s="2" t="s">
        <v>3877</v>
      </c>
      <c r="E680" s="3">
        <v>45031</v>
      </c>
      <c r="F680" s="3">
        <v>45347</v>
      </c>
      <c r="G680" s="2" t="s">
        <v>3884</v>
      </c>
      <c r="H680" s="2">
        <v>948232</v>
      </c>
      <c r="I680" s="2">
        <v>1192320</v>
      </c>
      <c r="J680" s="2" t="s">
        <v>3892</v>
      </c>
      <c r="K680" s="2" t="s">
        <v>3893</v>
      </c>
      <c r="L680" s="2">
        <v>2023</v>
      </c>
      <c r="M680" s="2">
        <v>-244088</v>
      </c>
      <c r="N680" s="2">
        <f xml:space="preserve"> (Table1[[#This Row],[Variance (USD)]] / Table1[[#This Row],[Actual Spending (USD)]]) * 100</f>
        <v>-20.47168545356951</v>
      </c>
      <c r="O680" s="5" t="s">
        <v>3897</v>
      </c>
    </row>
    <row r="681" spans="1:15" x14ac:dyDescent="0.25">
      <c r="A681" s="4" t="s">
        <v>694</v>
      </c>
      <c r="B681" s="2" t="s">
        <v>3477</v>
      </c>
      <c r="C681" s="2" t="s">
        <v>3869</v>
      </c>
      <c r="D681" s="2" t="s">
        <v>3876</v>
      </c>
      <c r="E681" s="3">
        <v>45126</v>
      </c>
      <c r="F681" s="3">
        <v>45868</v>
      </c>
      <c r="G681" s="2" t="s">
        <v>3886</v>
      </c>
      <c r="H681" s="2">
        <v>547821</v>
      </c>
      <c r="I681" s="2">
        <v>261745</v>
      </c>
      <c r="J681" s="2" t="s">
        <v>3889</v>
      </c>
      <c r="K681" s="2" t="s">
        <v>3894</v>
      </c>
      <c r="L681" s="2">
        <v>2024</v>
      </c>
      <c r="M681" s="2">
        <v>286076</v>
      </c>
      <c r="N681" s="2">
        <f xml:space="preserve"> (Table1[[#This Row],[Variance (USD)]] / Table1[[#This Row],[Actual Spending (USD)]]) * 100</f>
        <v>109.2956885518348</v>
      </c>
      <c r="O681" s="5" t="s">
        <v>3899</v>
      </c>
    </row>
    <row r="682" spans="1:15" x14ac:dyDescent="0.25">
      <c r="A682" s="4" t="s">
        <v>695</v>
      </c>
      <c r="B682" s="2" t="s">
        <v>3043</v>
      </c>
      <c r="C682" s="2" t="s">
        <v>3871</v>
      </c>
      <c r="D682" s="2" t="s">
        <v>3882</v>
      </c>
      <c r="E682" s="3">
        <v>45027</v>
      </c>
      <c r="F682" s="3">
        <v>45559</v>
      </c>
      <c r="G682" s="2" t="s">
        <v>3884</v>
      </c>
      <c r="H682" s="2">
        <v>442949</v>
      </c>
      <c r="I682" s="2">
        <v>247522</v>
      </c>
      <c r="J682" s="2" t="s">
        <v>3889</v>
      </c>
      <c r="K682" s="2" t="s">
        <v>3896</v>
      </c>
      <c r="L682" s="2">
        <v>2023</v>
      </c>
      <c r="M682" s="2">
        <v>195427</v>
      </c>
      <c r="N682" s="2">
        <f xml:space="preserve"> (Table1[[#This Row],[Variance (USD)]] / Table1[[#This Row],[Actual Spending (USD)]]) * 100</f>
        <v>78.95338596165189</v>
      </c>
      <c r="O682" s="5" t="s">
        <v>3897</v>
      </c>
    </row>
    <row r="683" spans="1:15" x14ac:dyDescent="0.25">
      <c r="A683" s="4" t="s">
        <v>696</v>
      </c>
      <c r="B683" s="2" t="s">
        <v>3166</v>
      </c>
      <c r="C683" s="2" t="s">
        <v>3873</v>
      </c>
      <c r="D683" s="2" t="s">
        <v>3879</v>
      </c>
      <c r="E683" s="3">
        <v>45233</v>
      </c>
      <c r="F683" s="3">
        <v>45360</v>
      </c>
      <c r="G683" s="2" t="s">
        <v>3884</v>
      </c>
      <c r="H683" s="2">
        <v>225725</v>
      </c>
      <c r="I683" s="2">
        <v>308336</v>
      </c>
      <c r="J683" s="2" t="s">
        <v>3889</v>
      </c>
      <c r="K683" s="2" t="s">
        <v>3893</v>
      </c>
      <c r="L683" s="2">
        <v>2024</v>
      </c>
      <c r="M683" s="2">
        <v>-82611</v>
      </c>
      <c r="N683" s="2">
        <f xml:space="preserve"> (Table1[[#This Row],[Variance (USD)]] / Table1[[#This Row],[Actual Spending (USD)]]) * 100</f>
        <v>-26.792525037621296</v>
      </c>
      <c r="O683" s="5" t="s">
        <v>3897</v>
      </c>
    </row>
    <row r="684" spans="1:15" x14ac:dyDescent="0.25">
      <c r="A684" s="4" t="s">
        <v>697</v>
      </c>
      <c r="B684" s="2" t="s">
        <v>3478</v>
      </c>
      <c r="C684" s="2" t="s">
        <v>3870</v>
      </c>
      <c r="D684" s="2" t="s">
        <v>3881</v>
      </c>
      <c r="E684" s="3">
        <v>45512</v>
      </c>
      <c r="F684" s="3">
        <v>46019</v>
      </c>
      <c r="G684" s="2" t="s">
        <v>3884</v>
      </c>
      <c r="H684" s="2">
        <v>918450</v>
      </c>
      <c r="I684" s="2">
        <v>702810</v>
      </c>
      <c r="J684" s="2" t="s">
        <v>3889</v>
      </c>
      <c r="K684" s="2" t="s">
        <v>3895</v>
      </c>
      <c r="L684" s="2">
        <v>2025</v>
      </c>
      <c r="M684" s="2">
        <v>215640</v>
      </c>
      <c r="N684" s="2">
        <f xml:space="preserve"> (Table1[[#This Row],[Variance (USD)]] / Table1[[#This Row],[Actual Spending (USD)]]) * 100</f>
        <v>30.682545780509667</v>
      </c>
      <c r="O684" s="5" t="s">
        <v>3897</v>
      </c>
    </row>
    <row r="685" spans="1:15" x14ac:dyDescent="0.25">
      <c r="A685" s="4" t="s">
        <v>698</v>
      </c>
      <c r="B685" s="2" t="s">
        <v>3162</v>
      </c>
      <c r="C685" s="2" t="s">
        <v>3871</v>
      </c>
      <c r="D685" s="2" t="s">
        <v>3878</v>
      </c>
      <c r="E685" s="3">
        <v>45609</v>
      </c>
      <c r="F685" s="3">
        <v>45892</v>
      </c>
      <c r="G685" s="2" t="s">
        <v>3884</v>
      </c>
      <c r="H685" s="2">
        <v>937024</v>
      </c>
      <c r="I685" s="2">
        <v>128991</v>
      </c>
      <c r="J685" s="2" t="s">
        <v>3891</v>
      </c>
      <c r="K685" s="2" t="s">
        <v>3896</v>
      </c>
      <c r="L685" s="2">
        <v>2025</v>
      </c>
      <c r="M685" s="2">
        <v>808033</v>
      </c>
      <c r="N685" s="2">
        <f xml:space="preserve"> (Table1[[#This Row],[Variance (USD)]] / Table1[[#This Row],[Actual Spending (USD)]]) * 100</f>
        <v>626.42587467342685</v>
      </c>
      <c r="O685" s="5" t="s">
        <v>3897</v>
      </c>
    </row>
    <row r="686" spans="1:15" x14ac:dyDescent="0.25">
      <c r="A686" s="4" t="s">
        <v>699</v>
      </c>
      <c r="B686" s="2" t="s">
        <v>3479</v>
      </c>
      <c r="C686" s="2" t="s">
        <v>3872</v>
      </c>
      <c r="D686" s="2" t="s">
        <v>3881</v>
      </c>
      <c r="E686" s="3">
        <v>45303</v>
      </c>
      <c r="F686" s="3">
        <v>45740</v>
      </c>
      <c r="G686" s="2" t="s">
        <v>3884</v>
      </c>
      <c r="H686" s="2">
        <v>928058</v>
      </c>
      <c r="I686" s="2">
        <v>1157287</v>
      </c>
      <c r="J686" s="2" t="s">
        <v>3888</v>
      </c>
      <c r="K686" s="2" t="s">
        <v>3896</v>
      </c>
      <c r="L686" s="2">
        <v>2025</v>
      </c>
      <c r="M686" s="2">
        <v>-229229</v>
      </c>
      <c r="N686" s="2">
        <f xml:space="preserve"> (Table1[[#This Row],[Variance (USD)]] / Table1[[#This Row],[Actual Spending (USD)]]) * 100</f>
        <v>-19.807446208243938</v>
      </c>
      <c r="O686" s="5" t="s">
        <v>3897</v>
      </c>
    </row>
    <row r="687" spans="1:15" x14ac:dyDescent="0.25">
      <c r="A687" s="4" t="s">
        <v>700</v>
      </c>
      <c r="B687" s="2" t="s">
        <v>3188</v>
      </c>
      <c r="C687" s="2" t="s">
        <v>3871</v>
      </c>
      <c r="D687" s="2" t="s">
        <v>3881</v>
      </c>
      <c r="E687" s="3">
        <v>45581</v>
      </c>
      <c r="F687" s="3">
        <v>45548</v>
      </c>
      <c r="G687" s="2" t="s">
        <v>3884</v>
      </c>
      <c r="H687" s="2">
        <v>660505</v>
      </c>
      <c r="I687" s="2">
        <v>695655</v>
      </c>
      <c r="J687" s="2" t="s">
        <v>3888</v>
      </c>
      <c r="K687" s="2" t="s">
        <v>3893</v>
      </c>
      <c r="L687" s="2">
        <v>2023</v>
      </c>
      <c r="M687" s="2">
        <v>-35150</v>
      </c>
      <c r="N687" s="2">
        <f xml:space="preserve"> (Table1[[#This Row],[Variance (USD)]] / Table1[[#This Row],[Actual Spending (USD)]]) * 100</f>
        <v>-5.0527919730326092</v>
      </c>
      <c r="O687" s="5" t="s">
        <v>3897</v>
      </c>
    </row>
    <row r="688" spans="1:15" x14ac:dyDescent="0.25">
      <c r="A688" s="4" t="s">
        <v>701</v>
      </c>
      <c r="B688" s="2" t="s">
        <v>3033</v>
      </c>
      <c r="C688" s="2" t="s">
        <v>3872</v>
      </c>
      <c r="D688" s="2" t="s">
        <v>3881</v>
      </c>
      <c r="E688" s="3">
        <v>45604</v>
      </c>
      <c r="F688" s="3">
        <v>45963</v>
      </c>
      <c r="G688" s="2" t="s">
        <v>3884</v>
      </c>
      <c r="H688" s="2">
        <v>828873</v>
      </c>
      <c r="I688" s="2">
        <v>1085350</v>
      </c>
      <c r="J688" s="2" t="s">
        <v>3891</v>
      </c>
      <c r="K688" s="2" t="s">
        <v>3896</v>
      </c>
      <c r="L688" s="2">
        <v>2025</v>
      </c>
      <c r="M688" s="2">
        <v>-256477</v>
      </c>
      <c r="N688" s="2">
        <f xml:space="preserve"> (Table1[[#This Row],[Variance (USD)]] / Table1[[#This Row],[Actual Spending (USD)]]) * 100</f>
        <v>-23.63081033767909</v>
      </c>
      <c r="O688" s="5" t="s">
        <v>3897</v>
      </c>
    </row>
    <row r="689" spans="1:15" x14ac:dyDescent="0.25">
      <c r="A689" s="4" t="s">
        <v>702</v>
      </c>
      <c r="B689" s="2" t="s">
        <v>3356</v>
      </c>
      <c r="C689" s="2" t="s">
        <v>3870</v>
      </c>
      <c r="D689" s="2" t="s">
        <v>3881</v>
      </c>
      <c r="E689" s="3">
        <v>45325</v>
      </c>
      <c r="F689" s="3">
        <v>45781</v>
      </c>
      <c r="G689" s="2" t="s">
        <v>3884</v>
      </c>
      <c r="H689" s="2">
        <v>999756</v>
      </c>
      <c r="I689" s="2">
        <v>669395</v>
      </c>
      <c r="J689" s="2" t="s">
        <v>3888</v>
      </c>
      <c r="K689" s="2" t="s">
        <v>3895</v>
      </c>
      <c r="L689" s="2">
        <v>2024</v>
      </c>
      <c r="M689" s="2">
        <v>330361</v>
      </c>
      <c r="N689" s="2">
        <f xml:space="preserve"> (Table1[[#This Row],[Variance (USD)]] / Table1[[#This Row],[Actual Spending (USD)]]) * 100</f>
        <v>49.352176218824461</v>
      </c>
      <c r="O689" s="5" t="s">
        <v>3897</v>
      </c>
    </row>
    <row r="690" spans="1:15" x14ac:dyDescent="0.25">
      <c r="A690" s="4" t="s">
        <v>703</v>
      </c>
      <c r="B690" s="2" t="s">
        <v>3060</v>
      </c>
      <c r="C690" s="2" t="s">
        <v>3874</v>
      </c>
      <c r="D690" s="2" t="s">
        <v>3881</v>
      </c>
      <c r="E690" s="3">
        <v>45147</v>
      </c>
      <c r="F690" s="3">
        <v>45934</v>
      </c>
      <c r="G690" s="2" t="s">
        <v>3886</v>
      </c>
      <c r="H690" s="2">
        <v>516548</v>
      </c>
      <c r="I690" s="2">
        <v>454502</v>
      </c>
      <c r="J690" s="2" t="s">
        <v>3889</v>
      </c>
      <c r="K690" s="2" t="s">
        <v>3895</v>
      </c>
      <c r="L690" s="2">
        <v>2024</v>
      </c>
      <c r="M690" s="2">
        <v>62046</v>
      </c>
      <c r="N690" s="2">
        <f xml:space="preserve"> (Table1[[#This Row],[Variance (USD)]] / Table1[[#This Row],[Actual Spending (USD)]]) * 100</f>
        <v>13.651425076237288</v>
      </c>
      <c r="O690" s="5" t="s">
        <v>3899</v>
      </c>
    </row>
    <row r="691" spans="1:15" x14ac:dyDescent="0.25">
      <c r="A691" s="4" t="s">
        <v>704</v>
      </c>
      <c r="B691" s="2" t="s">
        <v>3242</v>
      </c>
      <c r="C691" s="2" t="s">
        <v>3874</v>
      </c>
      <c r="D691" s="2" t="s">
        <v>3883</v>
      </c>
      <c r="E691" s="3">
        <v>45521</v>
      </c>
      <c r="F691" s="3">
        <v>45340</v>
      </c>
      <c r="G691" s="2" t="s">
        <v>3884</v>
      </c>
      <c r="H691" s="2">
        <v>384943</v>
      </c>
      <c r="I691" s="2">
        <v>258552</v>
      </c>
      <c r="J691" s="2" t="s">
        <v>3888</v>
      </c>
      <c r="K691" s="2" t="s">
        <v>3895</v>
      </c>
      <c r="L691" s="2">
        <v>2024</v>
      </c>
      <c r="M691" s="2">
        <v>126391</v>
      </c>
      <c r="N691" s="2">
        <f xml:space="preserve"> (Table1[[#This Row],[Variance (USD)]] / Table1[[#This Row],[Actual Spending (USD)]]) * 100</f>
        <v>48.884170302298955</v>
      </c>
      <c r="O691" s="5" t="s">
        <v>3897</v>
      </c>
    </row>
    <row r="692" spans="1:15" x14ac:dyDescent="0.25">
      <c r="A692" s="4" t="s">
        <v>705</v>
      </c>
      <c r="B692" s="2" t="s">
        <v>3291</v>
      </c>
      <c r="C692" s="2" t="s">
        <v>3869</v>
      </c>
      <c r="D692" s="2" t="s">
        <v>3879</v>
      </c>
      <c r="E692" s="3">
        <v>45108</v>
      </c>
      <c r="F692" s="3">
        <v>45950</v>
      </c>
      <c r="G692" s="2" t="s">
        <v>3884</v>
      </c>
      <c r="H692" s="2">
        <v>374329</v>
      </c>
      <c r="I692" s="2">
        <v>626715</v>
      </c>
      <c r="J692" s="2" t="s">
        <v>3892</v>
      </c>
      <c r="K692" s="2" t="s">
        <v>3896</v>
      </c>
      <c r="L692" s="2">
        <v>2023</v>
      </c>
      <c r="M692" s="2">
        <v>-252386</v>
      </c>
      <c r="N692" s="2">
        <f xml:space="preserve"> (Table1[[#This Row],[Variance (USD)]] / Table1[[#This Row],[Actual Spending (USD)]]) * 100</f>
        <v>-40.271255674429369</v>
      </c>
      <c r="O692" s="5" t="s">
        <v>3897</v>
      </c>
    </row>
    <row r="693" spans="1:15" x14ac:dyDescent="0.25">
      <c r="A693" s="4" t="s">
        <v>706</v>
      </c>
      <c r="B693" s="2" t="s">
        <v>3154</v>
      </c>
      <c r="C693" s="2" t="s">
        <v>3870</v>
      </c>
      <c r="D693" s="2" t="s">
        <v>3882</v>
      </c>
      <c r="E693" s="3">
        <v>45233</v>
      </c>
      <c r="F693" s="3">
        <v>45607</v>
      </c>
      <c r="G693" s="2" t="s">
        <v>3886</v>
      </c>
      <c r="H693" s="2">
        <v>521529</v>
      </c>
      <c r="I693" s="2">
        <v>117513</v>
      </c>
      <c r="J693" s="2" t="s">
        <v>3888</v>
      </c>
      <c r="K693" s="2" t="s">
        <v>3896</v>
      </c>
      <c r="L693" s="2">
        <v>2023</v>
      </c>
      <c r="M693" s="2">
        <v>404016</v>
      </c>
      <c r="N693" s="2">
        <f xml:space="preserve"> (Table1[[#This Row],[Variance (USD)]] / Table1[[#This Row],[Actual Spending (USD)]]) * 100</f>
        <v>343.80536621480178</v>
      </c>
      <c r="O693" s="5" t="s">
        <v>3899</v>
      </c>
    </row>
    <row r="694" spans="1:15" x14ac:dyDescent="0.25">
      <c r="A694" s="4" t="s">
        <v>707</v>
      </c>
      <c r="B694" s="2" t="s">
        <v>3480</v>
      </c>
      <c r="C694" s="2" t="s">
        <v>3872</v>
      </c>
      <c r="D694" s="2" t="s">
        <v>3879</v>
      </c>
      <c r="E694" s="3">
        <v>45448</v>
      </c>
      <c r="F694" s="3">
        <v>45704</v>
      </c>
      <c r="G694" s="2" t="s">
        <v>3886</v>
      </c>
      <c r="H694" s="2">
        <v>353682</v>
      </c>
      <c r="I694" s="2">
        <v>781247</v>
      </c>
      <c r="J694" s="2" t="s">
        <v>3892</v>
      </c>
      <c r="K694" s="2" t="s">
        <v>3893</v>
      </c>
      <c r="L694" s="2">
        <v>2024</v>
      </c>
      <c r="M694" s="2">
        <v>-427565</v>
      </c>
      <c r="N694" s="2">
        <f xml:space="preserve"> (Table1[[#This Row],[Variance (USD)]] / Table1[[#This Row],[Actual Spending (USD)]]) * 100</f>
        <v>-54.728530157555809</v>
      </c>
      <c r="O694" s="5" t="s">
        <v>3899</v>
      </c>
    </row>
    <row r="695" spans="1:15" x14ac:dyDescent="0.25">
      <c r="A695" s="4" t="s">
        <v>708</v>
      </c>
      <c r="B695" s="2" t="s">
        <v>3481</v>
      </c>
      <c r="C695" s="2" t="s">
        <v>3871</v>
      </c>
      <c r="D695" s="2" t="s">
        <v>3882</v>
      </c>
      <c r="E695" s="3">
        <v>45322</v>
      </c>
      <c r="F695" s="3">
        <v>45725</v>
      </c>
      <c r="G695" s="2" t="s">
        <v>3885</v>
      </c>
      <c r="H695" s="2">
        <v>856775</v>
      </c>
      <c r="I695" s="2">
        <v>236924</v>
      </c>
      <c r="J695" s="2" t="s">
        <v>3890</v>
      </c>
      <c r="K695" s="2" t="s">
        <v>3896</v>
      </c>
      <c r="L695" s="2">
        <v>2024</v>
      </c>
      <c r="M695" s="2">
        <v>619851</v>
      </c>
      <c r="N695" s="2">
        <f xml:space="preserve"> (Table1[[#This Row],[Variance (USD)]] / Table1[[#This Row],[Actual Spending (USD)]]) * 100</f>
        <v>261.62440276206718</v>
      </c>
      <c r="O695" s="5" t="s">
        <v>3898</v>
      </c>
    </row>
    <row r="696" spans="1:15" x14ac:dyDescent="0.25">
      <c r="A696" s="4" t="s">
        <v>709</v>
      </c>
      <c r="B696" s="2" t="s">
        <v>3194</v>
      </c>
      <c r="C696" s="2" t="s">
        <v>3871</v>
      </c>
      <c r="D696" s="2" t="s">
        <v>3876</v>
      </c>
      <c r="E696" s="3">
        <v>44930</v>
      </c>
      <c r="F696" s="3">
        <v>45293</v>
      </c>
      <c r="G696" s="2" t="s">
        <v>3884</v>
      </c>
      <c r="H696" s="2">
        <v>548905</v>
      </c>
      <c r="I696" s="2">
        <v>871688</v>
      </c>
      <c r="J696" s="2" t="s">
        <v>3892</v>
      </c>
      <c r="K696" s="2" t="s">
        <v>3896</v>
      </c>
      <c r="L696" s="2">
        <v>2024</v>
      </c>
      <c r="M696" s="2">
        <v>-322783</v>
      </c>
      <c r="N696" s="2">
        <f xml:space="preserve"> (Table1[[#This Row],[Variance (USD)]] / Table1[[#This Row],[Actual Spending (USD)]]) * 100</f>
        <v>-37.029648222758603</v>
      </c>
      <c r="O696" s="5" t="s">
        <v>3897</v>
      </c>
    </row>
    <row r="697" spans="1:15" x14ac:dyDescent="0.25">
      <c r="A697" s="4" t="s">
        <v>710</v>
      </c>
      <c r="B697" s="2" t="s">
        <v>3482</v>
      </c>
      <c r="C697" s="2" t="s">
        <v>3872</v>
      </c>
      <c r="D697" s="2" t="s">
        <v>3878</v>
      </c>
      <c r="E697" s="3">
        <v>45207</v>
      </c>
      <c r="F697" s="3">
        <v>45436</v>
      </c>
      <c r="G697" s="2" t="s">
        <v>3884</v>
      </c>
      <c r="H697" s="2">
        <v>261470</v>
      </c>
      <c r="I697" s="2">
        <v>653031</v>
      </c>
      <c r="J697" s="2" t="s">
        <v>3892</v>
      </c>
      <c r="K697" s="2" t="s">
        <v>3893</v>
      </c>
      <c r="L697" s="2">
        <v>2024</v>
      </c>
      <c r="M697" s="2">
        <v>-391561</v>
      </c>
      <c r="N697" s="2">
        <f xml:space="preserve"> (Table1[[#This Row],[Variance (USD)]] / Table1[[#This Row],[Actual Spending (USD)]]) * 100</f>
        <v>-59.960553174351602</v>
      </c>
      <c r="O697" s="5" t="s">
        <v>3897</v>
      </c>
    </row>
    <row r="698" spans="1:15" x14ac:dyDescent="0.25">
      <c r="A698" s="4" t="s">
        <v>711</v>
      </c>
      <c r="B698" s="2" t="s">
        <v>3123</v>
      </c>
      <c r="C698" s="2" t="s">
        <v>3875</v>
      </c>
      <c r="D698" s="2" t="s">
        <v>3877</v>
      </c>
      <c r="E698" s="3">
        <v>45141</v>
      </c>
      <c r="F698" s="3">
        <v>45657</v>
      </c>
      <c r="G698" s="2" t="s">
        <v>3886</v>
      </c>
      <c r="H698" s="2">
        <v>484448</v>
      </c>
      <c r="I698" s="2">
        <v>276968</v>
      </c>
      <c r="J698" s="2" t="s">
        <v>3889</v>
      </c>
      <c r="K698" s="2" t="s">
        <v>3895</v>
      </c>
      <c r="L698" s="2">
        <v>2025</v>
      </c>
      <c r="M698" s="2">
        <v>207480</v>
      </c>
      <c r="N698" s="2">
        <f xml:space="preserve"> (Table1[[#This Row],[Variance (USD)]] / Table1[[#This Row],[Actual Spending (USD)]]) * 100</f>
        <v>74.911181075070047</v>
      </c>
      <c r="O698" s="5" t="s">
        <v>3899</v>
      </c>
    </row>
    <row r="699" spans="1:15" x14ac:dyDescent="0.25">
      <c r="A699" s="4" t="s">
        <v>712</v>
      </c>
      <c r="B699" s="2" t="s">
        <v>3366</v>
      </c>
      <c r="C699" s="2" t="s">
        <v>3869</v>
      </c>
      <c r="D699" s="2" t="s">
        <v>3883</v>
      </c>
      <c r="E699" s="3">
        <v>45536</v>
      </c>
      <c r="F699" s="3">
        <v>45711</v>
      </c>
      <c r="G699" s="2" t="s">
        <v>3886</v>
      </c>
      <c r="H699" s="2">
        <v>170026</v>
      </c>
      <c r="I699" s="2">
        <v>868147</v>
      </c>
      <c r="J699" s="2" t="s">
        <v>3889</v>
      </c>
      <c r="K699" s="2" t="s">
        <v>3893</v>
      </c>
      <c r="L699" s="2">
        <v>2024</v>
      </c>
      <c r="M699" s="2">
        <v>-698121</v>
      </c>
      <c r="N699" s="2">
        <f xml:space="preserve"> (Table1[[#This Row],[Variance (USD)]] / Table1[[#This Row],[Actual Spending (USD)]]) * 100</f>
        <v>-80.415067955081341</v>
      </c>
      <c r="O699" s="5" t="s">
        <v>3899</v>
      </c>
    </row>
    <row r="700" spans="1:15" x14ac:dyDescent="0.25">
      <c r="A700" s="4" t="s">
        <v>713</v>
      </c>
      <c r="B700" s="2" t="s">
        <v>3483</v>
      </c>
      <c r="C700" s="2" t="s">
        <v>3868</v>
      </c>
      <c r="D700" s="2" t="s">
        <v>3878</v>
      </c>
      <c r="E700" s="3">
        <v>45346</v>
      </c>
      <c r="F700" s="3">
        <v>45864</v>
      </c>
      <c r="G700" s="2" t="s">
        <v>3884</v>
      </c>
      <c r="H700" s="2">
        <v>284257</v>
      </c>
      <c r="I700" s="2">
        <v>1086042</v>
      </c>
      <c r="J700" s="2" t="s">
        <v>3889</v>
      </c>
      <c r="K700" s="2" t="s">
        <v>3894</v>
      </c>
      <c r="L700" s="2">
        <v>2023</v>
      </c>
      <c r="M700" s="2">
        <v>-801785</v>
      </c>
      <c r="N700" s="2">
        <f xml:space="preserve"> (Table1[[#This Row],[Variance (USD)]] / Table1[[#This Row],[Actual Spending (USD)]]) * 100</f>
        <v>-73.826334524815792</v>
      </c>
      <c r="O700" s="5" t="s">
        <v>3897</v>
      </c>
    </row>
    <row r="701" spans="1:15" x14ac:dyDescent="0.25">
      <c r="A701" s="4" t="s">
        <v>714</v>
      </c>
      <c r="B701" s="2" t="s">
        <v>3204</v>
      </c>
      <c r="C701" s="2" t="s">
        <v>3874</v>
      </c>
      <c r="D701" s="2" t="s">
        <v>3883</v>
      </c>
      <c r="E701" s="3">
        <v>45027</v>
      </c>
      <c r="F701" s="3">
        <v>45852</v>
      </c>
      <c r="G701" s="2" t="s">
        <v>3885</v>
      </c>
      <c r="H701" s="2">
        <v>103106</v>
      </c>
      <c r="I701" s="2">
        <v>834069</v>
      </c>
      <c r="J701" s="2" t="s">
        <v>3892</v>
      </c>
      <c r="K701" s="2" t="s">
        <v>3896</v>
      </c>
      <c r="L701" s="2">
        <v>2023</v>
      </c>
      <c r="M701" s="2">
        <v>-730963</v>
      </c>
      <c r="N701" s="2">
        <f xml:space="preserve"> (Table1[[#This Row],[Variance (USD)]] / Table1[[#This Row],[Actual Spending (USD)]]) * 100</f>
        <v>-87.638193003216756</v>
      </c>
      <c r="O701" s="5" t="s">
        <v>3898</v>
      </c>
    </row>
    <row r="702" spans="1:15" x14ac:dyDescent="0.25">
      <c r="A702" s="4" t="s">
        <v>715</v>
      </c>
      <c r="B702" s="2" t="s">
        <v>3484</v>
      </c>
      <c r="C702" s="2" t="s">
        <v>3873</v>
      </c>
      <c r="D702" s="2" t="s">
        <v>3882</v>
      </c>
      <c r="E702" s="3">
        <v>45447</v>
      </c>
      <c r="F702" s="3">
        <v>45735</v>
      </c>
      <c r="G702" s="2" t="s">
        <v>3884</v>
      </c>
      <c r="H702" s="2">
        <v>950754</v>
      </c>
      <c r="I702" s="2">
        <v>98745</v>
      </c>
      <c r="J702" s="2" t="s">
        <v>3891</v>
      </c>
      <c r="K702" s="2" t="s">
        <v>3896</v>
      </c>
      <c r="L702" s="2">
        <v>2023</v>
      </c>
      <c r="M702" s="2">
        <v>852009</v>
      </c>
      <c r="N702" s="2">
        <f xml:space="preserve"> (Table1[[#This Row],[Variance (USD)]] / Table1[[#This Row],[Actual Spending (USD)]]) * 100</f>
        <v>862.83761203098891</v>
      </c>
      <c r="O702" s="5" t="s">
        <v>3897</v>
      </c>
    </row>
    <row r="703" spans="1:15" x14ac:dyDescent="0.25">
      <c r="A703" s="4" t="s">
        <v>716</v>
      </c>
      <c r="B703" s="2" t="s">
        <v>3285</v>
      </c>
      <c r="C703" s="2" t="s">
        <v>3871</v>
      </c>
      <c r="D703" s="2" t="s">
        <v>3879</v>
      </c>
      <c r="E703" s="3">
        <v>45499</v>
      </c>
      <c r="F703" s="3">
        <v>45725</v>
      </c>
      <c r="G703" s="2" t="s">
        <v>3887</v>
      </c>
      <c r="H703" s="2">
        <v>131227</v>
      </c>
      <c r="I703" s="2">
        <v>974803</v>
      </c>
      <c r="J703" s="2" t="s">
        <v>3889</v>
      </c>
      <c r="K703" s="2" t="s">
        <v>3894</v>
      </c>
      <c r="L703" s="2">
        <v>2023</v>
      </c>
      <c r="M703" s="2">
        <v>-843576</v>
      </c>
      <c r="N703" s="2">
        <f xml:space="preserve"> (Table1[[#This Row],[Variance (USD)]] / Table1[[#This Row],[Actual Spending (USD)]]) * 100</f>
        <v>-86.538100518771486</v>
      </c>
      <c r="O703" s="5" t="s">
        <v>3900</v>
      </c>
    </row>
    <row r="704" spans="1:15" x14ac:dyDescent="0.25">
      <c r="A704" s="4" t="s">
        <v>717</v>
      </c>
      <c r="B704" s="2" t="s">
        <v>3485</v>
      </c>
      <c r="C704" s="2" t="s">
        <v>3873</v>
      </c>
      <c r="D704" s="2" t="s">
        <v>3881</v>
      </c>
      <c r="E704" s="3">
        <v>45235</v>
      </c>
      <c r="F704" s="3">
        <v>45934</v>
      </c>
      <c r="G704" s="2" t="s">
        <v>3885</v>
      </c>
      <c r="H704" s="2">
        <v>496295</v>
      </c>
      <c r="I704" s="2">
        <v>557831</v>
      </c>
      <c r="J704" s="2" t="s">
        <v>3889</v>
      </c>
      <c r="K704" s="2" t="s">
        <v>3894</v>
      </c>
      <c r="L704" s="2">
        <v>2023</v>
      </c>
      <c r="M704" s="2">
        <v>-61536</v>
      </c>
      <c r="N704" s="2">
        <f xml:space="preserve"> (Table1[[#This Row],[Variance (USD)]] / Table1[[#This Row],[Actual Spending (USD)]]) * 100</f>
        <v>-11.031298009612229</v>
      </c>
      <c r="O704" s="5" t="s">
        <v>3898</v>
      </c>
    </row>
    <row r="705" spans="1:15" x14ac:dyDescent="0.25">
      <c r="A705" s="4" t="s">
        <v>718</v>
      </c>
      <c r="B705" s="2" t="s">
        <v>3486</v>
      </c>
      <c r="C705" s="2" t="s">
        <v>3868</v>
      </c>
      <c r="D705" s="2" t="s">
        <v>3876</v>
      </c>
      <c r="E705" s="3">
        <v>45584</v>
      </c>
      <c r="F705" s="3">
        <v>45846</v>
      </c>
      <c r="G705" s="2" t="s">
        <v>3886</v>
      </c>
      <c r="H705" s="2">
        <v>730388</v>
      </c>
      <c r="I705" s="2">
        <v>517843</v>
      </c>
      <c r="J705" s="2" t="s">
        <v>3892</v>
      </c>
      <c r="K705" s="2" t="s">
        <v>3894</v>
      </c>
      <c r="L705" s="2">
        <v>2024</v>
      </c>
      <c r="M705" s="2">
        <v>212545</v>
      </c>
      <c r="N705" s="2">
        <f xml:space="preserve"> (Table1[[#This Row],[Variance (USD)]] / Table1[[#This Row],[Actual Spending (USD)]]) * 100</f>
        <v>41.04429334759763</v>
      </c>
      <c r="O705" s="5" t="s">
        <v>3899</v>
      </c>
    </row>
    <row r="706" spans="1:15" x14ac:dyDescent="0.25">
      <c r="A706" s="4" t="s">
        <v>719</v>
      </c>
      <c r="B706" s="2" t="s">
        <v>3487</v>
      </c>
      <c r="C706" s="2" t="s">
        <v>3870</v>
      </c>
      <c r="D706" s="2" t="s">
        <v>3876</v>
      </c>
      <c r="E706" s="3">
        <v>45436</v>
      </c>
      <c r="F706" s="3">
        <v>45348</v>
      </c>
      <c r="G706" s="2" t="s">
        <v>3885</v>
      </c>
      <c r="H706" s="2">
        <v>616423</v>
      </c>
      <c r="I706" s="2">
        <v>1129628</v>
      </c>
      <c r="J706" s="2" t="s">
        <v>3890</v>
      </c>
      <c r="K706" s="2" t="s">
        <v>3893</v>
      </c>
      <c r="L706" s="2">
        <v>2024</v>
      </c>
      <c r="M706" s="2">
        <v>-513205</v>
      </c>
      <c r="N706" s="2">
        <f xml:space="preserve"> (Table1[[#This Row],[Variance (USD)]] / Table1[[#This Row],[Actual Spending (USD)]]) * 100</f>
        <v>-45.431327835358189</v>
      </c>
      <c r="O706" s="5" t="s">
        <v>3898</v>
      </c>
    </row>
    <row r="707" spans="1:15" x14ac:dyDescent="0.25">
      <c r="A707" s="4" t="s">
        <v>720</v>
      </c>
      <c r="B707" s="2" t="s">
        <v>3472</v>
      </c>
      <c r="C707" s="2" t="s">
        <v>3873</v>
      </c>
      <c r="D707" s="2" t="s">
        <v>3880</v>
      </c>
      <c r="E707" s="3">
        <v>44989</v>
      </c>
      <c r="F707" s="3">
        <v>45853</v>
      </c>
      <c r="G707" s="2" t="s">
        <v>3886</v>
      </c>
      <c r="H707" s="2">
        <v>736426</v>
      </c>
      <c r="I707" s="2">
        <v>1041987</v>
      </c>
      <c r="J707" s="2" t="s">
        <v>3890</v>
      </c>
      <c r="K707" s="2" t="s">
        <v>3895</v>
      </c>
      <c r="L707" s="2">
        <v>2025</v>
      </c>
      <c r="M707" s="2">
        <v>-305561</v>
      </c>
      <c r="N707" s="2">
        <f xml:space="preserve"> (Table1[[#This Row],[Variance (USD)]] / Table1[[#This Row],[Actual Spending (USD)]]) * 100</f>
        <v>-29.324838025810301</v>
      </c>
      <c r="O707" s="5" t="s">
        <v>3899</v>
      </c>
    </row>
    <row r="708" spans="1:15" x14ac:dyDescent="0.25">
      <c r="A708" s="4" t="s">
        <v>721</v>
      </c>
      <c r="B708" s="2" t="s">
        <v>3386</v>
      </c>
      <c r="C708" s="2" t="s">
        <v>3868</v>
      </c>
      <c r="D708" s="2" t="s">
        <v>3877</v>
      </c>
      <c r="E708" s="3">
        <v>45559</v>
      </c>
      <c r="F708" s="3">
        <v>45469</v>
      </c>
      <c r="G708" s="2" t="s">
        <v>3884</v>
      </c>
      <c r="H708" s="2">
        <v>693887</v>
      </c>
      <c r="I708" s="2">
        <v>626575</v>
      </c>
      <c r="J708" s="2" t="s">
        <v>3888</v>
      </c>
      <c r="K708" s="2" t="s">
        <v>3893</v>
      </c>
      <c r="L708" s="2">
        <v>2025</v>
      </c>
      <c r="M708" s="2">
        <v>67312</v>
      </c>
      <c r="N708" s="2">
        <f xml:space="preserve"> (Table1[[#This Row],[Variance (USD)]] / Table1[[#This Row],[Actual Spending (USD)]]) * 100</f>
        <v>10.742848022982084</v>
      </c>
      <c r="O708" s="5" t="s">
        <v>3897</v>
      </c>
    </row>
    <row r="709" spans="1:15" x14ac:dyDescent="0.25">
      <c r="A709" s="4" t="s">
        <v>722</v>
      </c>
      <c r="B709" s="2" t="s">
        <v>3457</v>
      </c>
      <c r="C709" s="2" t="s">
        <v>3874</v>
      </c>
      <c r="D709" s="2" t="s">
        <v>3876</v>
      </c>
      <c r="E709" s="3">
        <v>45152</v>
      </c>
      <c r="F709" s="3">
        <v>45584</v>
      </c>
      <c r="G709" s="2" t="s">
        <v>3884</v>
      </c>
      <c r="H709" s="2">
        <v>804077</v>
      </c>
      <c r="I709" s="2">
        <v>634730</v>
      </c>
      <c r="J709" s="2" t="s">
        <v>3890</v>
      </c>
      <c r="K709" s="2" t="s">
        <v>3894</v>
      </c>
      <c r="L709" s="2">
        <v>2025</v>
      </c>
      <c r="M709" s="2">
        <v>169347</v>
      </c>
      <c r="N709" s="2">
        <f xml:space="preserve"> (Table1[[#This Row],[Variance (USD)]] / Table1[[#This Row],[Actual Spending (USD)]]) * 100</f>
        <v>26.680163219006509</v>
      </c>
      <c r="O709" s="5" t="s">
        <v>3897</v>
      </c>
    </row>
    <row r="710" spans="1:15" x14ac:dyDescent="0.25">
      <c r="A710" s="4" t="s">
        <v>723</v>
      </c>
      <c r="B710" s="2" t="s">
        <v>3196</v>
      </c>
      <c r="C710" s="2" t="s">
        <v>3872</v>
      </c>
      <c r="D710" s="2" t="s">
        <v>3881</v>
      </c>
      <c r="E710" s="3">
        <v>45031</v>
      </c>
      <c r="F710" s="3">
        <v>45337</v>
      </c>
      <c r="G710" s="2" t="s">
        <v>3884</v>
      </c>
      <c r="H710" s="2">
        <v>133470</v>
      </c>
      <c r="I710" s="2">
        <v>674838</v>
      </c>
      <c r="J710" s="2" t="s">
        <v>3889</v>
      </c>
      <c r="K710" s="2" t="s">
        <v>3893</v>
      </c>
      <c r="L710" s="2">
        <v>2024</v>
      </c>
      <c r="M710" s="2">
        <v>-541368</v>
      </c>
      <c r="N710" s="2">
        <f xml:space="preserve"> (Table1[[#This Row],[Variance (USD)]] / Table1[[#This Row],[Actual Spending (USD)]]) * 100</f>
        <v>-80.221919927449264</v>
      </c>
      <c r="O710" s="5" t="s">
        <v>3897</v>
      </c>
    </row>
    <row r="711" spans="1:15" x14ac:dyDescent="0.25">
      <c r="A711" s="4" t="s">
        <v>724</v>
      </c>
      <c r="B711" s="2" t="s">
        <v>3488</v>
      </c>
      <c r="C711" s="2" t="s">
        <v>3875</v>
      </c>
      <c r="D711" s="2" t="s">
        <v>3879</v>
      </c>
      <c r="E711" s="3">
        <v>45351</v>
      </c>
      <c r="F711" s="3">
        <v>45461</v>
      </c>
      <c r="G711" s="2" t="s">
        <v>3884</v>
      </c>
      <c r="H711" s="2">
        <v>857342</v>
      </c>
      <c r="I711" s="2">
        <v>506848</v>
      </c>
      <c r="J711" s="2" t="s">
        <v>3891</v>
      </c>
      <c r="K711" s="2" t="s">
        <v>3896</v>
      </c>
      <c r="L711" s="2">
        <v>2025</v>
      </c>
      <c r="M711" s="2">
        <v>350494</v>
      </c>
      <c r="N711" s="2">
        <f xml:space="preserve"> (Table1[[#This Row],[Variance (USD)]] / Table1[[#This Row],[Actual Spending (USD)]]) * 100</f>
        <v>69.151698339541639</v>
      </c>
      <c r="O711" s="5" t="s">
        <v>3897</v>
      </c>
    </row>
    <row r="712" spans="1:15" x14ac:dyDescent="0.25">
      <c r="A712" s="4" t="s">
        <v>725</v>
      </c>
      <c r="B712" s="2" t="s">
        <v>3489</v>
      </c>
      <c r="C712" s="2" t="s">
        <v>3874</v>
      </c>
      <c r="D712" s="2" t="s">
        <v>3877</v>
      </c>
      <c r="E712" s="3">
        <v>45181</v>
      </c>
      <c r="F712" s="3">
        <v>45562</v>
      </c>
      <c r="G712" s="2" t="s">
        <v>3886</v>
      </c>
      <c r="H712" s="2">
        <v>818378</v>
      </c>
      <c r="I712" s="2">
        <v>44425</v>
      </c>
      <c r="J712" s="2" t="s">
        <v>3888</v>
      </c>
      <c r="K712" s="2" t="s">
        <v>3893</v>
      </c>
      <c r="L712" s="2">
        <v>2024</v>
      </c>
      <c r="M712" s="2">
        <v>773953</v>
      </c>
      <c r="N712" s="2">
        <f xml:space="preserve"> (Table1[[#This Row],[Variance (USD)]] / Table1[[#This Row],[Actual Spending (USD)]]) * 100</f>
        <v>1742.1564434440068</v>
      </c>
      <c r="O712" s="5" t="s">
        <v>3899</v>
      </c>
    </row>
    <row r="713" spans="1:15" x14ac:dyDescent="0.25">
      <c r="A713" s="4" t="s">
        <v>726</v>
      </c>
      <c r="B713" s="2" t="s">
        <v>3436</v>
      </c>
      <c r="C713" s="2" t="s">
        <v>3871</v>
      </c>
      <c r="D713" s="2" t="s">
        <v>3882</v>
      </c>
      <c r="E713" s="3">
        <v>45355</v>
      </c>
      <c r="F713" s="3">
        <v>45708</v>
      </c>
      <c r="G713" s="2" t="s">
        <v>3884</v>
      </c>
      <c r="H713" s="2">
        <v>188213</v>
      </c>
      <c r="I713" s="2">
        <v>343625</v>
      </c>
      <c r="J713" s="2" t="s">
        <v>3891</v>
      </c>
      <c r="K713" s="2" t="s">
        <v>3894</v>
      </c>
      <c r="L713" s="2">
        <v>2023</v>
      </c>
      <c r="M713" s="2">
        <v>-155412</v>
      </c>
      <c r="N713" s="2">
        <f xml:space="preserve"> (Table1[[#This Row],[Variance (USD)]] / Table1[[#This Row],[Actual Spending (USD)]]) * 100</f>
        <v>-45.227209894507091</v>
      </c>
      <c r="O713" s="5" t="s">
        <v>3897</v>
      </c>
    </row>
    <row r="714" spans="1:15" x14ac:dyDescent="0.25">
      <c r="A714" s="4" t="s">
        <v>727</v>
      </c>
      <c r="B714" s="2" t="s">
        <v>3490</v>
      </c>
      <c r="C714" s="2" t="s">
        <v>3868</v>
      </c>
      <c r="D714" s="2" t="s">
        <v>3878</v>
      </c>
      <c r="E714" s="3">
        <v>45360</v>
      </c>
      <c r="F714" s="3">
        <v>45430</v>
      </c>
      <c r="G714" s="2" t="s">
        <v>3884</v>
      </c>
      <c r="H714" s="2">
        <v>95950</v>
      </c>
      <c r="I714" s="2">
        <v>107347</v>
      </c>
      <c r="J714" s="2" t="s">
        <v>3891</v>
      </c>
      <c r="K714" s="2" t="s">
        <v>3896</v>
      </c>
      <c r="L714" s="2">
        <v>2024</v>
      </c>
      <c r="M714" s="2">
        <v>-11397</v>
      </c>
      <c r="N714" s="2">
        <f xml:space="preserve"> (Table1[[#This Row],[Variance (USD)]] / Table1[[#This Row],[Actual Spending (USD)]]) * 100</f>
        <v>-10.616971131005059</v>
      </c>
      <c r="O714" s="5" t="s">
        <v>3897</v>
      </c>
    </row>
    <row r="715" spans="1:15" x14ac:dyDescent="0.25">
      <c r="A715" s="4" t="s">
        <v>728</v>
      </c>
      <c r="B715" s="2" t="s">
        <v>3491</v>
      </c>
      <c r="C715" s="2" t="s">
        <v>3873</v>
      </c>
      <c r="D715" s="2" t="s">
        <v>3882</v>
      </c>
      <c r="E715" s="3">
        <v>45133</v>
      </c>
      <c r="F715" s="3">
        <v>45538</v>
      </c>
      <c r="G715" s="2" t="s">
        <v>3886</v>
      </c>
      <c r="H715" s="2">
        <v>761083</v>
      </c>
      <c r="I715" s="2">
        <v>546066</v>
      </c>
      <c r="J715" s="2" t="s">
        <v>3889</v>
      </c>
      <c r="K715" s="2" t="s">
        <v>3895</v>
      </c>
      <c r="L715" s="2">
        <v>2024</v>
      </c>
      <c r="M715" s="2">
        <v>215017</v>
      </c>
      <c r="N715" s="2">
        <f xml:space="preserve"> (Table1[[#This Row],[Variance (USD)]] / Table1[[#This Row],[Actual Spending (USD)]]) * 100</f>
        <v>39.375643237264356</v>
      </c>
      <c r="O715" s="5" t="s">
        <v>3899</v>
      </c>
    </row>
    <row r="716" spans="1:15" x14ac:dyDescent="0.25">
      <c r="A716" s="4" t="s">
        <v>729</v>
      </c>
      <c r="B716" s="2" t="s">
        <v>3228</v>
      </c>
      <c r="C716" s="2" t="s">
        <v>3871</v>
      </c>
      <c r="D716" s="2" t="s">
        <v>3881</v>
      </c>
      <c r="E716" s="3">
        <v>44954</v>
      </c>
      <c r="F716" s="3">
        <v>45439</v>
      </c>
      <c r="G716" s="2" t="s">
        <v>3885</v>
      </c>
      <c r="H716" s="2">
        <v>328369</v>
      </c>
      <c r="I716" s="2">
        <v>1129106</v>
      </c>
      <c r="J716" s="2" t="s">
        <v>3892</v>
      </c>
      <c r="K716" s="2" t="s">
        <v>3893</v>
      </c>
      <c r="L716" s="2">
        <v>2023</v>
      </c>
      <c r="M716" s="2">
        <v>-800737</v>
      </c>
      <c r="N716" s="2">
        <f xml:space="preserve"> (Table1[[#This Row],[Variance (USD)]] / Table1[[#This Row],[Actual Spending (USD)]]) * 100</f>
        <v>-70.917788055328728</v>
      </c>
      <c r="O716" s="5" t="s">
        <v>3898</v>
      </c>
    </row>
    <row r="717" spans="1:15" x14ac:dyDescent="0.25">
      <c r="A717" s="4" t="s">
        <v>730</v>
      </c>
      <c r="B717" s="2" t="s">
        <v>3426</v>
      </c>
      <c r="C717" s="2" t="s">
        <v>3875</v>
      </c>
      <c r="D717" s="2" t="s">
        <v>3881</v>
      </c>
      <c r="E717" s="3">
        <v>45608</v>
      </c>
      <c r="F717" s="3">
        <v>45521</v>
      </c>
      <c r="G717" s="2" t="s">
        <v>3884</v>
      </c>
      <c r="H717" s="2">
        <v>543466</v>
      </c>
      <c r="I717" s="2">
        <v>712851</v>
      </c>
      <c r="J717" s="2" t="s">
        <v>3892</v>
      </c>
      <c r="K717" s="2" t="s">
        <v>3893</v>
      </c>
      <c r="L717" s="2">
        <v>2023</v>
      </c>
      <c r="M717" s="2">
        <v>-169385</v>
      </c>
      <c r="N717" s="2">
        <f xml:space="preserve"> (Table1[[#This Row],[Variance (USD)]] / Table1[[#This Row],[Actual Spending (USD)]]) * 100</f>
        <v>-23.761627605207821</v>
      </c>
      <c r="O717" s="5" t="s">
        <v>3897</v>
      </c>
    </row>
    <row r="718" spans="1:15" x14ac:dyDescent="0.25">
      <c r="A718" s="4" t="s">
        <v>731</v>
      </c>
      <c r="B718" s="2" t="s">
        <v>3492</v>
      </c>
      <c r="C718" s="2" t="s">
        <v>3872</v>
      </c>
      <c r="D718" s="2" t="s">
        <v>3876</v>
      </c>
      <c r="E718" s="3">
        <v>45262</v>
      </c>
      <c r="F718" s="3">
        <v>45928</v>
      </c>
      <c r="G718" s="2" t="s">
        <v>3884</v>
      </c>
      <c r="H718" s="2">
        <v>345103</v>
      </c>
      <c r="I718" s="2">
        <v>1060605</v>
      </c>
      <c r="J718" s="2" t="s">
        <v>3892</v>
      </c>
      <c r="K718" s="2" t="s">
        <v>3894</v>
      </c>
      <c r="L718" s="2">
        <v>2023</v>
      </c>
      <c r="M718" s="2">
        <v>-715502</v>
      </c>
      <c r="N718" s="2">
        <f xml:space="preserve"> (Table1[[#This Row],[Variance (USD)]] / Table1[[#This Row],[Actual Spending (USD)]]) * 100</f>
        <v>-67.461684604541745</v>
      </c>
      <c r="O718" s="5" t="s">
        <v>3897</v>
      </c>
    </row>
    <row r="719" spans="1:15" x14ac:dyDescent="0.25">
      <c r="A719" s="4" t="s">
        <v>732</v>
      </c>
      <c r="B719" s="2" t="s">
        <v>3086</v>
      </c>
      <c r="C719" s="2" t="s">
        <v>3870</v>
      </c>
      <c r="D719" s="2" t="s">
        <v>3877</v>
      </c>
      <c r="E719" s="3">
        <v>45514</v>
      </c>
      <c r="F719" s="3">
        <v>45995</v>
      </c>
      <c r="G719" s="2" t="s">
        <v>3884</v>
      </c>
      <c r="H719" s="2">
        <v>885624</v>
      </c>
      <c r="I719" s="2">
        <v>979856</v>
      </c>
      <c r="J719" s="2" t="s">
        <v>3890</v>
      </c>
      <c r="K719" s="2" t="s">
        <v>3895</v>
      </c>
      <c r="L719" s="2">
        <v>2025</v>
      </c>
      <c r="M719" s="2">
        <v>-94232</v>
      </c>
      <c r="N719" s="2">
        <f xml:space="preserve"> (Table1[[#This Row],[Variance (USD)]] / Table1[[#This Row],[Actual Spending (USD)]]) * 100</f>
        <v>-9.6169233030159536</v>
      </c>
      <c r="O719" s="5" t="s">
        <v>3897</v>
      </c>
    </row>
    <row r="720" spans="1:15" x14ac:dyDescent="0.25">
      <c r="A720" s="4" t="s">
        <v>733</v>
      </c>
      <c r="B720" s="2" t="s">
        <v>3199</v>
      </c>
      <c r="C720" s="2" t="s">
        <v>3871</v>
      </c>
      <c r="D720" s="2" t="s">
        <v>3879</v>
      </c>
      <c r="E720" s="3">
        <v>45554</v>
      </c>
      <c r="F720" s="3">
        <v>45665</v>
      </c>
      <c r="G720" s="2" t="s">
        <v>3886</v>
      </c>
      <c r="H720" s="2">
        <v>129711</v>
      </c>
      <c r="I720" s="2">
        <v>357980</v>
      </c>
      <c r="J720" s="2" t="s">
        <v>3892</v>
      </c>
      <c r="K720" s="2" t="s">
        <v>3896</v>
      </c>
      <c r="L720" s="2">
        <v>2025</v>
      </c>
      <c r="M720" s="2">
        <v>-228269</v>
      </c>
      <c r="N720" s="2">
        <f xml:space="preserve"> (Table1[[#This Row],[Variance (USD)]] / Table1[[#This Row],[Actual Spending (USD)]]) * 100</f>
        <v>-63.765852840940838</v>
      </c>
      <c r="O720" s="5" t="s">
        <v>3899</v>
      </c>
    </row>
    <row r="721" spans="1:15" x14ac:dyDescent="0.25">
      <c r="A721" s="4" t="s">
        <v>734</v>
      </c>
      <c r="B721" s="2" t="s">
        <v>3493</v>
      </c>
      <c r="C721" s="2" t="s">
        <v>3870</v>
      </c>
      <c r="D721" s="2" t="s">
        <v>3882</v>
      </c>
      <c r="E721" s="3">
        <v>44995</v>
      </c>
      <c r="F721" s="3">
        <v>45371</v>
      </c>
      <c r="G721" s="2" t="s">
        <v>3884</v>
      </c>
      <c r="H721" s="2">
        <v>191123</v>
      </c>
      <c r="I721" s="2">
        <v>198535</v>
      </c>
      <c r="J721" s="2" t="s">
        <v>3889</v>
      </c>
      <c r="K721" s="2" t="s">
        <v>3894</v>
      </c>
      <c r="L721" s="2">
        <v>2025</v>
      </c>
      <c r="M721" s="2">
        <v>-7412</v>
      </c>
      <c r="N721" s="2">
        <f xml:space="preserve"> (Table1[[#This Row],[Variance (USD)]] / Table1[[#This Row],[Actual Spending (USD)]]) * 100</f>
        <v>-3.7333467650540206</v>
      </c>
      <c r="O721" s="5" t="s">
        <v>3897</v>
      </c>
    </row>
    <row r="722" spans="1:15" x14ac:dyDescent="0.25">
      <c r="A722" s="4" t="s">
        <v>735</v>
      </c>
      <c r="B722" s="2" t="s">
        <v>3350</v>
      </c>
      <c r="C722" s="2" t="s">
        <v>3868</v>
      </c>
      <c r="D722" s="2" t="s">
        <v>3880</v>
      </c>
      <c r="E722" s="3">
        <v>45439</v>
      </c>
      <c r="F722" s="3">
        <v>45897</v>
      </c>
      <c r="G722" s="2" t="s">
        <v>3886</v>
      </c>
      <c r="H722" s="2">
        <v>252500</v>
      </c>
      <c r="I722" s="2">
        <v>640832</v>
      </c>
      <c r="J722" s="2" t="s">
        <v>3890</v>
      </c>
      <c r="K722" s="2" t="s">
        <v>3894</v>
      </c>
      <c r="L722" s="2">
        <v>2023</v>
      </c>
      <c r="M722" s="2">
        <v>-388332</v>
      </c>
      <c r="N722" s="2">
        <f xml:space="preserve"> (Table1[[#This Row],[Variance (USD)]] / Table1[[#This Row],[Actual Spending (USD)]]) * 100</f>
        <v>-60.598097473284732</v>
      </c>
      <c r="O722" s="5" t="s">
        <v>3899</v>
      </c>
    </row>
    <row r="723" spans="1:15" x14ac:dyDescent="0.25">
      <c r="A723" s="4" t="s">
        <v>736</v>
      </c>
      <c r="B723" s="2" t="s">
        <v>3494</v>
      </c>
      <c r="C723" s="2" t="s">
        <v>3875</v>
      </c>
      <c r="D723" s="2" t="s">
        <v>3882</v>
      </c>
      <c r="E723" s="3">
        <v>45093</v>
      </c>
      <c r="F723" s="3">
        <v>45356</v>
      </c>
      <c r="G723" s="2" t="s">
        <v>3884</v>
      </c>
      <c r="H723" s="2">
        <v>829572</v>
      </c>
      <c r="I723" s="2">
        <v>443437</v>
      </c>
      <c r="J723" s="2" t="s">
        <v>3892</v>
      </c>
      <c r="K723" s="2" t="s">
        <v>3893</v>
      </c>
      <c r="L723" s="2">
        <v>2025</v>
      </c>
      <c r="M723" s="2">
        <v>386135</v>
      </c>
      <c r="N723" s="2">
        <f xml:space="preserve"> (Table1[[#This Row],[Variance (USD)]] / Table1[[#This Row],[Actual Spending (USD)]]) * 100</f>
        <v>87.077758509100505</v>
      </c>
      <c r="O723" s="5" t="s">
        <v>3897</v>
      </c>
    </row>
    <row r="724" spans="1:15" x14ac:dyDescent="0.25">
      <c r="A724" s="4" t="s">
        <v>737</v>
      </c>
      <c r="B724" s="2" t="s">
        <v>3187</v>
      </c>
      <c r="C724" s="2" t="s">
        <v>3873</v>
      </c>
      <c r="D724" s="2" t="s">
        <v>3883</v>
      </c>
      <c r="E724" s="3">
        <v>45656</v>
      </c>
      <c r="F724" s="3">
        <v>45379</v>
      </c>
      <c r="G724" s="2" t="s">
        <v>3884</v>
      </c>
      <c r="H724" s="2">
        <v>315593</v>
      </c>
      <c r="I724" s="2">
        <v>532270</v>
      </c>
      <c r="J724" s="2" t="s">
        <v>3891</v>
      </c>
      <c r="K724" s="2" t="s">
        <v>3895</v>
      </c>
      <c r="L724" s="2">
        <v>2023</v>
      </c>
      <c r="M724" s="2">
        <v>-216677</v>
      </c>
      <c r="N724" s="2">
        <f xml:space="preserve"> (Table1[[#This Row],[Variance (USD)]] / Table1[[#This Row],[Actual Spending (USD)]]) * 100</f>
        <v>-40.708099272925395</v>
      </c>
      <c r="O724" s="5" t="s">
        <v>3897</v>
      </c>
    </row>
    <row r="725" spans="1:15" x14ac:dyDescent="0.25">
      <c r="A725" s="4" t="s">
        <v>738</v>
      </c>
      <c r="B725" s="2" t="s">
        <v>3495</v>
      </c>
      <c r="C725" s="2" t="s">
        <v>3875</v>
      </c>
      <c r="D725" s="2" t="s">
        <v>3883</v>
      </c>
      <c r="E725" s="3">
        <v>45294</v>
      </c>
      <c r="F725" s="3">
        <v>45379</v>
      </c>
      <c r="G725" s="2" t="s">
        <v>3885</v>
      </c>
      <c r="H725" s="2">
        <v>416357</v>
      </c>
      <c r="I725" s="2">
        <v>627131</v>
      </c>
      <c r="J725" s="2" t="s">
        <v>3889</v>
      </c>
      <c r="K725" s="2" t="s">
        <v>3894</v>
      </c>
      <c r="L725" s="2">
        <v>2023</v>
      </c>
      <c r="M725" s="2">
        <v>-210774</v>
      </c>
      <c r="N725" s="2">
        <f xml:space="preserve"> (Table1[[#This Row],[Variance (USD)]] / Table1[[#This Row],[Actual Spending (USD)]]) * 100</f>
        <v>-33.609245915127779</v>
      </c>
      <c r="O725" s="5" t="s">
        <v>3898</v>
      </c>
    </row>
    <row r="726" spans="1:15" x14ac:dyDescent="0.25">
      <c r="A726" s="4" t="s">
        <v>739</v>
      </c>
      <c r="B726" s="2" t="s">
        <v>3206</v>
      </c>
      <c r="C726" s="2" t="s">
        <v>3875</v>
      </c>
      <c r="D726" s="2" t="s">
        <v>3879</v>
      </c>
      <c r="E726" s="3">
        <v>45177</v>
      </c>
      <c r="F726" s="3">
        <v>46004</v>
      </c>
      <c r="G726" s="2" t="s">
        <v>3884</v>
      </c>
      <c r="H726" s="2">
        <v>734550</v>
      </c>
      <c r="I726" s="2">
        <v>998817</v>
      </c>
      <c r="J726" s="2" t="s">
        <v>3889</v>
      </c>
      <c r="K726" s="2" t="s">
        <v>3893</v>
      </c>
      <c r="L726" s="2">
        <v>2023</v>
      </c>
      <c r="M726" s="2">
        <v>-264267</v>
      </c>
      <c r="N726" s="2">
        <f xml:space="preserve"> (Table1[[#This Row],[Variance (USD)]] / Table1[[#This Row],[Actual Spending (USD)]]) * 100</f>
        <v>-26.457999813779704</v>
      </c>
      <c r="O726" s="5" t="s">
        <v>3897</v>
      </c>
    </row>
    <row r="727" spans="1:15" x14ac:dyDescent="0.25">
      <c r="A727" s="4" t="s">
        <v>740</v>
      </c>
      <c r="B727" s="2" t="s">
        <v>3085</v>
      </c>
      <c r="C727" s="2" t="s">
        <v>3869</v>
      </c>
      <c r="D727" s="2" t="s">
        <v>3879</v>
      </c>
      <c r="E727" s="3">
        <v>45612</v>
      </c>
      <c r="F727" s="3">
        <v>46017</v>
      </c>
      <c r="G727" s="2" t="s">
        <v>3884</v>
      </c>
      <c r="H727" s="2">
        <v>674533</v>
      </c>
      <c r="I727" s="2">
        <v>59251</v>
      </c>
      <c r="J727" s="2" t="s">
        <v>3888</v>
      </c>
      <c r="K727" s="2" t="s">
        <v>3896</v>
      </c>
      <c r="L727" s="2">
        <v>2025</v>
      </c>
      <c r="M727" s="2">
        <v>615282</v>
      </c>
      <c r="N727" s="2">
        <f xml:space="preserve"> (Table1[[#This Row],[Variance (USD)]] / Table1[[#This Row],[Actual Spending (USD)]]) * 100</f>
        <v>1038.4331066142345</v>
      </c>
      <c r="O727" s="5" t="s">
        <v>3897</v>
      </c>
    </row>
    <row r="728" spans="1:15" x14ac:dyDescent="0.25">
      <c r="A728" s="4" t="s">
        <v>741</v>
      </c>
      <c r="B728" s="2" t="s">
        <v>3261</v>
      </c>
      <c r="C728" s="2" t="s">
        <v>3875</v>
      </c>
      <c r="D728" s="2" t="s">
        <v>3883</v>
      </c>
      <c r="E728" s="3">
        <v>45096</v>
      </c>
      <c r="F728" s="3">
        <v>45495</v>
      </c>
      <c r="G728" s="2" t="s">
        <v>3884</v>
      </c>
      <c r="H728" s="2">
        <v>147069</v>
      </c>
      <c r="I728" s="2">
        <v>1001388</v>
      </c>
      <c r="J728" s="2" t="s">
        <v>3889</v>
      </c>
      <c r="K728" s="2" t="s">
        <v>3894</v>
      </c>
      <c r="L728" s="2">
        <v>2025</v>
      </c>
      <c r="M728" s="2">
        <v>-854319</v>
      </c>
      <c r="N728" s="2">
        <f xml:space="preserve"> (Table1[[#This Row],[Variance (USD)]] / Table1[[#This Row],[Actual Spending (USD)]]) * 100</f>
        <v>-85.313484882982422</v>
      </c>
      <c r="O728" s="5" t="s">
        <v>3897</v>
      </c>
    </row>
    <row r="729" spans="1:15" x14ac:dyDescent="0.25">
      <c r="A729" s="4" t="s">
        <v>742</v>
      </c>
      <c r="B729" s="2" t="s">
        <v>3419</v>
      </c>
      <c r="C729" s="2" t="s">
        <v>3875</v>
      </c>
      <c r="D729" s="2" t="s">
        <v>3880</v>
      </c>
      <c r="E729" s="3">
        <v>45016</v>
      </c>
      <c r="F729" s="3">
        <v>45673</v>
      </c>
      <c r="G729" s="2" t="s">
        <v>3884</v>
      </c>
      <c r="H729" s="2">
        <v>731501</v>
      </c>
      <c r="I729" s="2">
        <v>869052</v>
      </c>
      <c r="J729" s="2" t="s">
        <v>3891</v>
      </c>
      <c r="K729" s="2" t="s">
        <v>3896</v>
      </c>
      <c r="L729" s="2">
        <v>2023</v>
      </c>
      <c r="M729" s="2">
        <v>-137551</v>
      </c>
      <c r="N729" s="2">
        <f xml:space="preserve"> (Table1[[#This Row],[Variance (USD)]] / Table1[[#This Row],[Actual Spending (USD)]]) * 100</f>
        <v>-15.827706512383607</v>
      </c>
      <c r="O729" s="5" t="s">
        <v>3897</v>
      </c>
    </row>
    <row r="730" spans="1:15" x14ac:dyDescent="0.25">
      <c r="A730" s="4" t="s">
        <v>743</v>
      </c>
      <c r="B730" s="2" t="s">
        <v>3431</v>
      </c>
      <c r="C730" s="2" t="s">
        <v>3874</v>
      </c>
      <c r="D730" s="2" t="s">
        <v>3877</v>
      </c>
      <c r="E730" s="3">
        <v>45487</v>
      </c>
      <c r="F730" s="3">
        <v>45892</v>
      </c>
      <c r="G730" s="2" t="s">
        <v>3884</v>
      </c>
      <c r="H730" s="2">
        <v>283597</v>
      </c>
      <c r="I730" s="2">
        <v>1019181</v>
      </c>
      <c r="J730" s="2" t="s">
        <v>3889</v>
      </c>
      <c r="K730" s="2" t="s">
        <v>3896</v>
      </c>
      <c r="L730" s="2">
        <v>2025</v>
      </c>
      <c r="M730" s="2">
        <v>-735584</v>
      </c>
      <c r="N730" s="2">
        <f xml:space="preserve"> (Table1[[#This Row],[Variance (USD)]] / Table1[[#This Row],[Actual Spending (USD)]]) * 100</f>
        <v>-72.174029931876674</v>
      </c>
      <c r="O730" s="5" t="s">
        <v>3897</v>
      </c>
    </row>
    <row r="731" spans="1:15" x14ac:dyDescent="0.25">
      <c r="A731" s="4" t="s">
        <v>744</v>
      </c>
      <c r="B731" s="2" t="s">
        <v>3162</v>
      </c>
      <c r="C731" s="2" t="s">
        <v>3871</v>
      </c>
      <c r="D731" s="2" t="s">
        <v>3883</v>
      </c>
      <c r="E731" s="3">
        <v>45372</v>
      </c>
      <c r="F731" s="3">
        <v>45767</v>
      </c>
      <c r="G731" s="2" t="s">
        <v>3884</v>
      </c>
      <c r="H731" s="2">
        <v>598196</v>
      </c>
      <c r="I731" s="2">
        <v>429185</v>
      </c>
      <c r="J731" s="2" t="s">
        <v>3888</v>
      </c>
      <c r="K731" s="2" t="s">
        <v>3893</v>
      </c>
      <c r="L731" s="2">
        <v>2024</v>
      </c>
      <c r="M731" s="2">
        <v>169011</v>
      </c>
      <c r="N731" s="2">
        <f xml:space="preserve"> (Table1[[#This Row],[Variance (USD)]] / Table1[[#This Row],[Actual Spending (USD)]]) * 100</f>
        <v>39.379521651502266</v>
      </c>
      <c r="O731" s="5" t="s">
        <v>3897</v>
      </c>
    </row>
    <row r="732" spans="1:15" x14ac:dyDescent="0.25">
      <c r="A732" s="4" t="s">
        <v>745</v>
      </c>
      <c r="B732" s="2" t="s">
        <v>3490</v>
      </c>
      <c r="C732" s="2" t="s">
        <v>3873</v>
      </c>
      <c r="D732" s="2" t="s">
        <v>3879</v>
      </c>
      <c r="E732" s="3">
        <v>45220</v>
      </c>
      <c r="F732" s="3">
        <v>45864</v>
      </c>
      <c r="G732" s="2" t="s">
        <v>3884</v>
      </c>
      <c r="H732" s="2">
        <v>416991</v>
      </c>
      <c r="I732" s="2">
        <v>1091738</v>
      </c>
      <c r="J732" s="2" t="s">
        <v>3889</v>
      </c>
      <c r="K732" s="2" t="s">
        <v>3895</v>
      </c>
      <c r="L732" s="2">
        <v>2025</v>
      </c>
      <c r="M732" s="2">
        <v>-674747</v>
      </c>
      <c r="N732" s="2">
        <f xml:space="preserve"> (Table1[[#This Row],[Variance (USD)]] / Table1[[#This Row],[Actual Spending (USD)]]) * 100</f>
        <v>-61.804846950458817</v>
      </c>
      <c r="O732" s="5" t="s">
        <v>3897</v>
      </c>
    </row>
    <row r="733" spans="1:15" x14ac:dyDescent="0.25">
      <c r="A733" s="4" t="s">
        <v>746</v>
      </c>
      <c r="B733" s="2" t="s">
        <v>3496</v>
      </c>
      <c r="C733" s="2" t="s">
        <v>3874</v>
      </c>
      <c r="D733" s="2" t="s">
        <v>3876</v>
      </c>
      <c r="E733" s="3">
        <v>45076</v>
      </c>
      <c r="F733" s="3">
        <v>45897</v>
      </c>
      <c r="G733" s="2" t="s">
        <v>3884</v>
      </c>
      <c r="H733" s="2">
        <v>957342</v>
      </c>
      <c r="I733" s="2">
        <v>559325</v>
      </c>
      <c r="J733" s="2" t="s">
        <v>3889</v>
      </c>
      <c r="K733" s="2" t="s">
        <v>3896</v>
      </c>
      <c r="L733" s="2">
        <v>2023</v>
      </c>
      <c r="M733" s="2">
        <v>398017</v>
      </c>
      <c r="N733" s="2">
        <f xml:space="preserve"> (Table1[[#This Row],[Variance (USD)]] / Table1[[#This Row],[Actual Spending (USD)]]) * 100</f>
        <v>71.160237786617799</v>
      </c>
      <c r="O733" s="5" t="s">
        <v>3897</v>
      </c>
    </row>
    <row r="734" spans="1:15" x14ac:dyDescent="0.25">
      <c r="A734" s="4" t="s">
        <v>747</v>
      </c>
      <c r="B734" s="2" t="s">
        <v>3497</v>
      </c>
      <c r="C734" s="2" t="s">
        <v>3874</v>
      </c>
      <c r="D734" s="2" t="s">
        <v>3878</v>
      </c>
      <c r="E734" s="3">
        <v>45058</v>
      </c>
      <c r="F734" s="3">
        <v>45830</v>
      </c>
      <c r="G734" s="2" t="s">
        <v>3886</v>
      </c>
      <c r="H734" s="2">
        <v>828628</v>
      </c>
      <c r="I734" s="2">
        <v>352670</v>
      </c>
      <c r="J734" s="2" t="s">
        <v>3888</v>
      </c>
      <c r="K734" s="2" t="s">
        <v>3894</v>
      </c>
      <c r="L734" s="2">
        <v>2023</v>
      </c>
      <c r="M734" s="2">
        <v>475958</v>
      </c>
      <c r="N734" s="2">
        <f xml:space="preserve"> (Table1[[#This Row],[Variance (USD)]] / Table1[[#This Row],[Actual Spending (USD)]]) * 100</f>
        <v>134.95845974990786</v>
      </c>
      <c r="O734" s="5" t="s">
        <v>3899</v>
      </c>
    </row>
    <row r="735" spans="1:15" x14ac:dyDescent="0.25">
      <c r="A735" s="4" t="s">
        <v>748</v>
      </c>
      <c r="B735" s="2" t="s">
        <v>3498</v>
      </c>
      <c r="C735" s="2" t="s">
        <v>3871</v>
      </c>
      <c r="D735" s="2" t="s">
        <v>3880</v>
      </c>
      <c r="E735" s="3">
        <v>45359</v>
      </c>
      <c r="F735" s="3">
        <v>45505</v>
      </c>
      <c r="G735" s="2" t="s">
        <v>3886</v>
      </c>
      <c r="H735" s="2">
        <v>999826</v>
      </c>
      <c r="I735" s="2">
        <v>908594</v>
      </c>
      <c r="J735" s="2" t="s">
        <v>3889</v>
      </c>
      <c r="K735" s="2" t="s">
        <v>3895</v>
      </c>
      <c r="L735" s="2">
        <v>2023</v>
      </c>
      <c r="M735" s="2">
        <v>91232</v>
      </c>
      <c r="N735" s="2">
        <f xml:space="preserve"> (Table1[[#This Row],[Variance (USD)]] / Table1[[#This Row],[Actual Spending (USD)]]) * 100</f>
        <v>10.041008415199748</v>
      </c>
      <c r="O735" s="5" t="s">
        <v>3899</v>
      </c>
    </row>
    <row r="736" spans="1:15" x14ac:dyDescent="0.25">
      <c r="A736" s="4" t="s">
        <v>749</v>
      </c>
      <c r="B736" s="2" t="s">
        <v>3499</v>
      </c>
      <c r="C736" s="2" t="s">
        <v>3871</v>
      </c>
      <c r="D736" s="2" t="s">
        <v>3881</v>
      </c>
      <c r="E736" s="3">
        <v>44985</v>
      </c>
      <c r="F736" s="3">
        <v>45365</v>
      </c>
      <c r="G736" s="2" t="s">
        <v>3884</v>
      </c>
      <c r="H736" s="2">
        <v>850444</v>
      </c>
      <c r="I736" s="2">
        <v>1137666</v>
      </c>
      <c r="J736" s="2" t="s">
        <v>3890</v>
      </c>
      <c r="K736" s="2" t="s">
        <v>3895</v>
      </c>
      <c r="L736" s="2">
        <v>2024</v>
      </c>
      <c r="M736" s="2">
        <v>-287222</v>
      </c>
      <c r="N736" s="2">
        <f xml:space="preserve"> (Table1[[#This Row],[Variance (USD)]] / Table1[[#This Row],[Actual Spending (USD)]]) * 100</f>
        <v>-25.246601375096027</v>
      </c>
      <c r="O736" s="5" t="s">
        <v>3897</v>
      </c>
    </row>
    <row r="737" spans="1:15" x14ac:dyDescent="0.25">
      <c r="A737" s="4" t="s">
        <v>750</v>
      </c>
      <c r="B737" s="2" t="s">
        <v>3081</v>
      </c>
      <c r="C737" s="2" t="s">
        <v>3868</v>
      </c>
      <c r="D737" s="2" t="s">
        <v>3880</v>
      </c>
      <c r="E737" s="3">
        <v>45125</v>
      </c>
      <c r="F737" s="3">
        <v>45352</v>
      </c>
      <c r="G737" s="2" t="s">
        <v>3886</v>
      </c>
      <c r="H737" s="2">
        <v>67412</v>
      </c>
      <c r="I737" s="2">
        <v>949955</v>
      </c>
      <c r="J737" s="2" t="s">
        <v>3889</v>
      </c>
      <c r="K737" s="2" t="s">
        <v>3893</v>
      </c>
      <c r="L737" s="2">
        <v>2023</v>
      </c>
      <c r="M737" s="2">
        <v>-882543</v>
      </c>
      <c r="N737" s="2">
        <f xml:space="preserve"> (Table1[[#This Row],[Variance (USD)]] / Table1[[#This Row],[Actual Spending (USD)]]) * 100</f>
        <v>-92.903663857761686</v>
      </c>
      <c r="O737" s="5" t="s">
        <v>3899</v>
      </c>
    </row>
    <row r="738" spans="1:15" x14ac:dyDescent="0.25">
      <c r="A738" s="4" t="s">
        <v>751</v>
      </c>
      <c r="B738" s="2" t="s">
        <v>3278</v>
      </c>
      <c r="C738" s="2" t="s">
        <v>3871</v>
      </c>
      <c r="D738" s="2" t="s">
        <v>3876</v>
      </c>
      <c r="E738" s="3">
        <v>45141</v>
      </c>
      <c r="F738" s="3">
        <v>45989</v>
      </c>
      <c r="G738" s="2" t="s">
        <v>3884</v>
      </c>
      <c r="H738" s="2">
        <v>422174</v>
      </c>
      <c r="I738" s="2">
        <v>1048364</v>
      </c>
      <c r="J738" s="2" t="s">
        <v>3892</v>
      </c>
      <c r="K738" s="2" t="s">
        <v>3894</v>
      </c>
      <c r="L738" s="2">
        <v>2023</v>
      </c>
      <c r="M738" s="2">
        <v>-626190</v>
      </c>
      <c r="N738" s="2">
        <f xml:space="preserve"> (Table1[[#This Row],[Variance (USD)]] / Table1[[#This Row],[Actual Spending (USD)]]) * 100</f>
        <v>-59.73020821012549</v>
      </c>
      <c r="O738" s="5" t="s">
        <v>3897</v>
      </c>
    </row>
    <row r="739" spans="1:15" x14ac:dyDescent="0.25">
      <c r="A739" s="4" t="s">
        <v>752</v>
      </c>
      <c r="B739" s="2" t="s">
        <v>3261</v>
      </c>
      <c r="C739" s="2" t="s">
        <v>3869</v>
      </c>
      <c r="D739" s="2" t="s">
        <v>3876</v>
      </c>
      <c r="E739" s="3">
        <v>45487</v>
      </c>
      <c r="F739" s="3">
        <v>45834</v>
      </c>
      <c r="G739" s="2" t="s">
        <v>3884</v>
      </c>
      <c r="H739" s="2">
        <v>861089</v>
      </c>
      <c r="I739" s="2">
        <v>520167</v>
      </c>
      <c r="J739" s="2" t="s">
        <v>3892</v>
      </c>
      <c r="K739" s="2" t="s">
        <v>3894</v>
      </c>
      <c r="L739" s="2">
        <v>2025</v>
      </c>
      <c r="M739" s="2">
        <v>340922</v>
      </c>
      <c r="N739" s="2">
        <f xml:space="preserve"> (Table1[[#This Row],[Variance (USD)]] / Table1[[#This Row],[Actual Spending (USD)]]) * 100</f>
        <v>65.540874373037894</v>
      </c>
      <c r="O739" s="5" t="s">
        <v>3897</v>
      </c>
    </row>
    <row r="740" spans="1:15" x14ac:dyDescent="0.25">
      <c r="A740" s="4" t="s">
        <v>753</v>
      </c>
      <c r="B740" s="2" t="s">
        <v>3500</v>
      </c>
      <c r="C740" s="2" t="s">
        <v>3869</v>
      </c>
      <c r="D740" s="2" t="s">
        <v>3881</v>
      </c>
      <c r="E740" s="3">
        <v>45398</v>
      </c>
      <c r="F740" s="3">
        <v>45510</v>
      </c>
      <c r="G740" s="2" t="s">
        <v>3884</v>
      </c>
      <c r="H740" s="2">
        <v>317800</v>
      </c>
      <c r="I740" s="2">
        <v>308588</v>
      </c>
      <c r="J740" s="2" t="s">
        <v>3890</v>
      </c>
      <c r="K740" s="2" t="s">
        <v>3893</v>
      </c>
      <c r="L740" s="2">
        <v>2024</v>
      </c>
      <c r="M740" s="2">
        <v>9212</v>
      </c>
      <c r="N740" s="2">
        <f xml:space="preserve"> (Table1[[#This Row],[Variance (USD)]] / Table1[[#This Row],[Actual Spending (USD)]]) * 100</f>
        <v>2.9852100535341619</v>
      </c>
      <c r="O740" s="5" t="s">
        <v>3897</v>
      </c>
    </row>
    <row r="741" spans="1:15" x14ac:dyDescent="0.25">
      <c r="A741" s="4" t="s">
        <v>754</v>
      </c>
      <c r="B741" s="2" t="s">
        <v>3363</v>
      </c>
      <c r="C741" s="2" t="s">
        <v>3874</v>
      </c>
      <c r="D741" s="2" t="s">
        <v>3882</v>
      </c>
      <c r="E741" s="3">
        <v>45173</v>
      </c>
      <c r="F741" s="3">
        <v>45303</v>
      </c>
      <c r="G741" s="2" t="s">
        <v>3884</v>
      </c>
      <c r="H741" s="2">
        <v>190039</v>
      </c>
      <c r="I741" s="2">
        <v>332587</v>
      </c>
      <c r="J741" s="2" t="s">
        <v>3889</v>
      </c>
      <c r="K741" s="2" t="s">
        <v>3893</v>
      </c>
      <c r="L741" s="2">
        <v>2025</v>
      </c>
      <c r="M741" s="2">
        <v>-142548</v>
      </c>
      <c r="N741" s="2">
        <f xml:space="preserve"> (Table1[[#This Row],[Variance (USD)]] / Table1[[#This Row],[Actual Spending (USD)]]) * 100</f>
        <v>-42.860364355792619</v>
      </c>
      <c r="O741" s="5" t="s">
        <v>3897</v>
      </c>
    </row>
    <row r="742" spans="1:15" x14ac:dyDescent="0.25">
      <c r="A742" s="4" t="s">
        <v>755</v>
      </c>
      <c r="B742" s="2" t="s">
        <v>3501</v>
      </c>
      <c r="C742" s="2" t="s">
        <v>3870</v>
      </c>
      <c r="D742" s="2" t="s">
        <v>3879</v>
      </c>
      <c r="E742" s="3">
        <v>45308</v>
      </c>
      <c r="F742" s="3">
        <v>45706</v>
      </c>
      <c r="G742" s="2" t="s">
        <v>3884</v>
      </c>
      <c r="H742" s="2">
        <v>528174</v>
      </c>
      <c r="I742" s="2">
        <v>461600</v>
      </c>
      <c r="J742" s="2" t="s">
        <v>3891</v>
      </c>
      <c r="K742" s="2" t="s">
        <v>3895</v>
      </c>
      <c r="L742" s="2">
        <v>2023</v>
      </c>
      <c r="M742" s="2">
        <v>66574</v>
      </c>
      <c r="N742" s="2">
        <f xml:space="preserve"> (Table1[[#This Row],[Variance (USD)]] / Table1[[#This Row],[Actual Spending (USD)]]) * 100</f>
        <v>14.422443674176776</v>
      </c>
      <c r="O742" s="5" t="s">
        <v>3897</v>
      </c>
    </row>
    <row r="743" spans="1:15" x14ac:dyDescent="0.25">
      <c r="A743" s="4" t="s">
        <v>756</v>
      </c>
      <c r="B743" s="2" t="s">
        <v>3502</v>
      </c>
      <c r="C743" s="2" t="s">
        <v>3868</v>
      </c>
      <c r="D743" s="2" t="s">
        <v>3883</v>
      </c>
      <c r="E743" s="3">
        <v>45165</v>
      </c>
      <c r="F743" s="3">
        <v>45323</v>
      </c>
      <c r="G743" s="2" t="s">
        <v>3884</v>
      </c>
      <c r="H743" s="2">
        <v>458980</v>
      </c>
      <c r="I743" s="2">
        <v>539090</v>
      </c>
      <c r="J743" s="2" t="s">
        <v>3889</v>
      </c>
      <c r="K743" s="2" t="s">
        <v>3896</v>
      </c>
      <c r="L743" s="2">
        <v>2023</v>
      </c>
      <c r="M743" s="2">
        <v>-80110</v>
      </c>
      <c r="N743" s="2">
        <f xml:space="preserve"> (Table1[[#This Row],[Variance (USD)]] / Table1[[#This Row],[Actual Spending (USD)]]) * 100</f>
        <v>-14.860227420282326</v>
      </c>
      <c r="O743" s="5" t="s">
        <v>3897</v>
      </c>
    </row>
    <row r="744" spans="1:15" x14ac:dyDescent="0.25">
      <c r="A744" s="4" t="s">
        <v>757</v>
      </c>
      <c r="B744" s="2" t="s">
        <v>3503</v>
      </c>
      <c r="C744" s="2" t="s">
        <v>3870</v>
      </c>
      <c r="D744" s="2" t="s">
        <v>3882</v>
      </c>
      <c r="E744" s="3">
        <v>45293</v>
      </c>
      <c r="F744" s="3">
        <v>45451</v>
      </c>
      <c r="G744" s="2" t="s">
        <v>3886</v>
      </c>
      <c r="H744" s="2">
        <v>852305</v>
      </c>
      <c r="I744" s="2">
        <v>389373</v>
      </c>
      <c r="J744" s="2" t="s">
        <v>3892</v>
      </c>
      <c r="K744" s="2" t="s">
        <v>3896</v>
      </c>
      <c r="L744" s="2">
        <v>2024</v>
      </c>
      <c r="M744" s="2">
        <v>462932</v>
      </c>
      <c r="N744" s="2">
        <f xml:space="preserve"> (Table1[[#This Row],[Variance (USD)]] / Table1[[#This Row],[Actual Spending (USD)]]) * 100</f>
        <v>118.89165401812659</v>
      </c>
      <c r="O744" s="5" t="s">
        <v>3899</v>
      </c>
    </row>
    <row r="745" spans="1:15" x14ac:dyDescent="0.25">
      <c r="A745" s="4" t="s">
        <v>758</v>
      </c>
      <c r="B745" s="2" t="s">
        <v>3504</v>
      </c>
      <c r="C745" s="2" t="s">
        <v>3870</v>
      </c>
      <c r="D745" s="2" t="s">
        <v>3877</v>
      </c>
      <c r="E745" s="3">
        <v>45094</v>
      </c>
      <c r="F745" s="3">
        <v>45528</v>
      </c>
      <c r="G745" s="2" t="s">
        <v>3885</v>
      </c>
      <c r="H745" s="2">
        <v>668773</v>
      </c>
      <c r="I745" s="2">
        <v>469378</v>
      </c>
      <c r="J745" s="2" t="s">
        <v>3888</v>
      </c>
      <c r="K745" s="2" t="s">
        <v>3896</v>
      </c>
      <c r="L745" s="2">
        <v>2023</v>
      </c>
      <c r="M745" s="2">
        <v>199395</v>
      </c>
      <c r="N745" s="2">
        <f xml:space="preserve"> (Table1[[#This Row],[Variance (USD)]] / Table1[[#This Row],[Actual Spending (USD)]]) * 100</f>
        <v>42.480687207325438</v>
      </c>
      <c r="O745" s="5" t="s">
        <v>3898</v>
      </c>
    </row>
    <row r="746" spans="1:15" x14ac:dyDescent="0.25">
      <c r="A746" s="4" t="s">
        <v>759</v>
      </c>
      <c r="B746" s="2" t="s">
        <v>3173</v>
      </c>
      <c r="C746" s="2" t="s">
        <v>3874</v>
      </c>
      <c r="D746" s="2" t="s">
        <v>3880</v>
      </c>
      <c r="E746" s="3">
        <v>45486</v>
      </c>
      <c r="F746" s="3">
        <v>45472</v>
      </c>
      <c r="G746" s="2" t="s">
        <v>3884</v>
      </c>
      <c r="H746" s="2">
        <v>945815</v>
      </c>
      <c r="I746" s="2">
        <v>728050</v>
      </c>
      <c r="J746" s="2" t="s">
        <v>3890</v>
      </c>
      <c r="K746" s="2" t="s">
        <v>3896</v>
      </c>
      <c r="L746" s="2">
        <v>2024</v>
      </c>
      <c r="M746" s="2">
        <v>217765</v>
      </c>
      <c r="N746" s="2">
        <f xml:space="preserve"> (Table1[[#This Row],[Variance (USD)]] / Table1[[#This Row],[Actual Spending (USD)]]) * 100</f>
        <v>29.910720417553737</v>
      </c>
      <c r="O746" s="5" t="s">
        <v>3897</v>
      </c>
    </row>
    <row r="747" spans="1:15" x14ac:dyDescent="0.25">
      <c r="A747" s="4" t="s">
        <v>760</v>
      </c>
      <c r="B747" s="2" t="s">
        <v>3443</v>
      </c>
      <c r="C747" s="2" t="s">
        <v>3872</v>
      </c>
      <c r="D747" s="2" t="s">
        <v>3881</v>
      </c>
      <c r="E747" s="3">
        <v>44977</v>
      </c>
      <c r="F747" s="3">
        <v>45849</v>
      </c>
      <c r="G747" s="2" t="s">
        <v>3886</v>
      </c>
      <c r="H747" s="2">
        <v>494246</v>
      </c>
      <c r="I747" s="2">
        <v>798112</v>
      </c>
      <c r="J747" s="2" t="s">
        <v>3888</v>
      </c>
      <c r="K747" s="2" t="s">
        <v>3894</v>
      </c>
      <c r="L747" s="2">
        <v>2025</v>
      </c>
      <c r="M747" s="2">
        <v>-303866</v>
      </c>
      <c r="N747" s="2">
        <f xml:space="preserve"> (Table1[[#This Row],[Variance (USD)]] / Table1[[#This Row],[Actual Spending (USD)]]) * 100</f>
        <v>-38.07310252195181</v>
      </c>
      <c r="O747" s="5" t="s">
        <v>3899</v>
      </c>
    </row>
    <row r="748" spans="1:15" x14ac:dyDescent="0.25">
      <c r="A748" s="4" t="s">
        <v>761</v>
      </c>
      <c r="B748" s="2" t="s">
        <v>3411</v>
      </c>
      <c r="C748" s="2" t="s">
        <v>3874</v>
      </c>
      <c r="D748" s="2" t="s">
        <v>3880</v>
      </c>
      <c r="E748" s="3">
        <v>45536</v>
      </c>
      <c r="F748" s="3">
        <v>45632</v>
      </c>
      <c r="G748" s="2" t="s">
        <v>3885</v>
      </c>
      <c r="H748" s="2">
        <v>248879</v>
      </c>
      <c r="I748" s="2">
        <v>1146584</v>
      </c>
      <c r="J748" s="2" t="s">
        <v>3891</v>
      </c>
      <c r="K748" s="2" t="s">
        <v>3894</v>
      </c>
      <c r="L748" s="2">
        <v>2024</v>
      </c>
      <c r="M748" s="2">
        <v>-897705</v>
      </c>
      <c r="N748" s="2">
        <f xml:space="preserve"> (Table1[[#This Row],[Variance (USD)]] / Table1[[#This Row],[Actual Spending (USD)]]) * 100</f>
        <v>-78.293871186062248</v>
      </c>
      <c r="O748" s="5" t="s">
        <v>3898</v>
      </c>
    </row>
    <row r="749" spans="1:15" x14ac:dyDescent="0.25">
      <c r="A749" s="4" t="s">
        <v>762</v>
      </c>
      <c r="B749" s="2" t="s">
        <v>3505</v>
      </c>
      <c r="C749" s="2" t="s">
        <v>3873</v>
      </c>
      <c r="D749" s="2" t="s">
        <v>3882</v>
      </c>
      <c r="E749" s="3">
        <v>45654</v>
      </c>
      <c r="F749" s="3">
        <v>45749</v>
      </c>
      <c r="G749" s="2" t="s">
        <v>3886</v>
      </c>
      <c r="H749" s="2">
        <v>575895</v>
      </c>
      <c r="I749" s="2">
        <v>876741</v>
      </c>
      <c r="J749" s="2" t="s">
        <v>3889</v>
      </c>
      <c r="K749" s="2" t="s">
        <v>3893</v>
      </c>
      <c r="L749" s="2">
        <v>2025</v>
      </c>
      <c r="M749" s="2">
        <v>-300846</v>
      </c>
      <c r="N749" s="2">
        <f xml:space="preserve"> (Table1[[#This Row],[Variance (USD)]] / Table1[[#This Row],[Actual Spending (USD)]]) * 100</f>
        <v>-34.314124695890804</v>
      </c>
      <c r="O749" s="5" t="s">
        <v>3899</v>
      </c>
    </row>
    <row r="750" spans="1:15" x14ac:dyDescent="0.25">
      <c r="A750" s="4" t="s">
        <v>763</v>
      </c>
      <c r="B750" s="2" t="s">
        <v>3311</v>
      </c>
      <c r="C750" s="2" t="s">
        <v>3873</v>
      </c>
      <c r="D750" s="2" t="s">
        <v>3876</v>
      </c>
      <c r="E750" s="3">
        <v>45615</v>
      </c>
      <c r="F750" s="3">
        <v>45371</v>
      </c>
      <c r="G750" s="2" t="s">
        <v>3884</v>
      </c>
      <c r="H750" s="2">
        <v>200595</v>
      </c>
      <c r="I750" s="2">
        <v>73237</v>
      </c>
      <c r="J750" s="2" t="s">
        <v>3891</v>
      </c>
      <c r="K750" s="2" t="s">
        <v>3893</v>
      </c>
      <c r="L750" s="2">
        <v>2023</v>
      </c>
      <c r="M750" s="2">
        <v>127358</v>
      </c>
      <c r="N750" s="2">
        <f xml:space="preserve"> (Table1[[#This Row],[Variance (USD)]] / Table1[[#This Row],[Actual Spending (USD)]]) * 100</f>
        <v>173.89843931346178</v>
      </c>
      <c r="O750" s="5" t="s">
        <v>3897</v>
      </c>
    </row>
    <row r="751" spans="1:15" x14ac:dyDescent="0.25">
      <c r="A751" s="4" t="s">
        <v>764</v>
      </c>
      <c r="B751" s="2" t="s">
        <v>3026</v>
      </c>
      <c r="C751" s="2" t="s">
        <v>3871</v>
      </c>
      <c r="D751" s="2" t="s">
        <v>3883</v>
      </c>
      <c r="E751" s="3">
        <v>45306</v>
      </c>
      <c r="F751" s="3">
        <v>45938</v>
      </c>
      <c r="G751" s="2" t="s">
        <v>3884</v>
      </c>
      <c r="H751" s="2">
        <v>622735</v>
      </c>
      <c r="I751" s="2">
        <v>943399</v>
      </c>
      <c r="J751" s="2" t="s">
        <v>3888</v>
      </c>
      <c r="K751" s="2" t="s">
        <v>3896</v>
      </c>
      <c r="L751" s="2">
        <v>2025</v>
      </c>
      <c r="M751" s="2">
        <v>-320664</v>
      </c>
      <c r="N751" s="2">
        <f xml:space="preserve"> (Table1[[#This Row],[Variance (USD)]] / Table1[[#This Row],[Actual Spending (USD)]]) * 100</f>
        <v>-33.99028406856484</v>
      </c>
      <c r="O751" s="5" t="s">
        <v>3897</v>
      </c>
    </row>
    <row r="752" spans="1:15" x14ac:dyDescent="0.25">
      <c r="A752" s="4" t="s">
        <v>765</v>
      </c>
      <c r="B752" s="2" t="s">
        <v>3506</v>
      </c>
      <c r="C752" s="2" t="s">
        <v>3871</v>
      </c>
      <c r="D752" s="2" t="s">
        <v>3880</v>
      </c>
      <c r="E752" s="3">
        <v>45400</v>
      </c>
      <c r="F752" s="3">
        <v>45764</v>
      </c>
      <c r="G752" s="2" t="s">
        <v>3884</v>
      </c>
      <c r="H752" s="2">
        <v>99757</v>
      </c>
      <c r="I752" s="2">
        <v>589268</v>
      </c>
      <c r="J752" s="2" t="s">
        <v>3889</v>
      </c>
      <c r="K752" s="2" t="s">
        <v>3893</v>
      </c>
      <c r="L752" s="2">
        <v>2025</v>
      </c>
      <c r="M752" s="2">
        <v>-489511</v>
      </c>
      <c r="N752" s="2">
        <f xml:space="preserve"> (Table1[[#This Row],[Variance (USD)]] / Table1[[#This Row],[Actual Spending (USD)]]) * 100</f>
        <v>-83.071030498856217</v>
      </c>
      <c r="O752" s="5" t="s">
        <v>3897</v>
      </c>
    </row>
    <row r="753" spans="1:15" x14ac:dyDescent="0.25">
      <c r="A753" s="4" t="s">
        <v>766</v>
      </c>
      <c r="B753" s="2" t="s">
        <v>3507</v>
      </c>
      <c r="C753" s="2" t="s">
        <v>3872</v>
      </c>
      <c r="D753" s="2" t="s">
        <v>3877</v>
      </c>
      <c r="E753" s="3">
        <v>45006</v>
      </c>
      <c r="F753" s="3">
        <v>45962</v>
      </c>
      <c r="G753" s="2" t="s">
        <v>3884</v>
      </c>
      <c r="H753" s="2">
        <v>834402</v>
      </c>
      <c r="I753" s="2">
        <v>815345</v>
      </c>
      <c r="J753" s="2" t="s">
        <v>3891</v>
      </c>
      <c r="K753" s="2" t="s">
        <v>3894</v>
      </c>
      <c r="L753" s="2">
        <v>2025</v>
      </c>
      <c r="M753" s="2">
        <v>19057</v>
      </c>
      <c r="N753" s="2">
        <f xml:space="preserve"> (Table1[[#This Row],[Variance (USD)]] / Table1[[#This Row],[Actual Spending (USD)]]) * 100</f>
        <v>2.3372928024333257</v>
      </c>
      <c r="O753" s="5" t="s">
        <v>3897</v>
      </c>
    </row>
    <row r="754" spans="1:15" x14ac:dyDescent="0.25">
      <c r="A754" s="4" t="s">
        <v>767</v>
      </c>
      <c r="B754" s="2" t="s">
        <v>3508</v>
      </c>
      <c r="C754" s="2" t="s">
        <v>3871</v>
      </c>
      <c r="D754" s="2" t="s">
        <v>3876</v>
      </c>
      <c r="E754" s="3">
        <v>45623</v>
      </c>
      <c r="F754" s="3">
        <v>46006</v>
      </c>
      <c r="G754" s="2" t="s">
        <v>3886</v>
      </c>
      <c r="H754" s="2">
        <v>300495</v>
      </c>
      <c r="I754" s="2">
        <v>1073637</v>
      </c>
      <c r="J754" s="2" t="s">
        <v>3892</v>
      </c>
      <c r="K754" s="2" t="s">
        <v>3896</v>
      </c>
      <c r="L754" s="2">
        <v>2024</v>
      </c>
      <c r="M754" s="2">
        <v>-773142</v>
      </c>
      <c r="N754" s="2">
        <f xml:space="preserve"> (Table1[[#This Row],[Variance (USD)]] / Table1[[#This Row],[Actual Spending (USD)]]) * 100</f>
        <v>-72.011489916983123</v>
      </c>
      <c r="O754" s="5" t="s">
        <v>3899</v>
      </c>
    </row>
    <row r="755" spans="1:15" x14ac:dyDescent="0.25">
      <c r="A755" s="4" t="s">
        <v>768</v>
      </c>
      <c r="B755" s="2" t="s">
        <v>3509</v>
      </c>
      <c r="C755" s="2" t="s">
        <v>3873</v>
      </c>
      <c r="D755" s="2" t="s">
        <v>3877</v>
      </c>
      <c r="E755" s="3">
        <v>45293</v>
      </c>
      <c r="F755" s="3">
        <v>45403</v>
      </c>
      <c r="G755" s="2" t="s">
        <v>3884</v>
      </c>
      <c r="H755" s="2">
        <v>798886</v>
      </c>
      <c r="I755" s="2">
        <v>200632</v>
      </c>
      <c r="J755" s="2" t="s">
        <v>3892</v>
      </c>
      <c r="K755" s="2" t="s">
        <v>3896</v>
      </c>
      <c r="L755" s="2">
        <v>2025</v>
      </c>
      <c r="M755" s="2">
        <v>598254</v>
      </c>
      <c r="N755" s="2">
        <f xml:space="preserve"> (Table1[[#This Row],[Variance (USD)]] / Table1[[#This Row],[Actual Spending (USD)]]) * 100</f>
        <v>298.18473623350212</v>
      </c>
      <c r="O755" s="5" t="s">
        <v>3897</v>
      </c>
    </row>
    <row r="756" spans="1:15" x14ac:dyDescent="0.25">
      <c r="A756" s="4" t="s">
        <v>769</v>
      </c>
      <c r="B756" s="2" t="s">
        <v>3413</v>
      </c>
      <c r="C756" s="2" t="s">
        <v>3870</v>
      </c>
      <c r="D756" s="2" t="s">
        <v>3883</v>
      </c>
      <c r="E756" s="3">
        <v>45387</v>
      </c>
      <c r="F756" s="3">
        <v>45583</v>
      </c>
      <c r="G756" s="2" t="s">
        <v>3884</v>
      </c>
      <c r="H756" s="2">
        <v>905633</v>
      </c>
      <c r="I756" s="2">
        <v>907481</v>
      </c>
      <c r="J756" s="2" t="s">
        <v>3890</v>
      </c>
      <c r="K756" s="2" t="s">
        <v>3894</v>
      </c>
      <c r="L756" s="2">
        <v>2024</v>
      </c>
      <c r="M756" s="2">
        <v>-1848</v>
      </c>
      <c r="N756" s="2">
        <f xml:space="preserve"> (Table1[[#This Row],[Variance (USD)]] / Table1[[#This Row],[Actual Spending (USD)]]) * 100</f>
        <v>-0.20364062718668491</v>
      </c>
      <c r="O756" s="5" t="s">
        <v>3897</v>
      </c>
    </row>
    <row r="757" spans="1:15" x14ac:dyDescent="0.25">
      <c r="A757" s="4" t="s">
        <v>770</v>
      </c>
      <c r="B757" s="2" t="s">
        <v>3510</v>
      </c>
      <c r="C757" s="2" t="s">
        <v>3874</v>
      </c>
      <c r="D757" s="2" t="s">
        <v>3880</v>
      </c>
      <c r="E757" s="3">
        <v>45465</v>
      </c>
      <c r="F757" s="3">
        <v>45922</v>
      </c>
      <c r="G757" s="2" t="s">
        <v>3886</v>
      </c>
      <c r="H757" s="2">
        <v>440909</v>
      </c>
      <c r="I757" s="2">
        <v>530223</v>
      </c>
      <c r="J757" s="2" t="s">
        <v>3892</v>
      </c>
      <c r="K757" s="2" t="s">
        <v>3895</v>
      </c>
      <c r="L757" s="2">
        <v>2024</v>
      </c>
      <c r="M757" s="2">
        <v>-89314</v>
      </c>
      <c r="N757" s="2">
        <f xml:space="preserve"> (Table1[[#This Row],[Variance (USD)]] / Table1[[#This Row],[Actual Spending (USD)]]) * 100</f>
        <v>-16.844610663815036</v>
      </c>
      <c r="O757" s="5" t="s">
        <v>3899</v>
      </c>
    </row>
    <row r="758" spans="1:15" x14ac:dyDescent="0.25">
      <c r="A758" s="4" t="s">
        <v>771</v>
      </c>
      <c r="B758" s="2" t="s">
        <v>3292</v>
      </c>
      <c r="C758" s="2" t="s">
        <v>3875</v>
      </c>
      <c r="D758" s="2" t="s">
        <v>3878</v>
      </c>
      <c r="E758" s="3">
        <v>45378</v>
      </c>
      <c r="F758" s="3">
        <v>45674</v>
      </c>
      <c r="G758" s="2" t="s">
        <v>3886</v>
      </c>
      <c r="H758" s="2">
        <v>262916</v>
      </c>
      <c r="I758" s="2">
        <v>1037802</v>
      </c>
      <c r="J758" s="2" t="s">
        <v>3892</v>
      </c>
      <c r="K758" s="2" t="s">
        <v>3896</v>
      </c>
      <c r="L758" s="2">
        <v>2024</v>
      </c>
      <c r="M758" s="2">
        <v>-774886</v>
      </c>
      <c r="N758" s="2">
        <f xml:space="preserve"> (Table1[[#This Row],[Variance (USD)]] / Table1[[#This Row],[Actual Spending (USD)]]) * 100</f>
        <v>-74.666073104503567</v>
      </c>
      <c r="O758" s="5" t="s">
        <v>3899</v>
      </c>
    </row>
    <row r="759" spans="1:15" x14ac:dyDescent="0.25">
      <c r="A759" s="4" t="s">
        <v>772</v>
      </c>
      <c r="B759" s="2" t="s">
        <v>3511</v>
      </c>
      <c r="C759" s="2" t="s">
        <v>3869</v>
      </c>
      <c r="D759" s="2" t="s">
        <v>3882</v>
      </c>
      <c r="E759" s="3">
        <v>45390</v>
      </c>
      <c r="F759" s="3">
        <v>45308</v>
      </c>
      <c r="G759" s="2" t="s">
        <v>3884</v>
      </c>
      <c r="H759" s="2">
        <v>841894</v>
      </c>
      <c r="I759" s="2">
        <v>78167</v>
      </c>
      <c r="J759" s="2" t="s">
        <v>3888</v>
      </c>
      <c r="K759" s="2" t="s">
        <v>3893</v>
      </c>
      <c r="L759" s="2">
        <v>2023</v>
      </c>
      <c r="M759" s="2">
        <v>763727</v>
      </c>
      <c r="N759" s="2">
        <f xml:space="preserve"> (Table1[[#This Row],[Variance (USD)]] / Table1[[#This Row],[Actual Spending (USD)]]) * 100</f>
        <v>977.04530044648004</v>
      </c>
      <c r="O759" s="5" t="s">
        <v>3897</v>
      </c>
    </row>
    <row r="760" spans="1:15" x14ac:dyDescent="0.25">
      <c r="A760" s="4" t="s">
        <v>773</v>
      </c>
      <c r="B760" s="2" t="s">
        <v>3039</v>
      </c>
      <c r="C760" s="2" t="s">
        <v>3875</v>
      </c>
      <c r="D760" s="2" t="s">
        <v>3880</v>
      </c>
      <c r="E760" s="3">
        <v>45404</v>
      </c>
      <c r="F760" s="3">
        <v>45784</v>
      </c>
      <c r="G760" s="2" t="s">
        <v>3886</v>
      </c>
      <c r="H760" s="2">
        <v>428976</v>
      </c>
      <c r="I760" s="2">
        <v>725788</v>
      </c>
      <c r="J760" s="2" t="s">
        <v>3892</v>
      </c>
      <c r="K760" s="2" t="s">
        <v>3895</v>
      </c>
      <c r="L760" s="2">
        <v>2023</v>
      </c>
      <c r="M760" s="2">
        <v>-296812</v>
      </c>
      <c r="N760" s="2">
        <f xml:space="preserve"> (Table1[[#This Row],[Variance (USD)]] / Table1[[#This Row],[Actual Spending (USD)]]) * 100</f>
        <v>-40.895137423049157</v>
      </c>
      <c r="O760" s="5" t="s">
        <v>3899</v>
      </c>
    </row>
    <row r="761" spans="1:15" x14ac:dyDescent="0.25">
      <c r="A761" s="4" t="s">
        <v>774</v>
      </c>
      <c r="B761" s="2" t="s">
        <v>3049</v>
      </c>
      <c r="C761" s="2" t="s">
        <v>3875</v>
      </c>
      <c r="D761" s="2" t="s">
        <v>3882</v>
      </c>
      <c r="E761" s="3">
        <v>45346</v>
      </c>
      <c r="F761" s="3">
        <v>45622</v>
      </c>
      <c r="G761" s="2" t="s">
        <v>3884</v>
      </c>
      <c r="H761" s="2">
        <v>212867</v>
      </c>
      <c r="I761" s="2">
        <v>276150</v>
      </c>
      <c r="J761" s="2" t="s">
        <v>3892</v>
      </c>
      <c r="K761" s="2" t="s">
        <v>3894</v>
      </c>
      <c r="L761" s="2">
        <v>2023</v>
      </c>
      <c r="M761" s="2">
        <v>-63283</v>
      </c>
      <c r="N761" s="2">
        <f xml:space="preserve"> (Table1[[#This Row],[Variance (USD)]] / Table1[[#This Row],[Actual Spending (USD)]]) * 100</f>
        <v>-22.916168748868369</v>
      </c>
      <c r="O761" s="5" t="s">
        <v>3897</v>
      </c>
    </row>
    <row r="762" spans="1:15" x14ac:dyDescent="0.25">
      <c r="A762" s="4" t="s">
        <v>775</v>
      </c>
      <c r="B762" s="2" t="s">
        <v>3324</v>
      </c>
      <c r="C762" s="2" t="s">
        <v>3873</v>
      </c>
      <c r="D762" s="2" t="s">
        <v>3883</v>
      </c>
      <c r="E762" s="3">
        <v>45633</v>
      </c>
      <c r="F762" s="3">
        <v>45777</v>
      </c>
      <c r="G762" s="2" t="s">
        <v>3884</v>
      </c>
      <c r="H762" s="2">
        <v>775166</v>
      </c>
      <c r="I762" s="2">
        <v>1095614</v>
      </c>
      <c r="J762" s="2" t="s">
        <v>3888</v>
      </c>
      <c r="K762" s="2" t="s">
        <v>3895</v>
      </c>
      <c r="L762" s="2">
        <v>2024</v>
      </c>
      <c r="M762" s="2">
        <v>-320448</v>
      </c>
      <c r="N762" s="2">
        <f xml:space="preserve"> (Table1[[#This Row],[Variance (USD)]] / Table1[[#This Row],[Actual Spending (USD)]]) * 100</f>
        <v>-29.248257141657554</v>
      </c>
      <c r="O762" s="5" t="s">
        <v>3897</v>
      </c>
    </row>
    <row r="763" spans="1:15" x14ac:dyDescent="0.25">
      <c r="A763" s="4" t="s">
        <v>776</v>
      </c>
      <c r="B763" s="2" t="s">
        <v>3512</v>
      </c>
      <c r="C763" s="2" t="s">
        <v>3875</v>
      </c>
      <c r="D763" s="2" t="s">
        <v>3880</v>
      </c>
      <c r="E763" s="3">
        <v>45140</v>
      </c>
      <c r="F763" s="3">
        <v>45697</v>
      </c>
      <c r="G763" s="2" t="s">
        <v>3884</v>
      </c>
      <c r="H763" s="2">
        <v>360609</v>
      </c>
      <c r="I763" s="2">
        <v>951775</v>
      </c>
      <c r="J763" s="2" t="s">
        <v>3892</v>
      </c>
      <c r="K763" s="2" t="s">
        <v>3895</v>
      </c>
      <c r="L763" s="2">
        <v>2023</v>
      </c>
      <c r="M763" s="2">
        <v>-591166</v>
      </c>
      <c r="N763" s="2">
        <f xml:space="preserve"> (Table1[[#This Row],[Variance (USD)]] / Table1[[#This Row],[Actual Spending (USD)]]) * 100</f>
        <v>-62.111948727377793</v>
      </c>
      <c r="O763" s="5" t="s">
        <v>3897</v>
      </c>
    </row>
    <row r="764" spans="1:15" x14ac:dyDescent="0.25">
      <c r="A764" s="4" t="s">
        <v>777</v>
      </c>
      <c r="B764" s="2" t="s">
        <v>3513</v>
      </c>
      <c r="C764" s="2" t="s">
        <v>3874</v>
      </c>
      <c r="D764" s="2" t="s">
        <v>3882</v>
      </c>
      <c r="E764" s="3">
        <v>45295</v>
      </c>
      <c r="F764" s="3">
        <v>45408</v>
      </c>
      <c r="G764" s="2" t="s">
        <v>3886</v>
      </c>
      <c r="H764" s="2">
        <v>504325</v>
      </c>
      <c r="I764" s="2">
        <v>1153067</v>
      </c>
      <c r="J764" s="2" t="s">
        <v>3892</v>
      </c>
      <c r="K764" s="2" t="s">
        <v>3896</v>
      </c>
      <c r="L764" s="2">
        <v>2025</v>
      </c>
      <c r="M764" s="2">
        <v>-648742</v>
      </c>
      <c r="N764" s="2">
        <f xml:space="preserve"> (Table1[[#This Row],[Variance (USD)]] / Table1[[#This Row],[Actual Spending (USD)]]) * 100</f>
        <v>-56.262298721583392</v>
      </c>
      <c r="O764" s="5" t="s">
        <v>3899</v>
      </c>
    </row>
    <row r="765" spans="1:15" x14ac:dyDescent="0.25">
      <c r="A765" s="4" t="s">
        <v>778</v>
      </c>
      <c r="B765" s="2" t="s">
        <v>3514</v>
      </c>
      <c r="C765" s="2" t="s">
        <v>3872</v>
      </c>
      <c r="D765" s="2" t="s">
        <v>3881</v>
      </c>
      <c r="E765" s="3">
        <v>45040</v>
      </c>
      <c r="F765" s="3">
        <v>45846</v>
      </c>
      <c r="G765" s="2" t="s">
        <v>3885</v>
      </c>
      <c r="H765" s="2">
        <v>140027</v>
      </c>
      <c r="I765" s="2">
        <v>1065592</v>
      </c>
      <c r="J765" s="2" t="s">
        <v>3890</v>
      </c>
      <c r="K765" s="2" t="s">
        <v>3895</v>
      </c>
      <c r="L765" s="2">
        <v>2024</v>
      </c>
      <c r="M765" s="2">
        <v>-925565</v>
      </c>
      <c r="N765" s="2">
        <f xml:space="preserve"> (Table1[[#This Row],[Variance (USD)]] / Table1[[#This Row],[Actual Spending (USD)]]) * 100</f>
        <v>-86.859229423644322</v>
      </c>
      <c r="O765" s="5" t="s">
        <v>3898</v>
      </c>
    </row>
    <row r="766" spans="1:15" x14ac:dyDescent="0.25">
      <c r="A766" s="4" t="s">
        <v>779</v>
      </c>
      <c r="B766" s="2" t="s">
        <v>3454</v>
      </c>
      <c r="C766" s="2" t="s">
        <v>3868</v>
      </c>
      <c r="D766" s="2" t="s">
        <v>3882</v>
      </c>
      <c r="E766" s="3">
        <v>45429</v>
      </c>
      <c r="F766" s="3">
        <v>45406</v>
      </c>
      <c r="G766" s="2" t="s">
        <v>3884</v>
      </c>
      <c r="H766" s="2">
        <v>100528</v>
      </c>
      <c r="I766" s="2">
        <v>991731</v>
      </c>
      <c r="J766" s="2" t="s">
        <v>3892</v>
      </c>
      <c r="K766" s="2" t="s">
        <v>3893</v>
      </c>
      <c r="L766" s="2">
        <v>2023</v>
      </c>
      <c r="M766" s="2">
        <v>-891203</v>
      </c>
      <c r="N766" s="2">
        <f xml:space="preserve"> (Table1[[#This Row],[Variance (USD)]] / Table1[[#This Row],[Actual Spending (USD)]]) * 100</f>
        <v>-89.863380291631501</v>
      </c>
      <c r="O766" s="5" t="s">
        <v>3897</v>
      </c>
    </row>
    <row r="767" spans="1:15" x14ac:dyDescent="0.25">
      <c r="A767" s="4" t="s">
        <v>780</v>
      </c>
      <c r="B767" s="2" t="s">
        <v>3515</v>
      </c>
      <c r="C767" s="2" t="s">
        <v>3871</v>
      </c>
      <c r="D767" s="2" t="s">
        <v>3880</v>
      </c>
      <c r="E767" s="3">
        <v>45562</v>
      </c>
      <c r="F767" s="3">
        <v>45840</v>
      </c>
      <c r="G767" s="2" t="s">
        <v>3884</v>
      </c>
      <c r="H767" s="2">
        <v>348374</v>
      </c>
      <c r="I767" s="2">
        <v>913513</v>
      </c>
      <c r="J767" s="2" t="s">
        <v>3892</v>
      </c>
      <c r="K767" s="2" t="s">
        <v>3896</v>
      </c>
      <c r="L767" s="2">
        <v>2024</v>
      </c>
      <c r="M767" s="2">
        <v>-565139</v>
      </c>
      <c r="N767" s="2">
        <f xml:space="preserve"> (Table1[[#This Row],[Variance (USD)]] / Table1[[#This Row],[Actual Spending (USD)]]) * 100</f>
        <v>-61.864363178192313</v>
      </c>
      <c r="O767" s="5" t="s">
        <v>3897</v>
      </c>
    </row>
    <row r="768" spans="1:15" x14ac:dyDescent="0.25">
      <c r="A768" s="4" t="s">
        <v>781</v>
      </c>
      <c r="B768" s="2" t="s">
        <v>3176</v>
      </c>
      <c r="C768" s="2" t="s">
        <v>3868</v>
      </c>
      <c r="D768" s="2" t="s">
        <v>3879</v>
      </c>
      <c r="E768" s="3">
        <v>45514</v>
      </c>
      <c r="F768" s="3">
        <v>45916</v>
      </c>
      <c r="G768" s="2" t="s">
        <v>3884</v>
      </c>
      <c r="H768" s="2">
        <v>98242</v>
      </c>
      <c r="I768" s="2">
        <v>577404</v>
      </c>
      <c r="J768" s="2" t="s">
        <v>3890</v>
      </c>
      <c r="K768" s="2" t="s">
        <v>3894</v>
      </c>
      <c r="L768" s="2">
        <v>2023</v>
      </c>
      <c r="M768" s="2">
        <v>-479162</v>
      </c>
      <c r="N768" s="2">
        <f xml:space="preserve"> (Table1[[#This Row],[Variance (USD)]] / Table1[[#This Row],[Actual Spending (USD)]]) * 100</f>
        <v>-82.985569895601699</v>
      </c>
      <c r="O768" s="5" t="s">
        <v>3897</v>
      </c>
    </row>
    <row r="769" spans="1:15" x14ac:dyDescent="0.25">
      <c r="A769" s="4" t="s">
        <v>782</v>
      </c>
      <c r="B769" s="2" t="s">
        <v>3175</v>
      </c>
      <c r="C769" s="2" t="s">
        <v>3870</v>
      </c>
      <c r="D769" s="2" t="s">
        <v>3880</v>
      </c>
      <c r="E769" s="3">
        <v>45237</v>
      </c>
      <c r="F769" s="3">
        <v>45838</v>
      </c>
      <c r="G769" s="2" t="s">
        <v>3884</v>
      </c>
      <c r="H769" s="2">
        <v>509099</v>
      </c>
      <c r="I769" s="2">
        <v>440685</v>
      </c>
      <c r="J769" s="2" t="s">
        <v>3888</v>
      </c>
      <c r="K769" s="2" t="s">
        <v>3893</v>
      </c>
      <c r="L769" s="2">
        <v>2025</v>
      </c>
      <c r="M769" s="2">
        <v>68414</v>
      </c>
      <c r="N769" s="2">
        <f xml:space="preserve"> (Table1[[#This Row],[Variance (USD)]] / Table1[[#This Row],[Actual Spending (USD)]]) * 100</f>
        <v>15.524467590228848</v>
      </c>
      <c r="O769" s="5" t="s">
        <v>3897</v>
      </c>
    </row>
    <row r="770" spans="1:15" x14ac:dyDescent="0.25">
      <c r="A770" s="4" t="s">
        <v>783</v>
      </c>
      <c r="B770" s="2" t="s">
        <v>3411</v>
      </c>
      <c r="C770" s="2" t="s">
        <v>3874</v>
      </c>
      <c r="D770" s="2" t="s">
        <v>3880</v>
      </c>
      <c r="E770" s="3">
        <v>45395</v>
      </c>
      <c r="F770" s="3">
        <v>45935</v>
      </c>
      <c r="G770" s="2" t="s">
        <v>3884</v>
      </c>
      <c r="H770" s="2">
        <v>164688</v>
      </c>
      <c r="I770" s="2">
        <v>297590</v>
      </c>
      <c r="J770" s="2" t="s">
        <v>3892</v>
      </c>
      <c r="K770" s="2" t="s">
        <v>3896</v>
      </c>
      <c r="L770" s="2">
        <v>2024</v>
      </c>
      <c r="M770" s="2">
        <v>-132902</v>
      </c>
      <c r="N770" s="2">
        <f xml:space="preserve"> (Table1[[#This Row],[Variance (USD)]] / Table1[[#This Row],[Actual Spending (USD)]]) * 100</f>
        <v>-44.65943076044222</v>
      </c>
      <c r="O770" s="5" t="s">
        <v>3897</v>
      </c>
    </row>
    <row r="771" spans="1:15" x14ac:dyDescent="0.25">
      <c r="A771" s="4" t="s">
        <v>784</v>
      </c>
      <c r="B771" s="2" t="s">
        <v>3516</v>
      </c>
      <c r="C771" s="2" t="s">
        <v>3874</v>
      </c>
      <c r="D771" s="2" t="s">
        <v>3882</v>
      </c>
      <c r="E771" s="3">
        <v>45634</v>
      </c>
      <c r="F771" s="3">
        <v>45627</v>
      </c>
      <c r="G771" s="2" t="s">
        <v>3884</v>
      </c>
      <c r="H771" s="2">
        <v>541582</v>
      </c>
      <c r="I771" s="2">
        <v>154809</v>
      </c>
      <c r="J771" s="2" t="s">
        <v>3891</v>
      </c>
      <c r="K771" s="2" t="s">
        <v>3895</v>
      </c>
      <c r="L771" s="2">
        <v>2023</v>
      </c>
      <c r="M771" s="2">
        <v>386773</v>
      </c>
      <c r="N771" s="2">
        <f xml:space="preserve"> (Table1[[#This Row],[Variance (USD)]] / Table1[[#This Row],[Actual Spending (USD)]]) * 100</f>
        <v>249.83883365954176</v>
      </c>
      <c r="O771" s="5" t="s">
        <v>3897</v>
      </c>
    </row>
    <row r="772" spans="1:15" x14ac:dyDescent="0.25">
      <c r="A772" s="4" t="s">
        <v>785</v>
      </c>
      <c r="B772" s="2" t="s">
        <v>3517</v>
      </c>
      <c r="C772" s="2" t="s">
        <v>3869</v>
      </c>
      <c r="D772" s="2" t="s">
        <v>3877</v>
      </c>
      <c r="E772" s="3">
        <v>44970</v>
      </c>
      <c r="F772" s="3">
        <v>45627</v>
      </c>
      <c r="G772" s="2" t="s">
        <v>3885</v>
      </c>
      <c r="H772" s="2">
        <v>576071</v>
      </c>
      <c r="I772" s="2">
        <v>556251</v>
      </c>
      <c r="J772" s="2" t="s">
        <v>3888</v>
      </c>
      <c r="K772" s="2" t="s">
        <v>3893</v>
      </c>
      <c r="L772" s="2">
        <v>2023</v>
      </c>
      <c r="M772" s="2">
        <v>19820</v>
      </c>
      <c r="N772" s="2">
        <f xml:space="preserve"> (Table1[[#This Row],[Variance (USD)]] / Table1[[#This Row],[Actual Spending (USD)]]) * 100</f>
        <v>3.5631396617713946</v>
      </c>
      <c r="O772" s="5" t="s">
        <v>3898</v>
      </c>
    </row>
    <row r="773" spans="1:15" x14ac:dyDescent="0.25">
      <c r="A773" s="4" t="s">
        <v>786</v>
      </c>
      <c r="B773" s="2" t="s">
        <v>3518</v>
      </c>
      <c r="C773" s="2" t="s">
        <v>3874</v>
      </c>
      <c r="D773" s="2" t="s">
        <v>3878</v>
      </c>
      <c r="E773" s="3">
        <v>45341</v>
      </c>
      <c r="F773" s="3">
        <v>45438</v>
      </c>
      <c r="G773" s="2" t="s">
        <v>3886</v>
      </c>
      <c r="H773" s="2">
        <v>78390</v>
      </c>
      <c r="I773" s="2">
        <v>400425</v>
      </c>
      <c r="J773" s="2" t="s">
        <v>3888</v>
      </c>
      <c r="K773" s="2" t="s">
        <v>3896</v>
      </c>
      <c r="L773" s="2">
        <v>2025</v>
      </c>
      <c r="M773" s="2">
        <v>-322035</v>
      </c>
      <c r="N773" s="2">
        <f xml:space="preserve"> (Table1[[#This Row],[Variance (USD)]] / Table1[[#This Row],[Actual Spending (USD)]]) * 100</f>
        <v>-80.423300243491298</v>
      </c>
      <c r="O773" s="5" t="s">
        <v>3899</v>
      </c>
    </row>
    <row r="774" spans="1:15" x14ac:dyDescent="0.25">
      <c r="A774" s="4" t="s">
        <v>787</v>
      </c>
      <c r="B774" s="2" t="s">
        <v>3519</v>
      </c>
      <c r="C774" s="2" t="s">
        <v>3871</v>
      </c>
      <c r="D774" s="2" t="s">
        <v>3877</v>
      </c>
      <c r="E774" s="3">
        <v>45624</v>
      </c>
      <c r="F774" s="3">
        <v>45413</v>
      </c>
      <c r="G774" s="2" t="s">
        <v>3884</v>
      </c>
      <c r="H774" s="2">
        <v>713777</v>
      </c>
      <c r="I774" s="2">
        <v>712622</v>
      </c>
      <c r="J774" s="2" t="s">
        <v>3892</v>
      </c>
      <c r="K774" s="2" t="s">
        <v>3896</v>
      </c>
      <c r="L774" s="2">
        <v>2025</v>
      </c>
      <c r="M774" s="2">
        <v>1155</v>
      </c>
      <c r="N774" s="2">
        <f xml:space="preserve"> (Table1[[#This Row],[Variance (USD)]] / Table1[[#This Row],[Actual Spending (USD)]]) * 100</f>
        <v>0.16207751093847791</v>
      </c>
      <c r="O774" s="5" t="s">
        <v>3897</v>
      </c>
    </row>
    <row r="775" spans="1:15" x14ac:dyDescent="0.25">
      <c r="A775" s="4" t="s">
        <v>788</v>
      </c>
      <c r="B775" s="2" t="s">
        <v>3302</v>
      </c>
      <c r="C775" s="2" t="s">
        <v>3874</v>
      </c>
      <c r="D775" s="2" t="s">
        <v>3882</v>
      </c>
      <c r="E775" s="3">
        <v>45172</v>
      </c>
      <c r="F775" s="3">
        <v>45372</v>
      </c>
      <c r="G775" s="2" t="s">
        <v>3884</v>
      </c>
      <c r="H775" s="2">
        <v>122102</v>
      </c>
      <c r="I775" s="2">
        <v>41160</v>
      </c>
      <c r="J775" s="2" t="s">
        <v>3890</v>
      </c>
      <c r="K775" s="2" t="s">
        <v>3894</v>
      </c>
      <c r="L775" s="2">
        <v>2023</v>
      </c>
      <c r="M775" s="2">
        <v>80942</v>
      </c>
      <c r="N775" s="2">
        <f xml:space="preserve"> (Table1[[#This Row],[Variance (USD)]] / Table1[[#This Row],[Actual Spending (USD)]]) * 100</f>
        <v>196.65208940719145</v>
      </c>
      <c r="O775" s="5" t="s">
        <v>3897</v>
      </c>
    </row>
    <row r="776" spans="1:15" x14ac:dyDescent="0.25">
      <c r="A776" s="4" t="s">
        <v>789</v>
      </c>
      <c r="B776" s="2" t="s">
        <v>3520</v>
      </c>
      <c r="C776" s="2" t="s">
        <v>3875</v>
      </c>
      <c r="D776" s="2" t="s">
        <v>3877</v>
      </c>
      <c r="E776" s="3">
        <v>45010</v>
      </c>
      <c r="F776" s="3">
        <v>45976</v>
      </c>
      <c r="G776" s="2" t="s">
        <v>3884</v>
      </c>
      <c r="H776" s="2">
        <v>329570</v>
      </c>
      <c r="I776" s="2">
        <v>395020</v>
      </c>
      <c r="J776" s="2" t="s">
        <v>3888</v>
      </c>
      <c r="K776" s="2" t="s">
        <v>3896</v>
      </c>
      <c r="L776" s="2">
        <v>2023</v>
      </c>
      <c r="M776" s="2">
        <v>-65450</v>
      </c>
      <c r="N776" s="2">
        <f xml:space="preserve"> (Table1[[#This Row],[Variance (USD)]] / Table1[[#This Row],[Actual Spending (USD)]]) * 100</f>
        <v>-16.56878132752772</v>
      </c>
      <c r="O776" s="5" t="s">
        <v>3897</v>
      </c>
    </row>
    <row r="777" spans="1:15" x14ac:dyDescent="0.25">
      <c r="A777" s="4" t="s">
        <v>790</v>
      </c>
      <c r="B777" s="2" t="s">
        <v>3136</v>
      </c>
      <c r="C777" s="2" t="s">
        <v>3869</v>
      </c>
      <c r="D777" s="2" t="s">
        <v>3876</v>
      </c>
      <c r="E777" s="3">
        <v>45133</v>
      </c>
      <c r="F777" s="3">
        <v>45957</v>
      </c>
      <c r="G777" s="2" t="s">
        <v>3884</v>
      </c>
      <c r="H777" s="2">
        <v>80750</v>
      </c>
      <c r="I777" s="2">
        <v>37543</v>
      </c>
      <c r="J777" s="2" t="s">
        <v>3890</v>
      </c>
      <c r="K777" s="2" t="s">
        <v>3894</v>
      </c>
      <c r="L777" s="2">
        <v>2024</v>
      </c>
      <c r="M777" s="2">
        <v>43207</v>
      </c>
      <c r="N777" s="2">
        <f xml:space="preserve"> (Table1[[#This Row],[Variance (USD)]] / Table1[[#This Row],[Actual Spending (USD)]]) * 100</f>
        <v>115.08670058333111</v>
      </c>
      <c r="O777" s="5" t="s">
        <v>3897</v>
      </c>
    </row>
    <row r="778" spans="1:15" x14ac:dyDescent="0.25">
      <c r="A778" s="4" t="s">
        <v>791</v>
      </c>
      <c r="B778" s="2" t="s">
        <v>3521</v>
      </c>
      <c r="C778" s="2" t="s">
        <v>3871</v>
      </c>
      <c r="D778" s="2" t="s">
        <v>3879</v>
      </c>
      <c r="E778" s="3">
        <v>45077</v>
      </c>
      <c r="F778" s="3">
        <v>45953</v>
      </c>
      <c r="G778" s="2" t="s">
        <v>3885</v>
      </c>
      <c r="H778" s="2">
        <v>632476</v>
      </c>
      <c r="I778" s="2">
        <v>923643</v>
      </c>
      <c r="J778" s="2" t="s">
        <v>3891</v>
      </c>
      <c r="K778" s="2" t="s">
        <v>3895</v>
      </c>
      <c r="L778" s="2">
        <v>2024</v>
      </c>
      <c r="M778" s="2">
        <v>-291167</v>
      </c>
      <c r="N778" s="2">
        <f xml:space="preserve"> (Table1[[#This Row],[Variance (USD)]] / Table1[[#This Row],[Actual Spending (USD)]]) * 100</f>
        <v>-31.523759721017754</v>
      </c>
      <c r="O778" s="5" t="s">
        <v>3898</v>
      </c>
    </row>
    <row r="779" spans="1:15" x14ac:dyDescent="0.25">
      <c r="A779" s="4" t="s">
        <v>792</v>
      </c>
      <c r="B779" s="2" t="s">
        <v>3325</v>
      </c>
      <c r="C779" s="2" t="s">
        <v>3872</v>
      </c>
      <c r="D779" s="2" t="s">
        <v>3877</v>
      </c>
      <c r="E779" s="3">
        <v>45594</v>
      </c>
      <c r="F779" s="3">
        <v>45666</v>
      </c>
      <c r="G779" s="2" t="s">
        <v>3887</v>
      </c>
      <c r="H779" s="2">
        <v>323016</v>
      </c>
      <c r="I779" s="2">
        <v>1029666</v>
      </c>
      <c r="J779" s="2" t="s">
        <v>3890</v>
      </c>
      <c r="K779" s="2" t="s">
        <v>3896</v>
      </c>
      <c r="L779" s="2">
        <v>2023</v>
      </c>
      <c r="M779" s="2">
        <v>-706650</v>
      </c>
      <c r="N779" s="2">
        <f xml:space="preserve"> (Table1[[#This Row],[Variance (USD)]] / Table1[[#This Row],[Actual Spending (USD)]]) * 100</f>
        <v>-68.629050585335435</v>
      </c>
      <c r="O779" s="5" t="s">
        <v>3900</v>
      </c>
    </row>
    <row r="780" spans="1:15" x14ac:dyDescent="0.25">
      <c r="A780" s="4" t="s">
        <v>793</v>
      </c>
      <c r="B780" s="2" t="s">
        <v>3522</v>
      </c>
      <c r="C780" s="2" t="s">
        <v>3872</v>
      </c>
      <c r="D780" s="2" t="s">
        <v>3881</v>
      </c>
      <c r="E780" s="3">
        <v>45454</v>
      </c>
      <c r="F780" s="3">
        <v>45861</v>
      </c>
      <c r="G780" s="2" t="s">
        <v>3884</v>
      </c>
      <c r="H780" s="2">
        <v>668519</v>
      </c>
      <c r="I780" s="2">
        <v>426539</v>
      </c>
      <c r="J780" s="2" t="s">
        <v>3889</v>
      </c>
      <c r="K780" s="2" t="s">
        <v>3896</v>
      </c>
      <c r="L780" s="2">
        <v>2025</v>
      </c>
      <c r="M780" s="2">
        <v>241980</v>
      </c>
      <c r="N780" s="2">
        <f xml:space="preserve"> (Table1[[#This Row],[Variance (USD)]] / Table1[[#This Row],[Actual Spending (USD)]]) * 100</f>
        <v>56.731037490124002</v>
      </c>
      <c r="O780" s="5" t="s">
        <v>3897</v>
      </c>
    </row>
    <row r="781" spans="1:15" x14ac:dyDescent="0.25">
      <c r="A781" s="4" t="s">
        <v>794</v>
      </c>
      <c r="B781" s="2" t="s">
        <v>3386</v>
      </c>
      <c r="C781" s="2" t="s">
        <v>3872</v>
      </c>
      <c r="D781" s="2" t="s">
        <v>3883</v>
      </c>
      <c r="E781" s="3">
        <v>45091</v>
      </c>
      <c r="F781" s="3">
        <v>45354</v>
      </c>
      <c r="G781" s="2" t="s">
        <v>3884</v>
      </c>
      <c r="H781" s="2">
        <v>442004</v>
      </c>
      <c r="I781" s="2">
        <v>868537</v>
      </c>
      <c r="J781" s="2" t="s">
        <v>3890</v>
      </c>
      <c r="K781" s="2" t="s">
        <v>3895</v>
      </c>
      <c r="L781" s="2">
        <v>2024</v>
      </c>
      <c r="M781" s="2">
        <v>-426533</v>
      </c>
      <c r="N781" s="2">
        <f xml:space="preserve"> (Table1[[#This Row],[Variance (USD)]] / Table1[[#This Row],[Actual Spending (USD)]]) * 100</f>
        <v>-49.109364367896816</v>
      </c>
      <c r="O781" s="5" t="s">
        <v>3897</v>
      </c>
    </row>
    <row r="782" spans="1:15" x14ac:dyDescent="0.25">
      <c r="A782" s="4" t="s">
        <v>795</v>
      </c>
      <c r="B782" s="2" t="s">
        <v>3523</v>
      </c>
      <c r="C782" s="2" t="s">
        <v>3872</v>
      </c>
      <c r="D782" s="2" t="s">
        <v>3881</v>
      </c>
      <c r="E782" s="3">
        <v>45071</v>
      </c>
      <c r="F782" s="3">
        <v>45795</v>
      </c>
      <c r="G782" s="2" t="s">
        <v>3885</v>
      </c>
      <c r="H782" s="2">
        <v>753446</v>
      </c>
      <c r="I782" s="2">
        <v>880262</v>
      </c>
      <c r="J782" s="2" t="s">
        <v>3888</v>
      </c>
      <c r="K782" s="2" t="s">
        <v>3896</v>
      </c>
      <c r="L782" s="2">
        <v>2023</v>
      </c>
      <c r="M782" s="2">
        <v>-126816</v>
      </c>
      <c r="N782" s="2">
        <f xml:space="preserve"> (Table1[[#This Row],[Variance (USD)]] / Table1[[#This Row],[Actual Spending (USD)]]) * 100</f>
        <v>-14.406619847272745</v>
      </c>
      <c r="O782" s="5" t="s">
        <v>3898</v>
      </c>
    </row>
    <row r="783" spans="1:15" x14ac:dyDescent="0.25">
      <c r="A783" s="4" t="s">
        <v>796</v>
      </c>
      <c r="B783" s="2" t="s">
        <v>3401</v>
      </c>
      <c r="C783" s="2" t="s">
        <v>3875</v>
      </c>
      <c r="D783" s="2" t="s">
        <v>3883</v>
      </c>
      <c r="E783" s="3">
        <v>44963</v>
      </c>
      <c r="F783" s="3">
        <v>45959</v>
      </c>
      <c r="G783" s="2" t="s">
        <v>3884</v>
      </c>
      <c r="H783" s="2">
        <v>641058</v>
      </c>
      <c r="I783" s="2">
        <v>825043</v>
      </c>
      <c r="J783" s="2" t="s">
        <v>3890</v>
      </c>
      <c r="K783" s="2" t="s">
        <v>3896</v>
      </c>
      <c r="L783" s="2">
        <v>2025</v>
      </c>
      <c r="M783" s="2">
        <v>-183985</v>
      </c>
      <c r="N783" s="2">
        <f xml:space="preserve"> (Table1[[#This Row],[Variance (USD)]] / Table1[[#This Row],[Actual Spending (USD)]]) * 100</f>
        <v>-22.300049815585368</v>
      </c>
      <c r="O783" s="5" t="s">
        <v>3897</v>
      </c>
    </row>
    <row r="784" spans="1:15" x14ac:dyDescent="0.25">
      <c r="A784" s="4" t="s">
        <v>797</v>
      </c>
      <c r="B784" s="2" t="s">
        <v>3055</v>
      </c>
      <c r="C784" s="2" t="s">
        <v>3874</v>
      </c>
      <c r="D784" s="2" t="s">
        <v>3880</v>
      </c>
      <c r="E784" s="3">
        <v>45259</v>
      </c>
      <c r="F784" s="3">
        <v>45740</v>
      </c>
      <c r="G784" s="2" t="s">
        <v>3886</v>
      </c>
      <c r="H784" s="2">
        <v>281360</v>
      </c>
      <c r="I784" s="2">
        <v>306016</v>
      </c>
      <c r="J784" s="2" t="s">
        <v>3890</v>
      </c>
      <c r="K784" s="2" t="s">
        <v>3893</v>
      </c>
      <c r="L784" s="2">
        <v>2025</v>
      </c>
      <c r="M784" s="2">
        <v>-24656</v>
      </c>
      <c r="N784" s="2">
        <f xml:space="preserve"> (Table1[[#This Row],[Variance (USD)]] / Table1[[#This Row],[Actual Spending (USD)]]) * 100</f>
        <v>-8.0570950538533932</v>
      </c>
      <c r="O784" s="5" t="s">
        <v>3899</v>
      </c>
    </row>
    <row r="785" spans="1:15" x14ac:dyDescent="0.25">
      <c r="A785" s="4" t="s">
        <v>798</v>
      </c>
      <c r="B785" s="2" t="s">
        <v>3524</v>
      </c>
      <c r="C785" s="2" t="s">
        <v>3868</v>
      </c>
      <c r="D785" s="2" t="s">
        <v>3876</v>
      </c>
      <c r="E785" s="3">
        <v>45329</v>
      </c>
      <c r="F785" s="3">
        <v>45719</v>
      </c>
      <c r="G785" s="2" t="s">
        <v>3884</v>
      </c>
      <c r="H785" s="2">
        <v>275440</v>
      </c>
      <c r="I785" s="2">
        <v>865887</v>
      </c>
      <c r="J785" s="2" t="s">
        <v>3889</v>
      </c>
      <c r="K785" s="2" t="s">
        <v>3894</v>
      </c>
      <c r="L785" s="2">
        <v>2023</v>
      </c>
      <c r="M785" s="2">
        <v>-590447</v>
      </c>
      <c r="N785" s="2">
        <f xml:space="preserve"> (Table1[[#This Row],[Variance (USD)]] / Table1[[#This Row],[Actual Spending (USD)]]) * 100</f>
        <v>-68.189844633306649</v>
      </c>
      <c r="O785" s="5" t="s">
        <v>3897</v>
      </c>
    </row>
    <row r="786" spans="1:15" x14ac:dyDescent="0.25">
      <c r="A786" s="4" t="s">
        <v>799</v>
      </c>
      <c r="B786" s="2" t="s">
        <v>3123</v>
      </c>
      <c r="C786" s="2" t="s">
        <v>3871</v>
      </c>
      <c r="D786" s="2" t="s">
        <v>3879</v>
      </c>
      <c r="E786" s="3">
        <v>45340</v>
      </c>
      <c r="F786" s="3">
        <v>45718</v>
      </c>
      <c r="G786" s="2" t="s">
        <v>3886</v>
      </c>
      <c r="H786" s="2">
        <v>960590</v>
      </c>
      <c r="I786" s="2">
        <v>851362</v>
      </c>
      <c r="J786" s="2" t="s">
        <v>3889</v>
      </c>
      <c r="K786" s="2" t="s">
        <v>3896</v>
      </c>
      <c r="L786" s="2">
        <v>2023</v>
      </c>
      <c r="M786" s="2">
        <v>109228</v>
      </c>
      <c r="N786" s="2">
        <f xml:space="preserve"> (Table1[[#This Row],[Variance (USD)]] / Table1[[#This Row],[Actual Spending (USD)]]) * 100</f>
        <v>12.829795081293268</v>
      </c>
      <c r="O786" s="5" t="s">
        <v>3899</v>
      </c>
    </row>
    <row r="787" spans="1:15" x14ac:dyDescent="0.25">
      <c r="A787" s="4" t="s">
        <v>800</v>
      </c>
      <c r="B787" s="2" t="s">
        <v>3525</v>
      </c>
      <c r="C787" s="2" t="s">
        <v>3875</v>
      </c>
      <c r="D787" s="2" t="s">
        <v>3881</v>
      </c>
      <c r="E787" s="3">
        <v>44971</v>
      </c>
      <c r="F787" s="3">
        <v>45712</v>
      </c>
      <c r="G787" s="2" t="s">
        <v>3884</v>
      </c>
      <c r="H787" s="2">
        <v>919946</v>
      </c>
      <c r="I787" s="2">
        <v>1141290</v>
      </c>
      <c r="J787" s="2" t="s">
        <v>3892</v>
      </c>
      <c r="K787" s="2" t="s">
        <v>3896</v>
      </c>
      <c r="L787" s="2">
        <v>2024</v>
      </c>
      <c r="M787" s="2">
        <v>-221344</v>
      </c>
      <c r="N787" s="2">
        <f xml:space="preserve"> (Table1[[#This Row],[Variance (USD)]] / Table1[[#This Row],[Actual Spending (USD)]]) * 100</f>
        <v>-19.39419428891868</v>
      </c>
      <c r="O787" s="5" t="s">
        <v>3897</v>
      </c>
    </row>
    <row r="788" spans="1:15" x14ac:dyDescent="0.25">
      <c r="A788" s="4" t="s">
        <v>801</v>
      </c>
      <c r="B788" s="2" t="s">
        <v>3526</v>
      </c>
      <c r="C788" s="2" t="s">
        <v>3872</v>
      </c>
      <c r="D788" s="2" t="s">
        <v>3879</v>
      </c>
      <c r="E788" s="3">
        <v>45328</v>
      </c>
      <c r="F788" s="3">
        <v>45613</v>
      </c>
      <c r="G788" s="2" t="s">
        <v>3885</v>
      </c>
      <c r="H788" s="2">
        <v>793537</v>
      </c>
      <c r="I788" s="2">
        <v>679194</v>
      </c>
      <c r="J788" s="2" t="s">
        <v>3888</v>
      </c>
      <c r="K788" s="2" t="s">
        <v>3894</v>
      </c>
      <c r="L788" s="2">
        <v>2023</v>
      </c>
      <c r="M788" s="2">
        <v>114343</v>
      </c>
      <c r="N788" s="2">
        <f xml:space="preserve"> (Table1[[#This Row],[Variance (USD)]] / Table1[[#This Row],[Actual Spending (USD)]]) * 100</f>
        <v>16.835101605726788</v>
      </c>
      <c r="O788" s="5" t="s">
        <v>3898</v>
      </c>
    </row>
    <row r="789" spans="1:15" x14ac:dyDescent="0.25">
      <c r="A789" s="4" t="s">
        <v>802</v>
      </c>
      <c r="B789" s="2" t="s">
        <v>3527</v>
      </c>
      <c r="C789" s="2" t="s">
        <v>3870</v>
      </c>
      <c r="D789" s="2" t="s">
        <v>3881</v>
      </c>
      <c r="E789" s="3">
        <v>45132</v>
      </c>
      <c r="F789" s="3">
        <v>45971</v>
      </c>
      <c r="G789" s="2" t="s">
        <v>3886</v>
      </c>
      <c r="H789" s="2">
        <v>142663</v>
      </c>
      <c r="I789" s="2">
        <v>1036298</v>
      </c>
      <c r="J789" s="2" t="s">
        <v>3892</v>
      </c>
      <c r="K789" s="2" t="s">
        <v>3893</v>
      </c>
      <c r="L789" s="2">
        <v>2024</v>
      </c>
      <c r="M789" s="2">
        <v>-893635</v>
      </c>
      <c r="N789" s="2">
        <f xml:space="preserve"> (Table1[[#This Row],[Variance (USD)]] / Table1[[#This Row],[Actual Spending (USD)]]) * 100</f>
        <v>-86.233400045160764</v>
      </c>
      <c r="O789" s="5" t="s">
        <v>3899</v>
      </c>
    </row>
    <row r="790" spans="1:15" x14ac:dyDescent="0.25">
      <c r="A790" s="4" t="s">
        <v>803</v>
      </c>
      <c r="B790" s="2" t="s">
        <v>3528</v>
      </c>
      <c r="C790" s="2" t="s">
        <v>3874</v>
      </c>
      <c r="D790" s="2" t="s">
        <v>3880</v>
      </c>
      <c r="E790" s="3">
        <v>44988</v>
      </c>
      <c r="F790" s="3">
        <v>45457</v>
      </c>
      <c r="G790" s="2" t="s">
        <v>3884</v>
      </c>
      <c r="H790" s="2">
        <v>740080</v>
      </c>
      <c r="I790" s="2">
        <v>996220</v>
      </c>
      <c r="J790" s="2" t="s">
        <v>3889</v>
      </c>
      <c r="K790" s="2" t="s">
        <v>3894</v>
      </c>
      <c r="L790" s="2">
        <v>2025</v>
      </c>
      <c r="M790" s="2">
        <v>-256140</v>
      </c>
      <c r="N790" s="2">
        <f xml:space="preserve"> (Table1[[#This Row],[Variance (USD)]] / Table1[[#This Row],[Actual Spending (USD)]]) * 100</f>
        <v>-25.711188291742786</v>
      </c>
      <c r="O790" s="5" t="s">
        <v>3897</v>
      </c>
    </row>
    <row r="791" spans="1:15" x14ac:dyDescent="0.25">
      <c r="A791" s="4" t="s">
        <v>804</v>
      </c>
      <c r="B791" s="2" t="s">
        <v>3113</v>
      </c>
      <c r="C791" s="2" t="s">
        <v>3868</v>
      </c>
      <c r="D791" s="2" t="s">
        <v>3883</v>
      </c>
      <c r="E791" s="3">
        <v>45346</v>
      </c>
      <c r="F791" s="3">
        <v>45888</v>
      </c>
      <c r="G791" s="2" t="s">
        <v>3886</v>
      </c>
      <c r="H791" s="2">
        <v>723439</v>
      </c>
      <c r="I791" s="2">
        <v>1078991</v>
      </c>
      <c r="J791" s="2" t="s">
        <v>3890</v>
      </c>
      <c r="K791" s="2" t="s">
        <v>3896</v>
      </c>
      <c r="L791" s="2">
        <v>2024</v>
      </c>
      <c r="M791" s="2">
        <v>-355552</v>
      </c>
      <c r="N791" s="2">
        <f xml:space="preserve"> (Table1[[#This Row],[Variance (USD)]] / Table1[[#This Row],[Actual Spending (USD)]]) * 100</f>
        <v>-32.952267442453184</v>
      </c>
      <c r="O791" s="5" t="s">
        <v>3899</v>
      </c>
    </row>
    <row r="792" spans="1:15" x14ac:dyDescent="0.25">
      <c r="A792" s="4" t="s">
        <v>805</v>
      </c>
      <c r="B792" s="2" t="s">
        <v>3279</v>
      </c>
      <c r="C792" s="2" t="s">
        <v>3870</v>
      </c>
      <c r="D792" s="2" t="s">
        <v>3878</v>
      </c>
      <c r="E792" s="3">
        <v>45394</v>
      </c>
      <c r="F792" s="3">
        <v>45940</v>
      </c>
      <c r="G792" s="2" t="s">
        <v>3885</v>
      </c>
      <c r="H792" s="2">
        <v>984842</v>
      </c>
      <c r="I792" s="2">
        <v>630729</v>
      </c>
      <c r="J792" s="2" t="s">
        <v>3889</v>
      </c>
      <c r="K792" s="2" t="s">
        <v>3895</v>
      </c>
      <c r="L792" s="2">
        <v>2023</v>
      </c>
      <c r="M792" s="2">
        <v>354113</v>
      </c>
      <c r="N792" s="2">
        <f xml:space="preserve"> (Table1[[#This Row],[Variance (USD)]] / Table1[[#This Row],[Actual Spending (USD)]]) * 100</f>
        <v>56.143446710076752</v>
      </c>
      <c r="O792" s="5" t="s">
        <v>3898</v>
      </c>
    </row>
    <row r="793" spans="1:15" x14ac:dyDescent="0.25">
      <c r="A793" s="4" t="s">
        <v>806</v>
      </c>
      <c r="B793" s="2" t="s">
        <v>3403</v>
      </c>
      <c r="C793" s="2" t="s">
        <v>3869</v>
      </c>
      <c r="D793" s="2" t="s">
        <v>3876</v>
      </c>
      <c r="E793" s="3">
        <v>44945</v>
      </c>
      <c r="F793" s="3">
        <v>45752</v>
      </c>
      <c r="G793" s="2" t="s">
        <v>3884</v>
      </c>
      <c r="H793" s="2">
        <v>708651</v>
      </c>
      <c r="I793" s="2">
        <v>666024</v>
      </c>
      <c r="J793" s="2" t="s">
        <v>3891</v>
      </c>
      <c r="K793" s="2" t="s">
        <v>3895</v>
      </c>
      <c r="L793" s="2">
        <v>2024</v>
      </c>
      <c r="M793" s="2">
        <v>42627</v>
      </c>
      <c r="N793" s="2">
        <f xml:space="preserve"> (Table1[[#This Row],[Variance (USD)]] / Table1[[#This Row],[Actual Spending (USD)]]) * 100</f>
        <v>6.4002198118986708</v>
      </c>
      <c r="O793" s="5" t="s">
        <v>3897</v>
      </c>
    </row>
    <row r="794" spans="1:15" x14ac:dyDescent="0.25">
      <c r="A794" s="4" t="s">
        <v>807</v>
      </c>
      <c r="B794" s="2" t="s">
        <v>3491</v>
      </c>
      <c r="C794" s="2" t="s">
        <v>3870</v>
      </c>
      <c r="D794" s="2" t="s">
        <v>3881</v>
      </c>
      <c r="E794" s="3">
        <v>45291</v>
      </c>
      <c r="F794" s="3">
        <v>45750</v>
      </c>
      <c r="G794" s="2" t="s">
        <v>3884</v>
      </c>
      <c r="H794" s="2">
        <v>255156</v>
      </c>
      <c r="I794" s="2">
        <v>625067</v>
      </c>
      <c r="J794" s="2" t="s">
        <v>3890</v>
      </c>
      <c r="K794" s="2" t="s">
        <v>3893</v>
      </c>
      <c r="L794" s="2">
        <v>2025</v>
      </c>
      <c r="M794" s="2">
        <v>-369911</v>
      </c>
      <c r="N794" s="2">
        <f xml:space="preserve"> (Table1[[#This Row],[Variance (USD)]] / Table1[[#This Row],[Actual Spending (USD)]]) * 100</f>
        <v>-59.179415966608381</v>
      </c>
      <c r="O794" s="5" t="s">
        <v>3897</v>
      </c>
    </row>
    <row r="795" spans="1:15" x14ac:dyDescent="0.25">
      <c r="A795" s="4" t="s">
        <v>808</v>
      </c>
      <c r="B795" s="2" t="s">
        <v>3063</v>
      </c>
      <c r="C795" s="2" t="s">
        <v>3869</v>
      </c>
      <c r="D795" s="2" t="s">
        <v>3881</v>
      </c>
      <c r="E795" s="3">
        <v>45226</v>
      </c>
      <c r="F795" s="3">
        <v>45480</v>
      </c>
      <c r="G795" s="2" t="s">
        <v>3884</v>
      </c>
      <c r="H795" s="2">
        <v>162808</v>
      </c>
      <c r="I795" s="2">
        <v>1046646</v>
      </c>
      <c r="J795" s="2" t="s">
        <v>3892</v>
      </c>
      <c r="K795" s="2" t="s">
        <v>3893</v>
      </c>
      <c r="L795" s="2">
        <v>2025</v>
      </c>
      <c r="M795" s="2">
        <v>-883838</v>
      </c>
      <c r="N795" s="2">
        <f xml:space="preserve"> (Table1[[#This Row],[Variance (USD)]] / Table1[[#This Row],[Actual Spending (USD)]]) * 100</f>
        <v>-84.444788400280515</v>
      </c>
      <c r="O795" s="5" t="s">
        <v>3897</v>
      </c>
    </row>
    <row r="796" spans="1:15" x14ac:dyDescent="0.25">
      <c r="A796" s="4" t="s">
        <v>809</v>
      </c>
      <c r="B796" s="2" t="s">
        <v>3529</v>
      </c>
      <c r="C796" s="2" t="s">
        <v>3869</v>
      </c>
      <c r="D796" s="2" t="s">
        <v>3880</v>
      </c>
      <c r="E796" s="3">
        <v>44933</v>
      </c>
      <c r="F796" s="3">
        <v>45755</v>
      </c>
      <c r="G796" s="2" t="s">
        <v>3884</v>
      </c>
      <c r="H796" s="2">
        <v>160091</v>
      </c>
      <c r="I796" s="2">
        <v>134448</v>
      </c>
      <c r="J796" s="2" t="s">
        <v>3890</v>
      </c>
      <c r="K796" s="2" t="s">
        <v>3896</v>
      </c>
      <c r="L796" s="2">
        <v>2023</v>
      </c>
      <c r="M796" s="2">
        <v>25643</v>
      </c>
      <c r="N796" s="2">
        <f xml:space="preserve"> (Table1[[#This Row],[Variance (USD)]] / Table1[[#This Row],[Actual Spending (USD)]]) * 100</f>
        <v>19.07280138045936</v>
      </c>
      <c r="O796" s="5" t="s">
        <v>3897</v>
      </c>
    </row>
    <row r="797" spans="1:15" x14ac:dyDescent="0.25">
      <c r="A797" s="4" t="s">
        <v>810</v>
      </c>
      <c r="B797" s="2" t="s">
        <v>3072</v>
      </c>
      <c r="C797" s="2" t="s">
        <v>3872</v>
      </c>
      <c r="D797" s="2" t="s">
        <v>3876</v>
      </c>
      <c r="E797" s="3">
        <v>45354</v>
      </c>
      <c r="F797" s="3">
        <v>45670</v>
      </c>
      <c r="G797" s="2" t="s">
        <v>3884</v>
      </c>
      <c r="H797" s="2">
        <v>935704</v>
      </c>
      <c r="I797" s="2">
        <v>302032</v>
      </c>
      <c r="J797" s="2" t="s">
        <v>3891</v>
      </c>
      <c r="K797" s="2" t="s">
        <v>3893</v>
      </c>
      <c r="L797" s="2">
        <v>2024</v>
      </c>
      <c r="M797" s="2">
        <v>633672</v>
      </c>
      <c r="N797" s="2">
        <f xml:space="preserve"> (Table1[[#This Row],[Variance (USD)]] / Table1[[#This Row],[Actual Spending (USD)]]) * 100</f>
        <v>209.8029347883668</v>
      </c>
      <c r="O797" s="5" t="s">
        <v>3897</v>
      </c>
    </row>
    <row r="798" spans="1:15" x14ac:dyDescent="0.25">
      <c r="A798" s="4" t="s">
        <v>811</v>
      </c>
      <c r="B798" s="2" t="s">
        <v>3530</v>
      </c>
      <c r="C798" s="2" t="s">
        <v>3869</v>
      </c>
      <c r="D798" s="2" t="s">
        <v>3883</v>
      </c>
      <c r="E798" s="3">
        <v>45043</v>
      </c>
      <c r="F798" s="3">
        <v>45293</v>
      </c>
      <c r="G798" s="2" t="s">
        <v>3886</v>
      </c>
      <c r="H798" s="2">
        <v>623681</v>
      </c>
      <c r="I798" s="2">
        <v>223786</v>
      </c>
      <c r="J798" s="2" t="s">
        <v>3889</v>
      </c>
      <c r="K798" s="2" t="s">
        <v>3896</v>
      </c>
      <c r="L798" s="2">
        <v>2023</v>
      </c>
      <c r="M798" s="2">
        <v>399895</v>
      </c>
      <c r="N798" s="2">
        <f xml:space="preserve"> (Table1[[#This Row],[Variance (USD)]] / Table1[[#This Row],[Actual Spending (USD)]]) * 100</f>
        <v>178.6952713753318</v>
      </c>
      <c r="O798" s="5" t="s">
        <v>3899</v>
      </c>
    </row>
    <row r="799" spans="1:15" x14ac:dyDescent="0.25">
      <c r="A799" s="4" t="s">
        <v>812</v>
      </c>
      <c r="B799" s="2" t="s">
        <v>3531</v>
      </c>
      <c r="C799" s="2" t="s">
        <v>3873</v>
      </c>
      <c r="D799" s="2" t="s">
        <v>3883</v>
      </c>
      <c r="E799" s="3">
        <v>45506</v>
      </c>
      <c r="F799" s="3">
        <v>45909</v>
      </c>
      <c r="G799" s="2" t="s">
        <v>3884</v>
      </c>
      <c r="H799" s="2">
        <v>667846</v>
      </c>
      <c r="I799" s="2">
        <v>1075358</v>
      </c>
      <c r="J799" s="2" t="s">
        <v>3888</v>
      </c>
      <c r="K799" s="2" t="s">
        <v>3895</v>
      </c>
      <c r="L799" s="2">
        <v>2023</v>
      </c>
      <c r="M799" s="2">
        <v>-407512</v>
      </c>
      <c r="N799" s="2">
        <f xml:space="preserve"> (Table1[[#This Row],[Variance (USD)]] / Table1[[#This Row],[Actual Spending (USD)]]) * 100</f>
        <v>-37.895472949473572</v>
      </c>
      <c r="O799" s="5" t="s">
        <v>3897</v>
      </c>
    </row>
    <row r="800" spans="1:15" x14ac:dyDescent="0.25">
      <c r="A800" s="4" t="s">
        <v>813</v>
      </c>
      <c r="B800" s="2" t="s">
        <v>3178</v>
      </c>
      <c r="C800" s="2" t="s">
        <v>3871</v>
      </c>
      <c r="D800" s="2" t="s">
        <v>3881</v>
      </c>
      <c r="E800" s="3">
        <v>45433</v>
      </c>
      <c r="F800" s="3">
        <v>45655</v>
      </c>
      <c r="G800" s="2" t="s">
        <v>3885</v>
      </c>
      <c r="H800" s="2">
        <v>119770</v>
      </c>
      <c r="I800" s="2">
        <v>1094511</v>
      </c>
      <c r="J800" s="2" t="s">
        <v>3888</v>
      </c>
      <c r="K800" s="2" t="s">
        <v>3893</v>
      </c>
      <c r="L800" s="2">
        <v>2025</v>
      </c>
      <c r="M800" s="2">
        <v>-974741</v>
      </c>
      <c r="N800" s="2">
        <f xml:space="preserve"> (Table1[[#This Row],[Variance (USD)]] / Table1[[#This Row],[Actual Spending (USD)]]) * 100</f>
        <v>-89.057213678071761</v>
      </c>
      <c r="O800" s="5" t="s">
        <v>3898</v>
      </c>
    </row>
    <row r="801" spans="1:15" x14ac:dyDescent="0.25">
      <c r="A801" s="4" t="s">
        <v>814</v>
      </c>
      <c r="B801" s="2" t="s">
        <v>3532</v>
      </c>
      <c r="C801" s="2" t="s">
        <v>3871</v>
      </c>
      <c r="D801" s="2" t="s">
        <v>3878</v>
      </c>
      <c r="E801" s="3">
        <v>45472</v>
      </c>
      <c r="F801" s="3">
        <v>45363</v>
      </c>
      <c r="G801" s="2" t="s">
        <v>3884</v>
      </c>
      <c r="H801" s="2">
        <v>863152</v>
      </c>
      <c r="I801" s="2">
        <v>372775</v>
      </c>
      <c r="J801" s="2" t="s">
        <v>3888</v>
      </c>
      <c r="K801" s="2" t="s">
        <v>3896</v>
      </c>
      <c r="L801" s="2">
        <v>2024</v>
      </c>
      <c r="M801" s="2">
        <v>490377</v>
      </c>
      <c r="N801" s="2">
        <f xml:space="preserve"> (Table1[[#This Row],[Variance (USD)]] / Table1[[#This Row],[Actual Spending (USD)]]) * 100</f>
        <v>131.54771645094226</v>
      </c>
      <c r="O801" s="5" t="s">
        <v>3897</v>
      </c>
    </row>
    <row r="802" spans="1:15" x14ac:dyDescent="0.25">
      <c r="A802" s="4" t="s">
        <v>815</v>
      </c>
      <c r="B802" s="2" t="s">
        <v>3363</v>
      </c>
      <c r="C802" s="2" t="s">
        <v>3872</v>
      </c>
      <c r="D802" s="2" t="s">
        <v>3878</v>
      </c>
      <c r="E802" s="3">
        <v>45632</v>
      </c>
      <c r="F802" s="3">
        <v>45718</v>
      </c>
      <c r="G802" s="2" t="s">
        <v>3884</v>
      </c>
      <c r="H802" s="2">
        <v>849800</v>
      </c>
      <c r="I802" s="2">
        <v>1024233</v>
      </c>
      <c r="J802" s="2" t="s">
        <v>3889</v>
      </c>
      <c r="K802" s="2" t="s">
        <v>3894</v>
      </c>
      <c r="L802" s="2">
        <v>2023</v>
      </c>
      <c r="M802" s="2">
        <v>-174433</v>
      </c>
      <c r="N802" s="2">
        <f xml:space="preserve"> (Table1[[#This Row],[Variance (USD)]] / Table1[[#This Row],[Actual Spending (USD)]]) * 100</f>
        <v>-17.030597530054198</v>
      </c>
      <c r="O802" s="5" t="s">
        <v>3897</v>
      </c>
    </row>
    <row r="803" spans="1:15" x14ac:dyDescent="0.25">
      <c r="A803" s="4" t="s">
        <v>816</v>
      </c>
      <c r="B803" s="2" t="s">
        <v>3533</v>
      </c>
      <c r="C803" s="2" t="s">
        <v>3873</v>
      </c>
      <c r="D803" s="2" t="s">
        <v>3879</v>
      </c>
      <c r="E803" s="3">
        <v>45251</v>
      </c>
      <c r="F803" s="3">
        <v>45929</v>
      </c>
      <c r="G803" s="2" t="s">
        <v>3884</v>
      </c>
      <c r="H803" s="2">
        <v>235385</v>
      </c>
      <c r="I803" s="2">
        <v>555608</v>
      </c>
      <c r="J803" s="2" t="s">
        <v>3888</v>
      </c>
      <c r="K803" s="2" t="s">
        <v>3893</v>
      </c>
      <c r="L803" s="2">
        <v>2025</v>
      </c>
      <c r="M803" s="2">
        <v>-320223</v>
      </c>
      <c r="N803" s="2">
        <f xml:space="preserve"> (Table1[[#This Row],[Variance (USD)]] / Table1[[#This Row],[Actual Spending (USD)]]) * 100</f>
        <v>-57.634699284387558</v>
      </c>
      <c r="O803" s="5" t="s">
        <v>3897</v>
      </c>
    </row>
    <row r="804" spans="1:15" x14ac:dyDescent="0.25">
      <c r="A804" s="4" t="s">
        <v>817</v>
      </c>
      <c r="B804" s="2" t="s">
        <v>3534</v>
      </c>
      <c r="C804" s="2" t="s">
        <v>3870</v>
      </c>
      <c r="D804" s="2" t="s">
        <v>3876</v>
      </c>
      <c r="E804" s="3">
        <v>44981</v>
      </c>
      <c r="F804" s="3">
        <v>45461</v>
      </c>
      <c r="G804" s="2" t="s">
        <v>3884</v>
      </c>
      <c r="H804" s="2">
        <v>884401</v>
      </c>
      <c r="I804" s="2">
        <v>338176</v>
      </c>
      <c r="J804" s="2" t="s">
        <v>3891</v>
      </c>
      <c r="K804" s="2" t="s">
        <v>3896</v>
      </c>
      <c r="L804" s="2">
        <v>2023</v>
      </c>
      <c r="M804" s="2">
        <v>546225</v>
      </c>
      <c r="N804" s="2">
        <f xml:space="preserve"> (Table1[[#This Row],[Variance (USD)]] / Table1[[#This Row],[Actual Spending (USD)]]) * 100</f>
        <v>161.52092401589704</v>
      </c>
      <c r="O804" s="5" t="s">
        <v>3897</v>
      </c>
    </row>
    <row r="805" spans="1:15" x14ac:dyDescent="0.25">
      <c r="A805" s="4" t="s">
        <v>818</v>
      </c>
      <c r="B805" s="2" t="s">
        <v>3535</v>
      </c>
      <c r="C805" s="2" t="s">
        <v>3875</v>
      </c>
      <c r="D805" s="2" t="s">
        <v>3876</v>
      </c>
      <c r="E805" s="3">
        <v>44968</v>
      </c>
      <c r="F805" s="3">
        <v>45496</v>
      </c>
      <c r="G805" s="2" t="s">
        <v>3884</v>
      </c>
      <c r="H805" s="2">
        <v>98838</v>
      </c>
      <c r="I805" s="2">
        <v>632051</v>
      </c>
      <c r="J805" s="2" t="s">
        <v>3889</v>
      </c>
      <c r="K805" s="2" t="s">
        <v>3896</v>
      </c>
      <c r="L805" s="2">
        <v>2024</v>
      </c>
      <c r="M805" s="2">
        <v>-533213</v>
      </c>
      <c r="N805" s="2">
        <f xml:space="preserve"> (Table1[[#This Row],[Variance (USD)]] / Table1[[#This Row],[Actual Spending (USD)]]) * 100</f>
        <v>-84.362337849319118</v>
      </c>
      <c r="O805" s="5" t="s">
        <v>3897</v>
      </c>
    </row>
    <row r="806" spans="1:15" x14ac:dyDescent="0.25">
      <c r="A806" s="4" t="s">
        <v>819</v>
      </c>
      <c r="B806" s="2" t="s">
        <v>3514</v>
      </c>
      <c r="C806" s="2" t="s">
        <v>3870</v>
      </c>
      <c r="D806" s="2" t="s">
        <v>3883</v>
      </c>
      <c r="E806" s="3">
        <v>45223</v>
      </c>
      <c r="F806" s="3">
        <v>45628</v>
      </c>
      <c r="G806" s="2" t="s">
        <v>3884</v>
      </c>
      <c r="H806" s="2">
        <v>583022</v>
      </c>
      <c r="I806" s="2">
        <v>965411</v>
      </c>
      <c r="J806" s="2" t="s">
        <v>3888</v>
      </c>
      <c r="K806" s="2" t="s">
        <v>3894</v>
      </c>
      <c r="L806" s="2">
        <v>2023</v>
      </c>
      <c r="M806" s="2">
        <v>-382389</v>
      </c>
      <c r="N806" s="2">
        <f xml:space="preserve"> (Table1[[#This Row],[Variance (USD)]] / Table1[[#This Row],[Actual Spending (USD)]]) * 100</f>
        <v>-39.60893339727847</v>
      </c>
      <c r="O806" s="5" t="s">
        <v>3897</v>
      </c>
    </row>
    <row r="807" spans="1:15" x14ac:dyDescent="0.25">
      <c r="A807" s="4" t="s">
        <v>820</v>
      </c>
      <c r="B807" s="2" t="s">
        <v>3459</v>
      </c>
      <c r="C807" s="2" t="s">
        <v>3874</v>
      </c>
      <c r="D807" s="2" t="s">
        <v>3879</v>
      </c>
      <c r="E807" s="3">
        <v>45157</v>
      </c>
      <c r="F807" s="3">
        <v>45763</v>
      </c>
      <c r="G807" s="2" t="s">
        <v>3884</v>
      </c>
      <c r="H807" s="2">
        <v>681475</v>
      </c>
      <c r="I807" s="2">
        <v>574428</v>
      </c>
      <c r="J807" s="2" t="s">
        <v>3892</v>
      </c>
      <c r="K807" s="2" t="s">
        <v>3895</v>
      </c>
      <c r="L807" s="2">
        <v>2024</v>
      </c>
      <c r="M807" s="2">
        <v>107047</v>
      </c>
      <c r="N807" s="2">
        <f xml:space="preserve"> (Table1[[#This Row],[Variance (USD)]] / Table1[[#This Row],[Actual Spending (USD)]]) * 100</f>
        <v>18.63540774474782</v>
      </c>
      <c r="O807" s="5" t="s">
        <v>3897</v>
      </c>
    </row>
    <row r="808" spans="1:15" x14ac:dyDescent="0.25">
      <c r="A808" s="4" t="s">
        <v>821</v>
      </c>
      <c r="B808" s="2" t="s">
        <v>3240</v>
      </c>
      <c r="C808" s="2" t="s">
        <v>3875</v>
      </c>
      <c r="D808" s="2" t="s">
        <v>3880</v>
      </c>
      <c r="E808" s="3">
        <v>45379</v>
      </c>
      <c r="F808" s="3">
        <v>45486</v>
      </c>
      <c r="G808" s="2" t="s">
        <v>3886</v>
      </c>
      <c r="H808" s="2">
        <v>149329</v>
      </c>
      <c r="I808" s="2">
        <v>115591</v>
      </c>
      <c r="J808" s="2" t="s">
        <v>3889</v>
      </c>
      <c r="K808" s="2" t="s">
        <v>3894</v>
      </c>
      <c r="L808" s="2">
        <v>2025</v>
      </c>
      <c r="M808" s="2">
        <v>33738</v>
      </c>
      <c r="N808" s="2">
        <f xml:space="preserve"> (Table1[[#This Row],[Variance (USD)]] / Table1[[#This Row],[Actual Spending (USD)]]) * 100</f>
        <v>29.187393482191521</v>
      </c>
      <c r="O808" s="5" t="s">
        <v>3899</v>
      </c>
    </row>
    <row r="809" spans="1:15" x14ac:dyDescent="0.25">
      <c r="A809" s="4" t="s">
        <v>822</v>
      </c>
      <c r="B809" s="2" t="s">
        <v>3244</v>
      </c>
      <c r="C809" s="2" t="s">
        <v>3869</v>
      </c>
      <c r="D809" s="2" t="s">
        <v>3876</v>
      </c>
      <c r="E809" s="3">
        <v>45320</v>
      </c>
      <c r="F809" s="3">
        <v>45961</v>
      </c>
      <c r="G809" s="2" t="s">
        <v>3886</v>
      </c>
      <c r="H809" s="2">
        <v>570146</v>
      </c>
      <c r="I809" s="2">
        <v>1062673</v>
      </c>
      <c r="J809" s="2" t="s">
        <v>3889</v>
      </c>
      <c r="K809" s="2" t="s">
        <v>3896</v>
      </c>
      <c r="L809" s="2">
        <v>2025</v>
      </c>
      <c r="M809" s="2">
        <v>-492527</v>
      </c>
      <c r="N809" s="2">
        <f xml:space="preserve"> (Table1[[#This Row],[Variance (USD)]] / Table1[[#This Row],[Actual Spending (USD)]]) * 100</f>
        <v>-46.347935818450267</v>
      </c>
      <c r="O809" s="5" t="s">
        <v>3899</v>
      </c>
    </row>
    <row r="810" spans="1:15" x14ac:dyDescent="0.25">
      <c r="A810" s="4" t="s">
        <v>823</v>
      </c>
      <c r="B810" s="2" t="s">
        <v>3405</v>
      </c>
      <c r="C810" s="2" t="s">
        <v>3868</v>
      </c>
      <c r="D810" s="2" t="s">
        <v>3879</v>
      </c>
      <c r="E810" s="3">
        <v>45448</v>
      </c>
      <c r="F810" s="3">
        <v>45944</v>
      </c>
      <c r="G810" s="2" t="s">
        <v>3884</v>
      </c>
      <c r="H810" s="2">
        <v>455413</v>
      </c>
      <c r="I810" s="2">
        <v>209809</v>
      </c>
      <c r="J810" s="2" t="s">
        <v>3890</v>
      </c>
      <c r="K810" s="2" t="s">
        <v>3894</v>
      </c>
      <c r="L810" s="2">
        <v>2023</v>
      </c>
      <c r="M810" s="2">
        <v>245604</v>
      </c>
      <c r="N810" s="2">
        <f xml:space="preserve"> (Table1[[#This Row],[Variance (USD)]] / Table1[[#This Row],[Actual Spending (USD)]]) * 100</f>
        <v>117.06075525835402</v>
      </c>
      <c r="O810" s="5" t="s">
        <v>3897</v>
      </c>
    </row>
    <row r="811" spans="1:15" x14ac:dyDescent="0.25">
      <c r="A811" s="4" t="s">
        <v>824</v>
      </c>
      <c r="B811" s="2" t="s">
        <v>3269</v>
      </c>
      <c r="C811" s="2" t="s">
        <v>3875</v>
      </c>
      <c r="D811" s="2" t="s">
        <v>3879</v>
      </c>
      <c r="E811" s="3">
        <v>45284</v>
      </c>
      <c r="F811" s="3">
        <v>45566</v>
      </c>
      <c r="G811" s="2" t="s">
        <v>3886</v>
      </c>
      <c r="H811" s="2">
        <v>905327</v>
      </c>
      <c r="I811" s="2">
        <v>388734</v>
      </c>
      <c r="J811" s="2" t="s">
        <v>3888</v>
      </c>
      <c r="K811" s="2" t="s">
        <v>3894</v>
      </c>
      <c r="L811" s="2">
        <v>2025</v>
      </c>
      <c r="M811" s="2">
        <v>516593</v>
      </c>
      <c r="N811" s="2">
        <f xml:space="preserve"> (Table1[[#This Row],[Variance (USD)]] / Table1[[#This Row],[Actual Spending (USD)]]) * 100</f>
        <v>132.89112863809186</v>
      </c>
      <c r="O811" s="5" t="s">
        <v>3899</v>
      </c>
    </row>
    <row r="812" spans="1:15" x14ac:dyDescent="0.25">
      <c r="A812" s="4" t="s">
        <v>825</v>
      </c>
      <c r="B812" s="2" t="s">
        <v>3057</v>
      </c>
      <c r="C812" s="2" t="s">
        <v>3868</v>
      </c>
      <c r="D812" s="2" t="s">
        <v>3881</v>
      </c>
      <c r="E812" s="3">
        <v>45370</v>
      </c>
      <c r="F812" s="3">
        <v>45298</v>
      </c>
      <c r="G812" s="2" t="s">
        <v>3886</v>
      </c>
      <c r="H812" s="2">
        <v>808921</v>
      </c>
      <c r="I812" s="2">
        <v>1058232</v>
      </c>
      <c r="J812" s="2" t="s">
        <v>3892</v>
      </c>
      <c r="K812" s="2" t="s">
        <v>3896</v>
      </c>
      <c r="L812" s="2">
        <v>2023</v>
      </c>
      <c r="M812" s="2">
        <v>-249311</v>
      </c>
      <c r="N812" s="2">
        <f xml:space="preserve"> (Table1[[#This Row],[Variance (USD)]] / Table1[[#This Row],[Actual Spending (USD)]]) * 100</f>
        <v>-23.55920062897361</v>
      </c>
      <c r="O812" s="5" t="s">
        <v>3899</v>
      </c>
    </row>
    <row r="813" spans="1:15" x14ac:dyDescent="0.25">
      <c r="A813" s="4" t="s">
        <v>826</v>
      </c>
      <c r="B813" s="2" t="s">
        <v>3110</v>
      </c>
      <c r="C813" s="2" t="s">
        <v>3871</v>
      </c>
      <c r="D813" s="2" t="s">
        <v>3883</v>
      </c>
      <c r="E813" s="3">
        <v>45054</v>
      </c>
      <c r="F813" s="3">
        <v>45857</v>
      </c>
      <c r="G813" s="2" t="s">
        <v>3884</v>
      </c>
      <c r="H813" s="2">
        <v>170424</v>
      </c>
      <c r="I813" s="2">
        <v>514331</v>
      </c>
      <c r="J813" s="2" t="s">
        <v>3891</v>
      </c>
      <c r="K813" s="2" t="s">
        <v>3895</v>
      </c>
      <c r="L813" s="2">
        <v>2023</v>
      </c>
      <c r="M813" s="2">
        <v>-343907</v>
      </c>
      <c r="N813" s="2">
        <f xml:space="preserve"> (Table1[[#This Row],[Variance (USD)]] / Table1[[#This Row],[Actual Spending (USD)]]) * 100</f>
        <v>-66.864917728077828</v>
      </c>
      <c r="O813" s="5" t="s">
        <v>3897</v>
      </c>
    </row>
    <row r="814" spans="1:15" x14ac:dyDescent="0.25">
      <c r="A814" s="4" t="s">
        <v>827</v>
      </c>
      <c r="B814" s="2" t="s">
        <v>3331</v>
      </c>
      <c r="C814" s="2" t="s">
        <v>3868</v>
      </c>
      <c r="D814" s="2" t="s">
        <v>3879</v>
      </c>
      <c r="E814" s="3">
        <v>45617</v>
      </c>
      <c r="F814" s="3">
        <v>45907</v>
      </c>
      <c r="G814" s="2" t="s">
        <v>3887</v>
      </c>
      <c r="H814" s="2">
        <v>937687</v>
      </c>
      <c r="I814" s="2">
        <v>922566</v>
      </c>
      <c r="J814" s="2" t="s">
        <v>3889</v>
      </c>
      <c r="K814" s="2" t="s">
        <v>3894</v>
      </c>
      <c r="L814" s="2">
        <v>2024</v>
      </c>
      <c r="M814" s="2">
        <v>15121</v>
      </c>
      <c r="N814" s="2">
        <f xml:space="preserve"> (Table1[[#This Row],[Variance (USD)]] / Table1[[#This Row],[Actual Spending (USD)]]) * 100</f>
        <v>1.6390155284283183</v>
      </c>
      <c r="O814" s="5" t="s">
        <v>3900</v>
      </c>
    </row>
    <row r="815" spans="1:15" x14ac:dyDescent="0.25">
      <c r="A815" s="4" t="s">
        <v>828</v>
      </c>
      <c r="B815" s="2" t="s">
        <v>3536</v>
      </c>
      <c r="C815" s="2" t="s">
        <v>3871</v>
      </c>
      <c r="D815" s="2" t="s">
        <v>3882</v>
      </c>
      <c r="E815" s="3">
        <v>45331</v>
      </c>
      <c r="F815" s="3">
        <v>45864</v>
      </c>
      <c r="G815" s="2" t="s">
        <v>3885</v>
      </c>
      <c r="H815" s="2">
        <v>370217</v>
      </c>
      <c r="I815" s="2">
        <v>374750</v>
      </c>
      <c r="J815" s="2" t="s">
        <v>3891</v>
      </c>
      <c r="K815" s="2" t="s">
        <v>3894</v>
      </c>
      <c r="L815" s="2">
        <v>2023</v>
      </c>
      <c r="M815" s="2">
        <v>-4533</v>
      </c>
      <c r="N815" s="2">
        <f xml:space="preserve"> (Table1[[#This Row],[Variance (USD)]] / Table1[[#This Row],[Actual Spending (USD)]]) * 100</f>
        <v>-1.2096064042695132</v>
      </c>
      <c r="O815" s="5" t="s">
        <v>3898</v>
      </c>
    </row>
    <row r="816" spans="1:15" x14ac:dyDescent="0.25">
      <c r="A816" s="4" t="s">
        <v>829</v>
      </c>
      <c r="B816" s="2" t="s">
        <v>3537</v>
      </c>
      <c r="C816" s="2" t="s">
        <v>3873</v>
      </c>
      <c r="D816" s="2" t="s">
        <v>3878</v>
      </c>
      <c r="E816" s="3">
        <v>45318</v>
      </c>
      <c r="F816" s="3">
        <v>45890</v>
      </c>
      <c r="G816" s="2" t="s">
        <v>3884</v>
      </c>
      <c r="H816" s="2">
        <v>778285</v>
      </c>
      <c r="I816" s="2">
        <v>664198</v>
      </c>
      <c r="J816" s="2" t="s">
        <v>3891</v>
      </c>
      <c r="K816" s="2" t="s">
        <v>3893</v>
      </c>
      <c r="L816" s="2">
        <v>2024</v>
      </c>
      <c r="M816" s="2">
        <v>114087</v>
      </c>
      <c r="N816" s="2">
        <f xml:space="preserve"> (Table1[[#This Row],[Variance (USD)]] / Table1[[#This Row],[Actual Spending (USD)]]) * 100</f>
        <v>17.176655154035391</v>
      </c>
      <c r="O816" s="5" t="s">
        <v>3897</v>
      </c>
    </row>
    <row r="817" spans="1:15" x14ac:dyDescent="0.25">
      <c r="A817" s="4" t="s">
        <v>830</v>
      </c>
      <c r="B817" s="2" t="s">
        <v>3538</v>
      </c>
      <c r="C817" s="2" t="s">
        <v>3873</v>
      </c>
      <c r="D817" s="2" t="s">
        <v>3882</v>
      </c>
      <c r="E817" s="3">
        <v>45119</v>
      </c>
      <c r="F817" s="3">
        <v>45469</v>
      </c>
      <c r="G817" s="2" t="s">
        <v>3884</v>
      </c>
      <c r="H817" s="2">
        <v>294042</v>
      </c>
      <c r="I817" s="2">
        <v>871113</v>
      </c>
      <c r="J817" s="2" t="s">
        <v>3891</v>
      </c>
      <c r="K817" s="2" t="s">
        <v>3893</v>
      </c>
      <c r="L817" s="2">
        <v>2023</v>
      </c>
      <c r="M817" s="2">
        <v>-577071</v>
      </c>
      <c r="N817" s="2">
        <f xml:space="preserve"> (Table1[[#This Row],[Variance (USD)]] / Table1[[#This Row],[Actual Spending (USD)]]) * 100</f>
        <v>-66.245251764122443</v>
      </c>
      <c r="O817" s="5" t="s">
        <v>3897</v>
      </c>
    </row>
    <row r="818" spans="1:15" x14ac:dyDescent="0.25">
      <c r="A818" s="4" t="s">
        <v>831</v>
      </c>
      <c r="B818" s="2" t="s">
        <v>3237</v>
      </c>
      <c r="C818" s="2" t="s">
        <v>3872</v>
      </c>
      <c r="D818" s="2" t="s">
        <v>3878</v>
      </c>
      <c r="E818" s="3">
        <v>45530</v>
      </c>
      <c r="F818" s="3">
        <v>45533</v>
      </c>
      <c r="G818" s="2" t="s">
        <v>3884</v>
      </c>
      <c r="H818" s="2">
        <v>785848</v>
      </c>
      <c r="I818" s="2">
        <v>654351</v>
      </c>
      <c r="J818" s="2" t="s">
        <v>3890</v>
      </c>
      <c r="K818" s="2" t="s">
        <v>3896</v>
      </c>
      <c r="L818" s="2">
        <v>2024</v>
      </c>
      <c r="M818" s="2">
        <v>131497</v>
      </c>
      <c r="N818" s="2">
        <f xml:space="preserve"> (Table1[[#This Row],[Variance (USD)]] / Table1[[#This Row],[Actual Spending (USD)]]) * 100</f>
        <v>20.09578956859545</v>
      </c>
      <c r="O818" s="5" t="s">
        <v>3897</v>
      </c>
    </row>
    <row r="819" spans="1:15" x14ac:dyDescent="0.25">
      <c r="A819" s="4" t="s">
        <v>832</v>
      </c>
      <c r="B819" s="2" t="s">
        <v>3207</v>
      </c>
      <c r="C819" s="2" t="s">
        <v>3872</v>
      </c>
      <c r="D819" s="2" t="s">
        <v>3877</v>
      </c>
      <c r="E819" s="3">
        <v>45004</v>
      </c>
      <c r="F819" s="3">
        <v>45494</v>
      </c>
      <c r="G819" s="2" t="s">
        <v>3884</v>
      </c>
      <c r="H819" s="2">
        <v>275683</v>
      </c>
      <c r="I819" s="2">
        <v>93474</v>
      </c>
      <c r="J819" s="2" t="s">
        <v>3891</v>
      </c>
      <c r="K819" s="2" t="s">
        <v>3896</v>
      </c>
      <c r="L819" s="2">
        <v>2025</v>
      </c>
      <c r="M819" s="2">
        <v>182209</v>
      </c>
      <c r="N819" s="2">
        <f xml:space="preserve"> (Table1[[#This Row],[Variance (USD)]] / Table1[[#This Row],[Actual Spending (USD)]]) * 100</f>
        <v>194.93014100177589</v>
      </c>
      <c r="O819" s="5" t="s">
        <v>3897</v>
      </c>
    </row>
    <row r="820" spans="1:15" x14ac:dyDescent="0.25">
      <c r="A820" s="4" t="s">
        <v>833</v>
      </c>
      <c r="B820" s="2" t="s">
        <v>3060</v>
      </c>
      <c r="C820" s="2" t="s">
        <v>3869</v>
      </c>
      <c r="D820" s="2" t="s">
        <v>3883</v>
      </c>
      <c r="E820" s="3">
        <v>45011</v>
      </c>
      <c r="F820" s="3">
        <v>45834</v>
      </c>
      <c r="G820" s="2" t="s">
        <v>3886</v>
      </c>
      <c r="H820" s="2">
        <v>265547</v>
      </c>
      <c r="I820" s="2">
        <v>714873</v>
      </c>
      <c r="J820" s="2" t="s">
        <v>3888</v>
      </c>
      <c r="K820" s="2" t="s">
        <v>3896</v>
      </c>
      <c r="L820" s="2">
        <v>2023</v>
      </c>
      <c r="M820" s="2">
        <v>-449326</v>
      </c>
      <c r="N820" s="2">
        <f xml:space="preserve"> (Table1[[#This Row],[Variance (USD)]] / Table1[[#This Row],[Actual Spending (USD)]]) * 100</f>
        <v>-62.853961472876996</v>
      </c>
      <c r="O820" s="5" t="s">
        <v>3899</v>
      </c>
    </row>
    <row r="821" spans="1:15" x14ac:dyDescent="0.25">
      <c r="A821" s="4" t="s">
        <v>834</v>
      </c>
      <c r="B821" s="2" t="s">
        <v>3067</v>
      </c>
      <c r="C821" s="2" t="s">
        <v>3875</v>
      </c>
      <c r="D821" s="2" t="s">
        <v>3881</v>
      </c>
      <c r="E821" s="3">
        <v>44956</v>
      </c>
      <c r="F821" s="3">
        <v>45753</v>
      </c>
      <c r="G821" s="2" t="s">
        <v>3884</v>
      </c>
      <c r="H821" s="2">
        <v>293603</v>
      </c>
      <c r="I821" s="2">
        <v>404340</v>
      </c>
      <c r="J821" s="2" t="s">
        <v>3888</v>
      </c>
      <c r="K821" s="2" t="s">
        <v>3893</v>
      </c>
      <c r="L821" s="2">
        <v>2024</v>
      </c>
      <c r="M821" s="2">
        <v>-110737</v>
      </c>
      <c r="N821" s="2">
        <f xml:space="preserve"> (Table1[[#This Row],[Variance (USD)]] / Table1[[#This Row],[Actual Spending (USD)]]) * 100</f>
        <v>-27.387099965375672</v>
      </c>
      <c r="O821" s="5" t="s">
        <v>3897</v>
      </c>
    </row>
    <row r="822" spans="1:15" x14ac:dyDescent="0.25">
      <c r="A822" s="4" t="s">
        <v>835</v>
      </c>
      <c r="B822" s="2" t="s">
        <v>3344</v>
      </c>
      <c r="C822" s="2" t="s">
        <v>3869</v>
      </c>
      <c r="D822" s="2" t="s">
        <v>3880</v>
      </c>
      <c r="E822" s="3">
        <v>45651</v>
      </c>
      <c r="F822" s="3">
        <v>45371</v>
      </c>
      <c r="G822" s="2" t="s">
        <v>3886</v>
      </c>
      <c r="H822" s="2">
        <v>755662</v>
      </c>
      <c r="I822" s="2">
        <v>1130208</v>
      </c>
      <c r="J822" s="2" t="s">
        <v>3892</v>
      </c>
      <c r="K822" s="2" t="s">
        <v>3896</v>
      </c>
      <c r="L822" s="2">
        <v>2023</v>
      </c>
      <c r="M822" s="2">
        <v>-374546</v>
      </c>
      <c r="N822" s="2">
        <f xml:space="preserve"> (Table1[[#This Row],[Variance (USD)]] / Table1[[#This Row],[Actual Spending (USD)]]) * 100</f>
        <v>-33.139563690931226</v>
      </c>
      <c r="O822" s="5" t="s">
        <v>3899</v>
      </c>
    </row>
    <row r="823" spans="1:15" x14ac:dyDescent="0.25">
      <c r="A823" s="4" t="s">
        <v>836</v>
      </c>
      <c r="B823" s="2" t="s">
        <v>3539</v>
      </c>
      <c r="C823" s="2" t="s">
        <v>3871</v>
      </c>
      <c r="D823" s="2" t="s">
        <v>3882</v>
      </c>
      <c r="E823" s="3">
        <v>44975</v>
      </c>
      <c r="F823" s="3">
        <v>45814</v>
      </c>
      <c r="G823" s="2" t="s">
        <v>3886</v>
      </c>
      <c r="H823" s="2">
        <v>852056</v>
      </c>
      <c r="I823" s="2">
        <v>438625</v>
      </c>
      <c r="J823" s="2" t="s">
        <v>3892</v>
      </c>
      <c r="K823" s="2" t="s">
        <v>3894</v>
      </c>
      <c r="L823" s="2">
        <v>2024</v>
      </c>
      <c r="M823" s="2">
        <v>413431</v>
      </c>
      <c r="N823" s="2">
        <f xml:space="preserve"> (Table1[[#This Row],[Variance (USD)]] / Table1[[#This Row],[Actual Spending (USD)]]) * 100</f>
        <v>94.2561413508122</v>
      </c>
      <c r="O823" s="5" t="s">
        <v>3899</v>
      </c>
    </row>
    <row r="824" spans="1:15" x14ac:dyDescent="0.25">
      <c r="A824" s="4" t="s">
        <v>837</v>
      </c>
      <c r="B824" s="2" t="s">
        <v>3480</v>
      </c>
      <c r="C824" s="2" t="s">
        <v>3869</v>
      </c>
      <c r="D824" s="2" t="s">
        <v>3882</v>
      </c>
      <c r="E824" s="3">
        <v>45071</v>
      </c>
      <c r="F824" s="3">
        <v>45708</v>
      </c>
      <c r="G824" s="2" t="s">
        <v>3886</v>
      </c>
      <c r="H824" s="2">
        <v>248343</v>
      </c>
      <c r="I824" s="2">
        <v>1088105</v>
      </c>
      <c r="J824" s="2" t="s">
        <v>3891</v>
      </c>
      <c r="K824" s="2" t="s">
        <v>3894</v>
      </c>
      <c r="L824" s="2">
        <v>2024</v>
      </c>
      <c r="M824" s="2">
        <v>-839762</v>
      </c>
      <c r="N824" s="2">
        <f xml:space="preserve"> (Table1[[#This Row],[Variance (USD)]] / Table1[[#This Row],[Actual Spending (USD)]]) * 100</f>
        <v>-77.176559247499085</v>
      </c>
      <c r="O824" s="5" t="s">
        <v>3899</v>
      </c>
    </row>
    <row r="825" spans="1:15" x14ac:dyDescent="0.25">
      <c r="A825" s="4" t="s">
        <v>838</v>
      </c>
      <c r="B825" s="2" t="s">
        <v>3540</v>
      </c>
      <c r="C825" s="2" t="s">
        <v>3868</v>
      </c>
      <c r="D825" s="2" t="s">
        <v>3877</v>
      </c>
      <c r="E825" s="3">
        <v>44995</v>
      </c>
      <c r="F825" s="3">
        <v>45675</v>
      </c>
      <c r="G825" s="2" t="s">
        <v>3886</v>
      </c>
      <c r="H825" s="2">
        <v>336459</v>
      </c>
      <c r="I825" s="2">
        <v>578442</v>
      </c>
      <c r="J825" s="2" t="s">
        <v>3891</v>
      </c>
      <c r="K825" s="2" t="s">
        <v>3895</v>
      </c>
      <c r="L825" s="2">
        <v>2023</v>
      </c>
      <c r="M825" s="2">
        <v>-241983</v>
      </c>
      <c r="N825" s="2">
        <f xml:space="preserve"> (Table1[[#This Row],[Variance (USD)]] / Table1[[#This Row],[Actual Spending (USD)]]) * 100</f>
        <v>-41.833580549130254</v>
      </c>
      <c r="O825" s="5" t="s">
        <v>3899</v>
      </c>
    </row>
    <row r="826" spans="1:15" x14ac:dyDescent="0.25">
      <c r="A826" s="4" t="s">
        <v>839</v>
      </c>
      <c r="B826" s="2" t="s">
        <v>3541</v>
      </c>
      <c r="C826" s="2" t="s">
        <v>3871</v>
      </c>
      <c r="D826" s="2" t="s">
        <v>3878</v>
      </c>
      <c r="E826" s="3">
        <v>44984</v>
      </c>
      <c r="F826" s="3">
        <v>45682</v>
      </c>
      <c r="G826" s="2" t="s">
        <v>3884</v>
      </c>
      <c r="H826" s="2">
        <v>329566</v>
      </c>
      <c r="I826" s="2">
        <v>1111458</v>
      </c>
      <c r="J826" s="2" t="s">
        <v>3890</v>
      </c>
      <c r="K826" s="2" t="s">
        <v>3896</v>
      </c>
      <c r="L826" s="2">
        <v>2023</v>
      </c>
      <c r="M826" s="2">
        <v>-781892</v>
      </c>
      <c r="N826" s="2">
        <f xml:space="preserve"> (Table1[[#This Row],[Variance (USD)]] / Table1[[#This Row],[Actual Spending (USD)]]) * 100</f>
        <v>-70.348317255352882</v>
      </c>
      <c r="O826" s="5" t="s">
        <v>3897</v>
      </c>
    </row>
    <row r="827" spans="1:15" x14ac:dyDescent="0.25">
      <c r="A827" s="4" t="s">
        <v>840</v>
      </c>
      <c r="B827" s="2" t="s">
        <v>3408</v>
      </c>
      <c r="C827" s="2" t="s">
        <v>3872</v>
      </c>
      <c r="D827" s="2" t="s">
        <v>3881</v>
      </c>
      <c r="E827" s="3">
        <v>45623</v>
      </c>
      <c r="F827" s="3">
        <v>45979</v>
      </c>
      <c r="G827" s="2" t="s">
        <v>3884</v>
      </c>
      <c r="H827" s="2">
        <v>744497</v>
      </c>
      <c r="I827" s="2">
        <v>636776</v>
      </c>
      <c r="J827" s="2" t="s">
        <v>3891</v>
      </c>
      <c r="K827" s="2" t="s">
        <v>3894</v>
      </c>
      <c r="L827" s="2">
        <v>2025</v>
      </c>
      <c r="M827" s="2">
        <v>107721</v>
      </c>
      <c r="N827" s="2">
        <f xml:space="preserve"> (Table1[[#This Row],[Variance (USD)]] / Table1[[#This Row],[Actual Spending (USD)]]) * 100</f>
        <v>16.916623742100832</v>
      </c>
      <c r="O827" s="5" t="s">
        <v>3897</v>
      </c>
    </row>
    <row r="828" spans="1:15" x14ac:dyDescent="0.25">
      <c r="A828" s="4" t="s">
        <v>841</v>
      </c>
      <c r="B828" s="2" t="s">
        <v>3542</v>
      </c>
      <c r="C828" s="2" t="s">
        <v>3873</v>
      </c>
      <c r="D828" s="2" t="s">
        <v>3877</v>
      </c>
      <c r="E828" s="3">
        <v>45500</v>
      </c>
      <c r="F828" s="3">
        <v>45417</v>
      </c>
      <c r="G828" s="2" t="s">
        <v>3886</v>
      </c>
      <c r="H828" s="2">
        <v>122663</v>
      </c>
      <c r="I828" s="2">
        <v>569989</v>
      </c>
      <c r="J828" s="2" t="s">
        <v>3891</v>
      </c>
      <c r="K828" s="2" t="s">
        <v>3894</v>
      </c>
      <c r="L828" s="2">
        <v>2025</v>
      </c>
      <c r="M828" s="2">
        <v>-447326</v>
      </c>
      <c r="N828" s="2">
        <f xml:space="preserve"> (Table1[[#This Row],[Variance (USD)]] / Table1[[#This Row],[Actual Spending (USD)]]) * 100</f>
        <v>-78.479760135721918</v>
      </c>
      <c r="O828" s="5" t="s">
        <v>3899</v>
      </c>
    </row>
    <row r="829" spans="1:15" x14ac:dyDescent="0.25">
      <c r="A829" s="4" t="s">
        <v>842</v>
      </c>
      <c r="B829" s="2" t="s">
        <v>3405</v>
      </c>
      <c r="C829" s="2" t="s">
        <v>3872</v>
      </c>
      <c r="D829" s="2" t="s">
        <v>3883</v>
      </c>
      <c r="E829" s="3">
        <v>45405</v>
      </c>
      <c r="F829" s="3">
        <v>45785</v>
      </c>
      <c r="G829" s="2" t="s">
        <v>3884</v>
      </c>
      <c r="H829" s="2">
        <v>151216</v>
      </c>
      <c r="I829" s="2">
        <v>236353</v>
      </c>
      <c r="J829" s="2" t="s">
        <v>3891</v>
      </c>
      <c r="K829" s="2" t="s">
        <v>3895</v>
      </c>
      <c r="L829" s="2">
        <v>2025</v>
      </c>
      <c r="M829" s="2">
        <v>-85137</v>
      </c>
      <c r="N829" s="2">
        <f xml:space="preserve"> (Table1[[#This Row],[Variance (USD)]] / Table1[[#This Row],[Actual Spending (USD)]]) * 100</f>
        <v>-36.021120950442771</v>
      </c>
      <c r="O829" s="5" t="s">
        <v>3897</v>
      </c>
    </row>
    <row r="830" spans="1:15" x14ac:dyDescent="0.25">
      <c r="A830" s="4" t="s">
        <v>843</v>
      </c>
      <c r="B830" s="2" t="s">
        <v>3104</v>
      </c>
      <c r="C830" s="2" t="s">
        <v>3875</v>
      </c>
      <c r="D830" s="2" t="s">
        <v>3881</v>
      </c>
      <c r="E830" s="3">
        <v>45371</v>
      </c>
      <c r="F830" s="3">
        <v>45338</v>
      </c>
      <c r="G830" s="2" t="s">
        <v>3884</v>
      </c>
      <c r="H830" s="2">
        <v>824888</v>
      </c>
      <c r="I830" s="2">
        <v>775231</v>
      </c>
      <c r="J830" s="2" t="s">
        <v>3889</v>
      </c>
      <c r="K830" s="2" t="s">
        <v>3894</v>
      </c>
      <c r="L830" s="2">
        <v>2023</v>
      </c>
      <c r="M830" s="2">
        <v>49657</v>
      </c>
      <c r="N830" s="2">
        <f xml:space="preserve"> (Table1[[#This Row],[Variance (USD)]] / Table1[[#This Row],[Actual Spending (USD)]]) * 100</f>
        <v>6.4054456026655284</v>
      </c>
      <c r="O830" s="5" t="s">
        <v>3897</v>
      </c>
    </row>
    <row r="831" spans="1:15" x14ac:dyDescent="0.25">
      <c r="A831" s="4" t="s">
        <v>844</v>
      </c>
      <c r="B831" s="2" t="s">
        <v>3371</v>
      </c>
      <c r="C831" s="2" t="s">
        <v>3871</v>
      </c>
      <c r="D831" s="2" t="s">
        <v>3883</v>
      </c>
      <c r="E831" s="3">
        <v>45222</v>
      </c>
      <c r="F831" s="3">
        <v>46009</v>
      </c>
      <c r="G831" s="2" t="s">
        <v>3885</v>
      </c>
      <c r="H831" s="2">
        <v>306492</v>
      </c>
      <c r="I831" s="2">
        <v>935710</v>
      </c>
      <c r="J831" s="2" t="s">
        <v>3889</v>
      </c>
      <c r="K831" s="2" t="s">
        <v>3895</v>
      </c>
      <c r="L831" s="2">
        <v>2025</v>
      </c>
      <c r="M831" s="2">
        <v>-629218</v>
      </c>
      <c r="N831" s="2">
        <f xml:space="preserve"> (Table1[[#This Row],[Variance (USD)]] / Table1[[#This Row],[Actual Spending (USD)]]) * 100</f>
        <v>-67.24497974799884</v>
      </c>
      <c r="O831" s="5" t="s">
        <v>3898</v>
      </c>
    </row>
    <row r="832" spans="1:15" x14ac:dyDescent="0.25">
      <c r="A832" s="4" t="s">
        <v>845</v>
      </c>
      <c r="B832" s="2" t="s">
        <v>3226</v>
      </c>
      <c r="C832" s="2" t="s">
        <v>3871</v>
      </c>
      <c r="D832" s="2" t="s">
        <v>3879</v>
      </c>
      <c r="E832" s="3">
        <v>45604</v>
      </c>
      <c r="F832" s="3">
        <v>45767</v>
      </c>
      <c r="G832" s="2" t="s">
        <v>3886</v>
      </c>
      <c r="H832" s="2">
        <v>521358</v>
      </c>
      <c r="I832" s="2">
        <v>737852</v>
      </c>
      <c r="J832" s="2" t="s">
        <v>3890</v>
      </c>
      <c r="K832" s="2" t="s">
        <v>3895</v>
      </c>
      <c r="L832" s="2">
        <v>2024</v>
      </c>
      <c r="M832" s="2">
        <v>-216494</v>
      </c>
      <c r="N832" s="2">
        <f xml:space="preserve"> (Table1[[#This Row],[Variance (USD)]] / Table1[[#This Row],[Actual Spending (USD)]]) * 100</f>
        <v>-29.341114478242247</v>
      </c>
      <c r="O832" s="5" t="s">
        <v>3899</v>
      </c>
    </row>
    <row r="833" spans="1:15" x14ac:dyDescent="0.25">
      <c r="A833" s="4" t="s">
        <v>846</v>
      </c>
      <c r="B833" s="2" t="s">
        <v>3535</v>
      </c>
      <c r="C833" s="2" t="s">
        <v>3868</v>
      </c>
      <c r="D833" s="2" t="s">
        <v>3876</v>
      </c>
      <c r="E833" s="3">
        <v>45097</v>
      </c>
      <c r="F833" s="3">
        <v>45910</v>
      </c>
      <c r="G833" s="2" t="s">
        <v>3884</v>
      </c>
      <c r="H833" s="2">
        <v>344887</v>
      </c>
      <c r="I833" s="2">
        <v>1081564</v>
      </c>
      <c r="J833" s="2" t="s">
        <v>3890</v>
      </c>
      <c r="K833" s="2" t="s">
        <v>3893</v>
      </c>
      <c r="L833" s="2">
        <v>2023</v>
      </c>
      <c r="M833" s="2">
        <v>-736677</v>
      </c>
      <c r="N833" s="2">
        <f xml:space="preserve"> (Table1[[#This Row],[Variance (USD)]] / Table1[[#This Row],[Actual Spending (USD)]]) * 100</f>
        <v>-68.112196781697619</v>
      </c>
      <c r="O833" s="5" t="s">
        <v>3897</v>
      </c>
    </row>
    <row r="834" spans="1:15" x14ac:dyDescent="0.25">
      <c r="A834" s="4" t="s">
        <v>847</v>
      </c>
      <c r="B834" s="2" t="s">
        <v>3331</v>
      </c>
      <c r="C834" s="2" t="s">
        <v>3875</v>
      </c>
      <c r="D834" s="2" t="s">
        <v>3879</v>
      </c>
      <c r="E834" s="3">
        <v>45501</v>
      </c>
      <c r="F834" s="3">
        <v>45755</v>
      </c>
      <c r="G834" s="2" t="s">
        <v>3886</v>
      </c>
      <c r="H834" s="2">
        <v>542762</v>
      </c>
      <c r="I834" s="2">
        <v>1114495</v>
      </c>
      <c r="J834" s="2" t="s">
        <v>3888</v>
      </c>
      <c r="K834" s="2" t="s">
        <v>3894</v>
      </c>
      <c r="L834" s="2">
        <v>2024</v>
      </c>
      <c r="M834" s="2">
        <v>-571733</v>
      </c>
      <c r="N834" s="2">
        <f xml:space="preserve"> (Table1[[#This Row],[Variance (USD)]] / Table1[[#This Row],[Actual Spending (USD)]]) * 100</f>
        <v>-51.299736652026255</v>
      </c>
      <c r="O834" s="5" t="s">
        <v>3899</v>
      </c>
    </row>
    <row r="835" spans="1:15" x14ac:dyDescent="0.25">
      <c r="A835" s="4" t="s">
        <v>848</v>
      </c>
      <c r="B835" s="2" t="s">
        <v>3543</v>
      </c>
      <c r="C835" s="2" t="s">
        <v>3873</v>
      </c>
      <c r="D835" s="2" t="s">
        <v>3883</v>
      </c>
      <c r="E835" s="3">
        <v>45073</v>
      </c>
      <c r="F835" s="3">
        <v>45414</v>
      </c>
      <c r="G835" s="2" t="s">
        <v>3886</v>
      </c>
      <c r="H835" s="2">
        <v>458852</v>
      </c>
      <c r="I835" s="2">
        <v>737527</v>
      </c>
      <c r="J835" s="2" t="s">
        <v>3890</v>
      </c>
      <c r="K835" s="2" t="s">
        <v>3893</v>
      </c>
      <c r="L835" s="2">
        <v>2024</v>
      </c>
      <c r="M835" s="2">
        <v>-278675</v>
      </c>
      <c r="N835" s="2">
        <f xml:space="preserve"> (Table1[[#This Row],[Variance (USD)]] / Table1[[#This Row],[Actual Spending (USD)]]) * 100</f>
        <v>-37.785057360611887</v>
      </c>
      <c r="O835" s="5" t="s">
        <v>3899</v>
      </c>
    </row>
    <row r="836" spans="1:15" x14ac:dyDescent="0.25">
      <c r="A836" s="4" t="s">
        <v>849</v>
      </c>
      <c r="B836" s="2" t="s">
        <v>3544</v>
      </c>
      <c r="C836" s="2" t="s">
        <v>3870</v>
      </c>
      <c r="D836" s="2" t="s">
        <v>3882</v>
      </c>
      <c r="E836" s="3">
        <v>45410</v>
      </c>
      <c r="F836" s="3">
        <v>45765</v>
      </c>
      <c r="G836" s="2" t="s">
        <v>3884</v>
      </c>
      <c r="H836" s="2">
        <v>534100</v>
      </c>
      <c r="I836" s="2">
        <v>39013</v>
      </c>
      <c r="J836" s="2" t="s">
        <v>3888</v>
      </c>
      <c r="K836" s="2" t="s">
        <v>3894</v>
      </c>
      <c r="L836" s="2">
        <v>2024</v>
      </c>
      <c r="M836" s="2">
        <v>495087</v>
      </c>
      <c r="N836" s="2">
        <f xml:space="preserve"> (Table1[[#This Row],[Variance (USD)]] / Table1[[#This Row],[Actual Spending (USD)]]) * 100</f>
        <v>1269.0308358752211</v>
      </c>
      <c r="O836" s="5" t="s">
        <v>3897</v>
      </c>
    </row>
    <row r="837" spans="1:15" x14ac:dyDescent="0.25">
      <c r="A837" s="4" t="s">
        <v>850</v>
      </c>
      <c r="B837" s="2" t="s">
        <v>3545</v>
      </c>
      <c r="C837" s="2" t="s">
        <v>3871</v>
      </c>
      <c r="D837" s="2" t="s">
        <v>3881</v>
      </c>
      <c r="E837" s="3">
        <v>45232</v>
      </c>
      <c r="F837" s="3">
        <v>45425</v>
      </c>
      <c r="G837" s="2" t="s">
        <v>3884</v>
      </c>
      <c r="H837" s="2">
        <v>584396</v>
      </c>
      <c r="I837" s="2">
        <v>688934</v>
      </c>
      <c r="J837" s="2" t="s">
        <v>3891</v>
      </c>
      <c r="K837" s="2" t="s">
        <v>3893</v>
      </c>
      <c r="L837" s="2">
        <v>2023</v>
      </c>
      <c r="M837" s="2">
        <v>-104538</v>
      </c>
      <c r="N837" s="2">
        <f xml:space="preserve"> (Table1[[#This Row],[Variance (USD)]] / Table1[[#This Row],[Actual Spending (USD)]]) * 100</f>
        <v>-15.173877323517202</v>
      </c>
      <c r="O837" s="5" t="s">
        <v>3897</v>
      </c>
    </row>
    <row r="838" spans="1:15" x14ac:dyDescent="0.25">
      <c r="A838" s="4" t="s">
        <v>851</v>
      </c>
      <c r="B838" s="2" t="s">
        <v>3546</v>
      </c>
      <c r="C838" s="2" t="s">
        <v>3871</v>
      </c>
      <c r="D838" s="2" t="s">
        <v>3878</v>
      </c>
      <c r="E838" s="3">
        <v>45599</v>
      </c>
      <c r="F838" s="3">
        <v>45910</v>
      </c>
      <c r="G838" s="2" t="s">
        <v>3885</v>
      </c>
      <c r="H838" s="2">
        <v>254706</v>
      </c>
      <c r="I838" s="2">
        <v>1086414</v>
      </c>
      <c r="J838" s="2" t="s">
        <v>3890</v>
      </c>
      <c r="K838" s="2" t="s">
        <v>3895</v>
      </c>
      <c r="L838" s="2">
        <v>2023</v>
      </c>
      <c r="M838" s="2">
        <v>-831708</v>
      </c>
      <c r="N838" s="2">
        <f xml:space="preserve"> (Table1[[#This Row],[Variance (USD)]] / Table1[[#This Row],[Actual Spending (USD)]]) * 100</f>
        <v>-76.555346304447482</v>
      </c>
      <c r="O838" s="5" t="s">
        <v>3898</v>
      </c>
    </row>
    <row r="839" spans="1:15" x14ac:dyDescent="0.25">
      <c r="A839" s="4" t="s">
        <v>852</v>
      </c>
      <c r="B839" s="2" t="s">
        <v>3547</v>
      </c>
      <c r="C839" s="2" t="s">
        <v>3868</v>
      </c>
      <c r="D839" s="2" t="s">
        <v>3880</v>
      </c>
      <c r="E839" s="3">
        <v>45579</v>
      </c>
      <c r="F839" s="3">
        <v>45853</v>
      </c>
      <c r="G839" s="2" t="s">
        <v>3884</v>
      </c>
      <c r="H839" s="2">
        <v>610468</v>
      </c>
      <c r="I839" s="2">
        <v>61368</v>
      </c>
      <c r="J839" s="2" t="s">
        <v>3890</v>
      </c>
      <c r="K839" s="2" t="s">
        <v>3895</v>
      </c>
      <c r="L839" s="2">
        <v>2025</v>
      </c>
      <c r="M839" s="2">
        <v>549100</v>
      </c>
      <c r="N839" s="2">
        <f xml:space="preserve"> (Table1[[#This Row],[Variance (USD)]] / Table1[[#This Row],[Actual Spending (USD)]]) * 100</f>
        <v>894.76600182505535</v>
      </c>
      <c r="O839" s="5" t="s">
        <v>3897</v>
      </c>
    </row>
    <row r="840" spans="1:15" x14ac:dyDescent="0.25">
      <c r="A840" s="4" t="s">
        <v>853</v>
      </c>
      <c r="B840" s="2" t="s">
        <v>3250</v>
      </c>
      <c r="C840" s="2" t="s">
        <v>3869</v>
      </c>
      <c r="D840" s="2" t="s">
        <v>3878</v>
      </c>
      <c r="E840" s="3">
        <v>45535</v>
      </c>
      <c r="F840" s="3">
        <v>45898</v>
      </c>
      <c r="G840" s="2" t="s">
        <v>3884</v>
      </c>
      <c r="H840" s="2">
        <v>331027</v>
      </c>
      <c r="I840" s="2">
        <v>586516</v>
      </c>
      <c r="J840" s="2" t="s">
        <v>3890</v>
      </c>
      <c r="K840" s="2" t="s">
        <v>3895</v>
      </c>
      <c r="L840" s="2">
        <v>2025</v>
      </c>
      <c r="M840" s="2">
        <v>-255489</v>
      </c>
      <c r="N840" s="2">
        <f xml:space="preserve"> (Table1[[#This Row],[Variance (USD)]] / Table1[[#This Row],[Actual Spending (USD)]]) * 100</f>
        <v>-43.560448478813882</v>
      </c>
      <c r="O840" s="5" t="s">
        <v>3897</v>
      </c>
    </row>
    <row r="841" spans="1:15" x14ac:dyDescent="0.25">
      <c r="A841" s="4" t="s">
        <v>854</v>
      </c>
      <c r="B841" s="2" t="s">
        <v>3124</v>
      </c>
      <c r="C841" s="2" t="s">
        <v>3874</v>
      </c>
      <c r="D841" s="2" t="s">
        <v>3881</v>
      </c>
      <c r="E841" s="3">
        <v>45372</v>
      </c>
      <c r="F841" s="3">
        <v>45314</v>
      </c>
      <c r="G841" s="2" t="s">
        <v>3884</v>
      </c>
      <c r="H841" s="2">
        <v>618688</v>
      </c>
      <c r="I841" s="2">
        <v>216845</v>
      </c>
      <c r="J841" s="2" t="s">
        <v>3888</v>
      </c>
      <c r="K841" s="2" t="s">
        <v>3895</v>
      </c>
      <c r="L841" s="2">
        <v>2025</v>
      </c>
      <c r="M841" s="2">
        <v>401843</v>
      </c>
      <c r="N841" s="2">
        <f xml:space="preserve"> (Table1[[#This Row],[Variance (USD)]] / Table1[[#This Row],[Actual Spending (USD)]]) * 100</f>
        <v>185.31347275703845</v>
      </c>
      <c r="O841" s="5" t="s">
        <v>3897</v>
      </c>
    </row>
    <row r="842" spans="1:15" x14ac:dyDescent="0.25">
      <c r="A842" s="4" t="s">
        <v>855</v>
      </c>
      <c r="B842" s="2" t="s">
        <v>3548</v>
      </c>
      <c r="C842" s="2" t="s">
        <v>3873</v>
      </c>
      <c r="D842" s="2" t="s">
        <v>3879</v>
      </c>
      <c r="E842" s="3">
        <v>45147</v>
      </c>
      <c r="F842" s="3">
        <v>45857</v>
      </c>
      <c r="G842" s="2" t="s">
        <v>3886</v>
      </c>
      <c r="H842" s="2">
        <v>227071</v>
      </c>
      <c r="I842" s="2">
        <v>438039</v>
      </c>
      <c r="J842" s="2" t="s">
        <v>3888</v>
      </c>
      <c r="K842" s="2" t="s">
        <v>3894</v>
      </c>
      <c r="L842" s="2">
        <v>2025</v>
      </c>
      <c r="M842" s="2">
        <v>-210968</v>
      </c>
      <c r="N842" s="2">
        <f xml:space="preserve"> (Table1[[#This Row],[Variance (USD)]] / Table1[[#This Row],[Actual Spending (USD)]]) * 100</f>
        <v>-48.161921655377718</v>
      </c>
      <c r="O842" s="5" t="s">
        <v>3899</v>
      </c>
    </row>
    <row r="843" spans="1:15" x14ac:dyDescent="0.25">
      <c r="A843" s="4" t="s">
        <v>856</v>
      </c>
      <c r="B843" s="2" t="s">
        <v>3474</v>
      </c>
      <c r="C843" s="2" t="s">
        <v>3872</v>
      </c>
      <c r="D843" s="2" t="s">
        <v>3880</v>
      </c>
      <c r="E843" s="3">
        <v>45481</v>
      </c>
      <c r="F843" s="3">
        <v>45526</v>
      </c>
      <c r="G843" s="2" t="s">
        <v>3884</v>
      </c>
      <c r="H843" s="2">
        <v>622239</v>
      </c>
      <c r="I843" s="2">
        <v>708870</v>
      </c>
      <c r="J843" s="2" t="s">
        <v>3892</v>
      </c>
      <c r="K843" s="2" t="s">
        <v>3896</v>
      </c>
      <c r="L843" s="2">
        <v>2024</v>
      </c>
      <c r="M843" s="2">
        <v>-86631</v>
      </c>
      <c r="N843" s="2">
        <f xml:space="preserve"> (Table1[[#This Row],[Variance (USD)]] / Table1[[#This Row],[Actual Spending (USD)]]) * 100</f>
        <v>-12.220999619112108</v>
      </c>
      <c r="O843" s="5" t="s">
        <v>3897</v>
      </c>
    </row>
    <row r="844" spans="1:15" x14ac:dyDescent="0.25">
      <c r="A844" s="4" t="s">
        <v>857</v>
      </c>
      <c r="B844" s="2" t="s">
        <v>3305</v>
      </c>
      <c r="C844" s="2" t="s">
        <v>3875</v>
      </c>
      <c r="D844" s="2" t="s">
        <v>3881</v>
      </c>
      <c r="E844" s="3">
        <v>45304</v>
      </c>
      <c r="F844" s="3">
        <v>45350</v>
      </c>
      <c r="G844" s="2" t="s">
        <v>3884</v>
      </c>
      <c r="H844" s="2">
        <v>450376</v>
      </c>
      <c r="I844" s="2">
        <v>159802</v>
      </c>
      <c r="J844" s="2" t="s">
        <v>3888</v>
      </c>
      <c r="K844" s="2" t="s">
        <v>3894</v>
      </c>
      <c r="L844" s="2">
        <v>2023</v>
      </c>
      <c r="M844" s="2">
        <v>290574</v>
      </c>
      <c r="N844" s="2">
        <f xml:space="preserve"> (Table1[[#This Row],[Variance (USD)]] / Table1[[#This Row],[Actual Spending (USD)]]) * 100</f>
        <v>181.83376928949576</v>
      </c>
      <c r="O844" s="5" t="s">
        <v>3897</v>
      </c>
    </row>
    <row r="845" spans="1:15" x14ac:dyDescent="0.25">
      <c r="A845" s="4" t="s">
        <v>858</v>
      </c>
      <c r="B845" s="2" t="s">
        <v>3293</v>
      </c>
      <c r="C845" s="2" t="s">
        <v>3871</v>
      </c>
      <c r="D845" s="2" t="s">
        <v>3883</v>
      </c>
      <c r="E845" s="3">
        <v>45546</v>
      </c>
      <c r="F845" s="3">
        <v>45455</v>
      </c>
      <c r="G845" s="2" t="s">
        <v>3884</v>
      </c>
      <c r="H845" s="2">
        <v>891694</v>
      </c>
      <c r="I845" s="2">
        <v>296579</v>
      </c>
      <c r="J845" s="2" t="s">
        <v>3888</v>
      </c>
      <c r="K845" s="2" t="s">
        <v>3893</v>
      </c>
      <c r="L845" s="2">
        <v>2025</v>
      </c>
      <c r="M845" s="2">
        <v>595115</v>
      </c>
      <c r="N845" s="2">
        <f xml:space="preserve"> (Table1[[#This Row],[Variance (USD)]] / Table1[[#This Row],[Actual Spending (USD)]]) * 100</f>
        <v>200.65985791306869</v>
      </c>
      <c r="O845" s="5" t="s">
        <v>3897</v>
      </c>
    </row>
    <row r="846" spans="1:15" x14ac:dyDescent="0.25">
      <c r="A846" s="4" t="s">
        <v>859</v>
      </c>
      <c r="B846" s="2" t="s">
        <v>3549</v>
      </c>
      <c r="C846" s="2" t="s">
        <v>3871</v>
      </c>
      <c r="D846" s="2" t="s">
        <v>3882</v>
      </c>
      <c r="E846" s="3">
        <v>45192</v>
      </c>
      <c r="F846" s="3">
        <v>45507</v>
      </c>
      <c r="G846" s="2" t="s">
        <v>3887</v>
      </c>
      <c r="H846" s="2">
        <v>463145</v>
      </c>
      <c r="I846" s="2">
        <v>87955</v>
      </c>
      <c r="J846" s="2" t="s">
        <v>3889</v>
      </c>
      <c r="K846" s="2" t="s">
        <v>3894</v>
      </c>
      <c r="L846" s="2">
        <v>2024</v>
      </c>
      <c r="M846" s="2">
        <v>375190</v>
      </c>
      <c r="N846" s="2">
        <f xml:space="preserve"> (Table1[[#This Row],[Variance (USD)]] / Table1[[#This Row],[Actual Spending (USD)]]) * 100</f>
        <v>426.57040532090269</v>
      </c>
      <c r="O846" s="5" t="s">
        <v>3900</v>
      </c>
    </row>
    <row r="847" spans="1:15" x14ac:dyDescent="0.25">
      <c r="A847" s="4" t="s">
        <v>860</v>
      </c>
      <c r="B847" s="2" t="s">
        <v>3550</v>
      </c>
      <c r="C847" s="2" t="s">
        <v>3872</v>
      </c>
      <c r="D847" s="2" t="s">
        <v>3878</v>
      </c>
      <c r="E847" s="3">
        <v>45021</v>
      </c>
      <c r="F847" s="3">
        <v>45474</v>
      </c>
      <c r="G847" s="2" t="s">
        <v>3884</v>
      </c>
      <c r="H847" s="2">
        <v>919565</v>
      </c>
      <c r="I847" s="2">
        <v>351651</v>
      </c>
      <c r="J847" s="2" t="s">
        <v>3890</v>
      </c>
      <c r="K847" s="2" t="s">
        <v>3894</v>
      </c>
      <c r="L847" s="2">
        <v>2023</v>
      </c>
      <c r="M847" s="2">
        <v>567914</v>
      </c>
      <c r="N847" s="2">
        <f xml:space="preserve"> (Table1[[#This Row],[Variance (USD)]] / Table1[[#This Row],[Actual Spending (USD)]]) * 100</f>
        <v>161.49932745819009</v>
      </c>
      <c r="O847" s="5" t="s">
        <v>3897</v>
      </c>
    </row>
    <row r="848" spans="1:15" x14ac:dyDescent="0.25">
      <c r="A848" s="4" t="s">
        <v>861</v>
      </c>
      <c r="B848" s="2" t="s">
        <v>3102</v>
      </c>
      <c r="C848" s="2" t="s">
        <v>3873</v>
      </c>
      <c r="D848" s="2" t="s">
        <v>3883</v>
      </c>
      <c r="E848" s="3">
        <v>45188</v>
      </c>
      <c r="F848" s="3">
        <v>45860</v>
      </c>
      <c r="G848" s="2" t="s">
        <v>3886</v>
      </c>
      <c r="H848" s="2">
        <v>716483</v>
      </c>
      <c r="I848" s="2">
        <v>81033</v>
      </c>
      <c r="J848" s="2" t="s">
        <v>3888</v>
      </c>
      <c r="K848" s="2" t="s">
        <v>3893</v>
      </c>
      <c r="L848" s="2">
        <v>2023</v>
      </c>
      <c r="M848" s="2">
        <v>635450</v>
      </c>
      <c r="N848" s="2">
        <f xml:space="preserve"> (Table1[[#This Row],[Variance (USD)]] / Table1[[#This Row],[Actual Spending (USD)]]) * 100</f>
        <v>784.18668937346513</v>
      </c>
      <c r="O848" s="5" t="s">
        <v>3899</v>
      </c>
    </row>
    <row r="849" spans="1:15" x14ac:dyDescent="0.25">
      <c r="A849" s="4" t="s">
        <v>862</v>
      </c>
      <c r="B849" s="2" t="s">
        <v>3395</v>
      </c>
      <c r="C849" s="2" t="s">
        <v>3874</v>
      </c>
      <c r="D849" s="2" t="s">
        <v>3880</v>
      </c>
      <c r="E849" s="3">
        <v>44997</v>
      </c>
      <c r="F849" s="3">
        <v>45948</v>
      </c>
      <c r="G849" s="2" t="s">
        <v>3885</v>
      </c>
      <c r="H849" s="2">
        <v>427250</v>
      </c>
      <c r="I849" s="2">
        <v>771449</v>
      </c>
      <c r="J849" s="2" t="s">
        <v>3890</v>
      </c>
      <c r="K849" s="2" t="s">
        <v>3895</v>
      </c>
      <c r="L849" s="2">
        <v>2023</v>
      </c>
      <c r="M849" s="2">
        <v>-344199</v>
      </c>
      <c r="N849" s="2">
        <f xml:space="preserve"> (Table1[[#This Row],[Variance (USD)]] / Table1[[#This Row],[Actual Spending (USD)]]) * 100</f>
        <v>-44.617207359138447</v>
      </c>
      <c r="O849" s="5" t="s">
        <v>3898</v>
      </c>
    </row>
    <row r="850" spans="1:15" x14ac:dyDescent="0.25">
      <c r="A850" s="4" t="s">
        <v>863</v>
      </c>
      <c r="B850" s="2" t="s">
        <v>3228</v>
      </c>
      <c r="C850" s="2" t="s">
        <v>3869</v>
      </c>
      <c r="D850" s="2" t="s">
        <v>3880</v>
      </c>
      <c r="E850" s="3">
        <v>45145</v>
      </c>
      <c r="F850" s="3">
        <v>45381</v>
      </c>
      <c r="G850" s="2" t="s">
        <v>3884</v>
      </c>
      <c r="H850" s="2">
        <v>733717</v>
      </c>
      <c r="I850" s="2">
        <v>1066055</v>
      </c>
      <c r="J850" s="2" t="s">
        <v>3890</v>
      </c>
      <c r="K850" s="2" t="s">
        <v>3893</v>
      </c>
      <c r="L850" s="2">
        <v>2024</v>
      </c>
      <c r="M850" s="2">
        <v>-332338</v>
      </c>
      <c r="N850" s="2">
        <f xml:space="preserve"> (Table1[[#This Row],[Variance (USD)]] / Table1[[#This Row],[Actual Spending (USD)]]) * 100</f>
        <v>-31.174564164137873</v>
      </c>
      <c r="O850" s="5" t="s">
        <v>3897</v>
      </c>
    </row>
    <row r="851" spans="1:15" x14ac:dyDescent="0.25">
      <c r="A851" s="4" t="s">
        <v>864</v>
      </c>
      <c r="B851" s="2" t="s">
        <v>3387</v>
      </c>
      <c r="C851" s="2" t="s">
        <v>3871</v>
      </c>
      <c r="D851" s="2" t="s">
        <v>3878</v>
      </c>
      <c r="E851" s="3">
        <v>45459</v>
      </c>
      <c r="F851" s="3">
        <v>45602</v>
      </c>
      <c r="G851" s="2" t="s">
        <v>3887</v>
      </c>
      <c r="H851" s="2">
        <v>906928</v>
      </c>
      <c r="I851" s="2">
        <v>77219</v>
      </c>
      <c r="J851" s="2" t="s">
        <v>3889</v>
      </c>
      <c r="K851" s="2" t="s">
        <v>3893</v>
      </c>
      <c r="L851" s="2">
        <v>2025</v>
      </c>
      <c r="M851" s="2">
        <v>829709</v>
      </c>
      <c r="N851" s="2">
        <f xml:space="preserve"> (Table1[[#This Row],[Variance (USD)]] / Table1[[#This Row],[Actual Spending (USD)]]) * 100</f>
        <v>1074.4881441096104</v>
      </c>
      <c r="O851" s="5" t="s">
        <v>3900</v>
      </c>
    </row>
    <row r="852" spans="1:15" x14ac:dyDescent="0.25">
      <c r="A852" s="4" t="s">
        <v>865</v>
      </c>
      <c r="B852" s="2" t="s">
        <v>3551</v>
      </c>
      <c r="C852" s="2" t="s">
        <v>3874</v>
      </c>
      <c r="D852" s="2" t="s">
        <v>3883</v>
      </c>
      <c r="E852" s="3">
        <v>45018</v>
      </c>
      <c r="F852" s="3">
        <v>45848</v>
      </c>
      <c r="G852" s="2" t="s">
        <v>3885</v>
      </c>
      <c r="H852" s="2">
        <v>738916</v>
      </c>
      <c r="I852" s="2">
        <v>719837</v>
      </c>
      <c r="J852" s="2" t="s">
        <v>3890</v>
      </c>
      <c r="K852" s="2" t="s">
        <v>3896</v>
      </c>
      <c r="L852" s="2">
        <v>2023</v>
      </c>
      <c r="M852" s="2">
        <v>19079</v>
      </c>
      <c r="N852" s="2">
        <f xml:space="preserve"> (Table1[[#This Row],[Variance (USD)]] / Table1[[#This Row],[Actual Spending (USD)]]) * 100</f>
        <v>2.650461146065012</v>
      </c>
      <c r="O852" s="5" t="s">
        <v>3898</v>
      </c>
    </row>
    <row r="853" spans="1:15" x14ac:dyDescent="0.25">
      <c r="A853" s="4" t="s">
        <v>866</v>
      </c>
      <c r="B853" s="2" t="s">
        <v>3377</v>
      </c>
      <c r="C853" s="2" t="s">
        <v>3873</v>
      </c>
      <c r="D853" s="2" t="s">
        <v>3877</v>
      </c>
      <c r="E853" s="3">
        <v>45053</v>
      </c>
      <c r="F853" s="3">
        <v>45548</v>
      </c>
      <c r="G853" s="2" t="s">
        <v>3885</v>
      </c>
      <c r="H853" s="2">
        <v>374078</v>
      </c>
      <c r="I853" s="2">
        <v>512996</v>
      </c>
      <c r="J853" s="2" t="s">
        <v>3888</v>
      </c>
      <c r="K853" s="2" t="s">
        <v>3896</v>
      </c>
      <c r="L853" s="2">
        <v>2024</v>
      </c>
      <c r="M853" s="2">
        <v>-138918</v>
      </c>
      <c r="N853" s="2">
        <f xml:space="preserve"> (Table1[[#This Row],[Variance (USD)]] / Table1[[#This Row],[Actual Spending (USD)]]) * 100</f>
        <v>-27.079743311838691</v>
      </c>
      <c r="O853" s="5" t="s">
        <v>3898</v>
      </c>
    </row>
    <row r="854" spans="1:15" x14ac:dyDescent="0.25">
      <c r="A854" s="4" t="s">
        <v>867</v>
      </c>
      <c r="B854" s="2" t="s">
        <v>3279</v>
      </c>
      <c r="C854" s="2" t="s">
        <v>3872</v>
      </c>
      <c r="D854" s="2" t="s">
        <v>3883</v>
      </c>
      <c r="E854" s="3">
        <v>45006</v>
      </c>
      <c r="F854" s="3">
        <v>45824</v>
      </c>
      <c r="G854" s="2" t="s">
        <v>3884</v>
      </c>
      <c r="H854" s="2">
        <v>915318</v>
      </c>
      <c r="I854" s="2">
        <v>228300</v>
      </c>
      <c r="J854" s="2" t="s">
        <v>3890</v>
      </c>
      <c r="K854" s="2" t="s">
        <v>3895</v>
      </c>
      <c r="L854" s="2">
        <v>2023</v>
      </c>
      <c r="M854" s="2">
        <v>687018</v>
      </c>
      <c r="N854" s="2">
        <f xml:space="preserve"> (Table1[[#This Row],[Variance (USD)]] / Table1[[#This Row],[Actual Spending (USD)]]) * 100</f>
        <v>300.92772667542704</v>
      </c>
      <c r="O854" s="5" t="s">
        <v>3897</v>
      </c>
    </row>
    <row r="855" spans="1:15" x14ac:dyDescent="0.25">
      <c r="A855" s="4" t="s">
        <v>868</v>
      </c>
      <c r="B855" s="2" t="s">
        <v>3412</v>
      </c>
      <c r="C855" s="2" t="s">
        <v>3868</v>
      </c>
      <c r="D855" s="2" t="s">
        <v>3880</v>
      </c>
      <c r="E855" s="3">
        <v>45164</v>
      </c>
      <c r="F855" s="3">
        <v>45824</v>
      </c>
      <c r="G855" s="2" t="s">
        <v>3886</v>
      </c>
      <c r="H855" s="2">
        <v>80881</v>
      </c>
      <c r="I855" s="2">
        <v>404770</v>
      </c>
      <c r="J855" s="2" t="s">
        <v>3892</v>
      </c>
      <c r="K855" s="2" t="s">
        <v>3893</v>
      </c>
      <c r="L855" s="2">
        <v>2024</v>
      </c>
      <c r="M855" s="2">
        <v>-323889</v>
      </c>
      <c r="N855" s="2">
        <f xml:space="preserve"> (Table1[[#This Row],[Variance (USD)]] / Table1[[#This Row],[Actual Spending (USD)]]) * 100</f>
        <v>-80.018034933418974</v>
      </c>
      <c r="O855" s="5" t="s">
        <v>3899</v>
      </c>
    </row>
    <row r="856" spans="1:15" x14ac:dyDescent="0.25">
      <c r="A856" s="4" t="s">
        <v>869</v>
      </c>
      <c r="B856" s="2" t="s">
        <v>3030</v>
      </c>
      <c r="C856" s="2" t="s">
        <v>3869</v>
      </c>
      <c r="D856" s="2" t="s">
        <v>3883</v>
      </c>
      <c r="E856" s="3">
        <v>45298</v>
      </c>
      <c r="F856" s="3">
        <v>45343</v>
      </c>
      <c r="G856" s="2" t="s">
        <v>3886</v>
      </c>
      <c r="H856" s="2">
        <v>854841</v>
      </c>
      <c r="I856" s="2">
        <v>203277</v>
      </c>
      <c r="J856" s="2" t="s">
        <v>3892</v>
      </c>
      <c r="K856" s="2" t="s">
        <v>3893</v>
      </c>
      <c r="L856" s="2">
        <v>2025</v>
      </c>
      <c r="M856" s="2">
        <v>651564</v>
      </c>
      <c r="N856" s="2">
        <f xml:space="preserve"> (Table1[[#This Row],[Variance (USD)]] / Table1[[#This Row],[Actual Spending (USD)]]) * 100</f>
        <v>320.53011408078629</v>
      </c>
      <c r="O856" s="5" t="s">
        <v>3899</v>
      </c>
    </row>
    <row r="857" spans="1:15" x14ac:dyDescent="0.25">
      <c r="A857" s="4" t="s">
        <v>870</v>
      </c>
      <c r="B857" s="2" t="s">
        <v>3096</v>
      </c>
      <c r="C857" s="2" t="s">
        <v>3875</v>
      </c>
      <c r="D857" s="2" t="s">
        <v>3882</v>
      </c>
      <c r="E857" s="3">
        <v>45412</v>
      </c>
      <c r="F857" s="3">
        <v>45629</v>
      </c>
      <c r="G857" s="2" t="s">
        <v>3887</v>
      </c>
      <c r="H857" s="2">
        <v>148171</v>
      </c>
      <c r="I857" s="2">
        <v>947629</v>
      </c>
      <c r="J857" s="2" t="s">
        <v>3889</v>
      </c>
      <c r="K857" s="2" t="s">
        <v>3893</v>
      </c>
      <c r="L857" s="2">
        <v>2025</v>
      </c>
      <c r="M857" s="2">
        <v>-799458</v>
      </c>
      <c r="N857" s="2">
        <f xml:space="preserve"> (Table1[[#This Row],[Variance (USD)]] / Table1[[#This Row],[Actual Spending (USD)]]) * 100</f>
        <v>-84.364028538594752</v>
      </c>
      <c r="O857" s="5" t="s">
        <v>3900</v>
      </c>
    </row>
    <row r="858" spans="1:15" x14ac:dyDescent="0.25">
      <c r="A858" s="4" t="s">
        <v>871</v>
      </c>
      <c r="B858" s="2" t="s">
        <v>3546</v>
      </c>
      <c r="C858" s="2" t="s">
        <v>3871</v>
      </c>
      <c r="D858" s="2" t="s">
        <v>3881</v>
      </c>
      <c r="E858" s="3">
        <v>45620</v>
      </c>
      <c r="F858" s="3">
        <v>45462</v>
      </c>
      <c r="G858" s="2" t="s">
        <v>3884</v>
      </c>
      <c r="H858" s="2">
        <v>303189</v>
      </c>
      <c r="I858" s="2">
        <v>1058752</v>
      </c>
      <c r="J858" s="2" t="s">
        <v>3888</v>
      </c>
      <c r="K858" s="2" t="s">
        <v>3894</v>
      </c>
      <c r="L858" s="2">
        <v>2023</v>
      </c>
      <c r="M858" s="2">
        <v>-755563</v>
      </c>
      <c r="N858" s="2">
        <f xml:space="preserve"> (Table1[[#This Row],[Variance (USD)]] / Table1[[#This Row],[Actual Spending (USD)]]) * 100</f>
        <v>-71.363548781962166</v>
      </c>
      <c r="O858" s="5" t="s">
        <v>3897</v>
      </c>
    </row>
    <row r="859" spans="1:15" x14ac:dyDescent="0.25">
      <c r="A859" s="4" t="s">
        <v>872</v>
      </c>
      <c r="B859" s="2" t="s">
        <v>3216</v>
      </c>
      <c r="C859" s="2" t="s">
        <v>3873</v>
      </c>
      <c r="D859" s="2" t="s">
        <v>3879</v>
      </c>
      <c r="E859" s="3">
        <v>44951</v>
      </c>
      <c r="F859" s="3">
        <v>45358</v>
      </c>
      <c r="G859" s="2" t="s">
        <v>3886</v>
      </c>
      <c r="H859" s="2">
        <v>998161</v>
      </c>
      <c r="I859" s="2">
        <v>883167</v>
      </c>
      <c r="J859" s="2" t="s">
        <v>3889</v>
      </c>
      <c r="K859" s="2" t="s">
        <v>3896</v>
      </c>
      <c r="L859" s="2">
        <v>2025</v>
      </c>
      <c r="M859" s="2">
        <v>114994</v>
      </c>
      <c r="N859" s="2">
        <f xml:space="preserve"> (Table1[[#This Row],[Variance (USD)]] / Table1[[#This Row],[Actual Spending (USD)]]) * 100</f>
        <v>13.020640490416874</v>
      </c>
      <c r="O859" s="5" t="s">
        <v>3899</v>
      </c>
    </row>
    <row r="860" spans="1:15" x14ac:dyDescent="0.25">
      <c r="A860" s="4" t="s">
        <v>873</v>
      </c>
      <c r="B860" s="2" t="s">
        <v>3397</v>
      </c>
      <c r="C860" s="2" t="s">
        <v>3868</v>
      </c>
      <c r="D860" s="2" t="s">
        <v>3882</v>
      </c>
      <c r="E860" s="3">
        <v>45082</v>
      </c>
      <c r="F860" s="3">
        <v>45916</v>
      </c>
      <c r="G860" s="2" t="s">
        <v>3884</v>
      </c>
      <c r="H860" s="2">
        <v>267815</v>
      </c>
      <c r="I860" s="2">
        <v>396540</v>
      </c>
      <c r="J860" s="2" t="s">
        <v>3892</v>
      </c>
      <c r="K860" s="2" t="s">
        <v>3896</v>
      </c>
      <c r="L860" s="2">
        <v>2025</v>
      </c>
      <c r="M860" s="2">
        <v>-128725</v>
      </c>
      <c r="N860" s="2">
        <f xml:space="preserve"> (Table1[[#This Row],[Variance (USD)]] / Table1[[#This Row],[Actual Spending (USD)]]) * 100</f>
        <v>-32.462046703989515</v>
      </c>
      <c r="O860" s="5" t="s">
        <v>3897</v>
      </c>
    </row>
    <row r="861" spans="1:15" x14ac:dyDescent="0.25">
      <c r="A861" s="4" t="s">
        <v>874</v>
      </c>
      <c r="B861" s="2" t="s">
        <v>3376</v>
      </c>
      <c r="C861" s="2" t="s">
        <v>3875</v>
      </c>
      <c r="D861" s="2" t="s">
        <v>3877</v>
      </c>
      <c r="E861" s="3">
        <v>45443</v>
      </c>
      <c r="F861" s="3">
        <v>45591</v>
      </c>
      <c r="G861" s="2" t="s">
        <v>3884</v>
      </c>
      <c r="H861" s="2">
        <v>361095</v>
      </c>
      <c r="I861" s="2">
        <v>46375</v>
      </c>
      <c r="J861" s="2" t="s">
        <v>3888</v>
      </c>
      <c r="K861" s="2" t="s">
        <v>3895</v>
      </c>
      <c r="L861" s="2">
        <v>2024</v>
      </c>
      <c r="M861" s="2">
        <v>314720</v>
      </c>
      <c r="N861" s="2">
        <f xml:space="preserve"> (Table1[[#This Row],[Variance (USD)]] / Table1[[#This Row],[Actual Spending (USD)]]) * 100</f>
        <v>678.64150943396226</v>
      </c>
      <c r="O861" s="5" t="s">
        <v>3897</v>
      </c>
    </row>
    <row r="862" spans="1:15" x14ac:dyDescent="0.25">
      <c r="A862" s="4" t="s">
        <v>875</v>
      </c>
      <c r="B862" s="2" t="s">
        <v>3458</v>
      </c>
      <c r="C862" s="2" t="s">
        <v>3870</v>
      </c>
      <c r="D862" s="2" t="s">
        <v>3876</v>
      </c>
      <c r="E862" s="3">
        <v>45558</v>
      </c>
      <c r="F862" s="3">
        <v>45963</v>
      </c>
      <c r="G862" s="2" t="s">
        <v>3884</v>
      </c>
      <c r="H862" s="2">
        <v>320896</v>
      </c>
      <c r="I862" s="2">
        <v>163783</v>
      </c>
      <c r="J862" s="2" t="s">
        <v>3890</v>
      </c>
      <c r="K862" s="2" t="s">
        <v>3896</v>
      </c>
      <c r="L862" s="2">
        <v>2024</v>
      </c>
      <c r="M862" s="2">
        <v>157113</v>
      </c>
      <c r="N862" s="2">
        <f xml:space="preserve"> (Table1[[#This Row],[Variance (USD)]] / Table1[[#This Row],[Actual Spending (USD)]]) * 100</f>
        <v>95.927538267097319</v>
      </c>
      <c r="O862" s="5" t="s">
        <v>3897</v>
      </c>
    </row>
    <row r="863" spans="1:15" x14ac:dyDescent="0.25">
      <c r="A863" s="4" t="s">
        <v>876</v>
      </c>
      <c r="B863" s="2" t="s">
        <v>3552</v>
      </c>
      <c r="C863" s="2" t="s">
        <v>3873</v>
      </c>
      <c r="D863" s="2" t="s">
        <v>3881</v>
      </c>
      <c r="E863" s="3">
        <v>45456</v>
      </c>
      <c r="F863" s="3">
        <v>45523</v>
      </c>
      <c r="G863" s="2" t="s">
        <v>3886</v>
      </c>
      <c r="H863" s="2">
        <v>691627</v>
      </c>
      <c r="I863" s="2">
        <v>301326</v>
      </c>
      <c r="J863" s="2" t="s">
        <v>3888</v>
      </c>
      <c r="K863" s="2" t="s">
        <v>3896</v>
      </c>
      <c r="L863" s="2">
        <v>2023</v>
      </c>
      <c r="M863" s="2">
        <v>390301</v>
      </c>
      <c r="N863" s="2">
        <f xml:space="preserve"> (Table1[[#This Row],[Variance (USD)]] / Table1[[#This Row],[Actual Spending (USD)]]) * 100</f>
        <v>129.52782036730983</v>
      </c>
      <c r="O863" s="5" t="s">
        <v>3899</v>
      </c>
    </row>
    <row r="864" spans="1:15" x14ac:dyDescent="0.25">
      <c r="A864" s="4" t="s">
        <v>877</v>
      </c>
      <c r="B864" s="2" t="s">
        <v>3242</v>
      </c>
      <c r="C864" s="2" t="s">
        <v>3873</v>
      </c>
      <c r="D864" s="2" t="s">
        <v>3879</v>
      </c>
      <c r="E864" s="3">
        <v>45636</v>
      </c>
      <c r="F864" s="3">
        <v>45359</v>
      </c>
      <c r="G864" s="2" t="s">
        <v>3884</v>
      </c>
      <c r="H864" s="2">
        <v>456656</v>
      </c>
      <c r="I864" s="2">
        <v>1019035</v>
      </c>
      <c r="J864" s="2" t="s">
        <v>3891</v>
      </c>
      <c r="K864" s="2" t="s">
        <v>3895</v>
      </c>
      <c r="L864" s="2">
        <v>2024</v>
      </c>
      <c r="M864" s="2">
        <v>-562379</v>
      </c>
      <c r="N864" s="2">
        <f xml:space="preserve"> (Table1[[#This Row],[Variance (USD)]] / Table1[[#This Row],[Actual Spending (USD)]]) * 100</f>
        <v>-55.187407694534542</v>
      </c>
      <c r="O864" s="5" t="s">
        <v>3897</v>
      </c>
    </row>
    <row r="865" spans="1:15" x14ac:dyDescent="0.25">
      <c r="A865" s="4" t="s">
        <v>878</v>
      </c>
      <c r="B865" s="2" t="s">
        <v>3553</v>
      </c>
      <c r="C865" s="2" t="s">
        <v>3875</v>
      </c>
      <c r="D865" s="2" t="s">
        <v>3876</v>
      </c>
      <c r="E865" s="3">
        <v>44983</v>
      </c>
      <c r="F865" s="3">
        <v>45797</v>
      </c>
      <c r="G865" s="2" t="s">
        <v>3884</v>
      </c>
      <c r="H865" s="2">
        <v>94864</v>
      </c>
      <c r="I865" s="2">
        <v>576432</v>
      </c>
      <c r="J865" s="2" t="s">
        <v>3888</v>
      </c>
      <c r="K865" s="2" t="s">
        <v>3893</v>
      </c>
      <c r="L865" s="2">
        <v>2025</v>
      </c>
      <c r="M865" s="2">
        <v>-481568</v>
      </c>
      <c r="N865" s="2">
        <f xml:space="preserve"> (Table1[[#This Row],[Variance (USD)]] / Table1[[#This Row],[Actual Spending (USD)]]) * 100</f>
        <v>-83.54289838176922</v>
      </c>
      <c r="O865" s="5" t="s">
        <v>3897</v>
      </c>
    </row>
    <row r="866" spans="1:15" x14ac:dyDescent="0.25">
      <c r="A866" s="4" t="s">
        <v>879</v>
      </c>
      <c r="B866" s="2" t="s">
        <v>3554</v>
      </c>
      <c r="C866" s="2" t="s">
        <v>3868</v>
      </c>
      <c r="D866" s="2" t="s">
        <v>3878</v>
      </c>
      <c r="E866" s="3">
        <v>45531</v>
      </c>
      <c r="F866" s="3">
        <v>45319</v>
      </c>
      <c r="G866" s="2" t="s">
        <v>3887</v>
      </c>
      <c r="H866" s="2">
        <v>755051</v>
      </c>
      <c r="I866" s="2">
        <v>150270</v>
      </c>
      <c r="J866" s="2" t="s">
        <v>3890</v>
      </c>
      <c r="K866" s="2" t="s">
        <v>3894</v>
      </c>
      <c r="L866" s="2">
        <v>2024</v>
      </c>
      <c r="M866" s="2">
        <v>604781</v>
      </c>
      <c r="N866" s="2">
        <f xml:space="preserve"> (Table1[[#This Row],[Variance (USD)]] / Table1[[#This Row],[Actual Spending (USD)]]) * 100</f>
        <v>402.46290011312971</v>
      </c>
      <c r="O866" s="5" t="s">
        <v>3900</v>
      </c>
    </row>
    <row r="867" spans="1:15" x14ac:dyDescent="0.25">
      <c r="A867" s="4" t="s">
        <v>880</v>
      </c>
      <c r="B867" s="2" t="s">
        <v>3368</v>
      </c>
      <c r="C867" s="2" t="s">
        <v>3870</v>
      </c>
      <c r="D867" s="2" t="s">
        <v>3876</v>
      </c>
      <c r="E867" s="3">
        <v>44945</v>
      </c>
      <c r="F867" s="3">
        <v>45919</v>
      </c>
      <c r="G867" s="2" t="s">
        <v>3884</v>
      </c>
      <c r="H867" s="2">
        <v>646323</v>
      </c>
      <c r="I867" s="2">
        <v>687925</v>
      </c>
      <c r="J867" s="2" t="s">
        <v>3891</v>
      </c>
      <c r="K867" s="2" t="s">
        <v>3895</v>
      </c>
      <c r="L867" s="2">
        <v>2025</v>
      </c>
      <c r="M867" s="2">
        <v>-41602</v>
      </c>
      <c r="N867" s="2">
        <f xml:space="preserve"> (Table1[[#This Row],[Variance (USD)]] / Table1[[#This Row],[Actual Spending (USD)]]) * 100</f>
        <v>-6.0474615692117606</v>
      </c>
      <c r="O867" s="5" t="s">
        <v>3897</v>
      </c>
    </row>
    <row r="868" spans="1:15" x14ac:dyDescent="0.25">
      <c r="A868" s="4" t="s">
        <v>881</v>
      </c>
      <c r="B868" s="2" t="s">
        <v>3555</v>
      </c>
      <c r="C868" s="2" t="s">
        <v>3874</v>
      </c>
      <c r="D868" s="2" t="s">
        <v>3881</v>
      </c>
      <c r="E868" s="3">
        <v>45310</v>
      </c>
      <c r="F868" s="3">
        <v>45342</v>
      </c>
      <c r="G868" s="2" t="s">
        <v>3886</v>
      </c>
      <c r="H868" s="2">
        <v>136675</v>
      </c>
      <c r="I868" s="2">
        <v>1167485</v>
      </c>
      <c r="J868" s="2" t="s">
        <v>3889</v>
      </c>
      <c r="K868" s="2" t="s">
        <v>3896</v>
      </c>
      <c r="L868" s="2">
        <v>2023</v>
      </c>
      <c r="M868" s="2">
        <v>-1030810</v>
      </c>
      <c r="N868" s="2">
        <f xml:space="preserve"> (Table1[[#This Row],[Variance (USD)]] / Table1[[#This Row],[Actual Spending (USD)]]) * 100</f>
        <v>-88.293211475950443</v>
      </c>
      <c r="O868" s="5" t="s">
        <v>3899</v>
      </c>
    </row>
    <row r="869" spans="1:15" x14ac:dyDescent="0.25">
      <c r="A869" s="4" t="s">
        <v>882</v>
      </c>
      <c r="B869" s="2" t="s">
        <v>3030</v>
      </c>
      <c r="C869" s="2" t="s">
        <v>3874</v>
      </c>
      <c r="D869" s="2" t="s">
        <v>3883</v>
      </c>
      <c r="E869" s="3">
        <v>45119</v>
      </c>
      <c r="F869" s="3">
        <v>45984</v>
      </c>
      <c r="G869" s="2" t="s">
        <v>3884</v>
      </c>
      <c r="H869" s="2">
        <v>334487</v>
      </c>
      <c r="I869" s="2">
        <v>1056597</v>
      </c>
      <c r="J869" s="2" t="s">
        <v>3888</v>
      </c>
      <c r="K869" s="2" t="s">
        <v>3895</v>
      </c>
      <c r="L869" s="2">
        <v>2025</v>
      </c>
      <c r="M869" s="2">
        <v>-722110</v>
      </c>
      <c r="N869" s="2">
        <f xml:space="preserve"> (Table1[[#This Row],[Variance (USD)]] / Table1[[#This Row],[Actual Spending (USD)]]) * 100</f>
        <v>-68.342991698821791</v>
      </c>
      <c r="O869" s="5" t="s">
        <v>3897</v>
      </c>
    </row>
    <row r="870" spans="1:15" x14ac:dyDescent="0.25">
      <c r="A870" s="4" t="s">
        <v>883</v>
      </c>
      <c r="B870" s="2" t="s">
        <v>3556</v>
      </c>
      <c r="C870" s="2" t="s">
        <v>3872</v>
      </c>
      <c r="D870" s="2" t="s">
        <v>3881</v>
      </c>
      <c r="E870" s="3">
        <v>45163</v>
      </c>
      <c r="F870" s="3">
        <v>45551</v>
      </c>
      <c r="G870" s="2" t="s">
        <v>3884</v>
      </c>
      <c r="H870" s="2">
        <v>274320</v>
      </c>
      <c r="I870" s="2">
        <v>325943</v>
      </c>
      <c r="J870" s="2" t="s">
        <v>3889</v>
      </c>
      <c r="K870" s="2" t="s">
        <v>3896</v>
      </c>
      <c r="L870" s="2">
        <v>2024</v>
      </c>
      <c r="M870" s="2">
        <v>-51623</v>
      </c>
      <c r="N870" s="2">
        <f xml:space="preserve"> (Table1[[#This Row],[Variance (USD)]] / Table1[[#This Row],[Actual Spending (USD)]]) * 100</f>
        <v>-15.8380453023995</v>
      </c>
      <c r="O870" s="5" t="s">
        <v>3897</v>
      </c>
    </row>
    <row r="871" spans="1:15" x14ac:dyDescent="0.25">
      <c r="A871" s="4" t="s">
        <v>884</v>
      </c>
      <c r="B871" s="2" t="s">
        <v>3024</v>
      </c>
      <c r="C871" s="2" t="s">
        <v>3868</v>
      </c>
      <c r="D871" s="2" t="s">
        <v>3882</v>
      </c>
      <c r="E871" s="3">
        <v>45313</v>
      </c>
      <c r="F871" s="3">
        <v>45882</v>
      </c>
      <c r="G871" s="2" t="s">
        <v>3886</v>
      </c>
      <c r="H871" s="2">
        <v>593961</v>
      </c>
      <c r="I871" s="2">
        <v>489993</v>
      </c>
      <c r="J871" s="2" t="s">
        <v>3888</v>
      </c>
      <c r="K871" s="2" t="s">
        <v>3893</v>
      </c>
      <c r="L871" s="2">
        <v>2024</v>
      </c>
      <c r="M871" s="2">
        <v>103968</v>
      </c>
      <c r="N871" s="2">
        <f xml:space="preserve"> (Table1[[#This Row],[Variance (USD)]] / Table1[[#This Row],[Actual Spending (USD)]]) * 100</f>
        <v>21.21826230170635</v>
      </c>
      <c r="O871" s="5" t="s">
        <v>3899</v>
      </c>
    </row>
    <row r="872" spans="1:15" x14ac:dyDescent="0.25">
      <c r="A872" s="4" t="s">
        <v>885</v>
      </c>
      <c r="B872" s="2" t="s">
        <v>3207</v>
      </c>
      <c r="C872" s="2" t="s">
        <v>3869</v>
      </c>
      <c r="D872" s="2" t="s">
        <v>3876</v>
      </c>
      <c r="E872" s="3">
        <v>45352</v>
      </c>
      <c r="F872" s="3">
        <v>45911</v>
      </c>
      <c r="G872" s="2" t="s">
        <v>3885</v>
      </c>
      <c r="H872" s="2">
        <v>241026</v>
      </c>
      <c r="I872" s="2">
        <v>64510</v>
      </c>
      <c r="J872" s="2" t="s">
        <v>3892</v>
      </c>
      <c r="K872" s="2" t="s">
        <v>3893</v>
      </c>
      <c r="L872" s="2">
        <v>2024</v>
      </c>
      <c r="M872" s="2">
        <v>176516</v>
      </c>
      <c r="N872" s="2">
        <f xml:space="preserve"> (Table1[[#This Row],[Variance (USD)]] / Table1[[#This Row],[Actual Spending (USD)]]) * 100</f>
        <v>273.62579445047277</v>
      </c>
      <c r="O872" s="5" t="s">
        <v>3898</v>
      </c>
    </row>
    <row r="873" spans="1:15" x14ac:dyDescent="0.25">
      <c r="A873" s="4" t="s">
        <v>886</v>
      </c>
      <c r="B873" s="2" t="s">
        <v>3474</v>
      </c>
      <c r="C873" s="2" t="s">
        <v>3871</v>
      </c>
      <c r="D873" s="2" t="s">
        <v>3880</v>
      </c>
      <c r="E873" s="3">
        <v>45203</v>
      </c>
      <c r="F873" s="3">
        <v>45877</v>
      </c>
      <c r="G873" s="2" t="s">
        <v>3884</v>
      </c>
      <c r="H873" s="2">
        <v>235770</v>
      </c>
      <c r="I873" s="2">
        <v>117919</v>
      </c>
      <c r="J873" s="2" t="s">
        <v>3892</v>
      </c>
      <c r="K873" s="2" t="s">
        <v>3893</v>
      </c>
      <c r="L873" s="2">
        <v>2024</v>
      </c>
      <c r="M873" s="2">
        <v>117851</v>
      </c>
      <c r="N873" s="2">
        <f xml:space="preserve"> (Table1[[#This Row],[Variance (USD)]] / Table1[[#This Row],[Actual Spending (USD)]]) * 100</f>
        <v>99.942333296584934</v>
      </c>
      <c r="O873" s="5" t="s">
        <v>3897</v>
      </c>
    </row>
    <row r="874" spans="1:15" x14ac:dyDescent="0.25">
      <c r="A874" s="4" t="s">
        <v>887</v>
      </c>
      <c r="B874" s="2" t="s">
        <v>3461</v>
      </c>
      <c r="C874" s="2" t="s">
        <v>3875</v>
      </c>
      <c r="D874" s="2" t="s">
        <v>3879</v>
      </c>
      <c r="E874" s="3">
        <v>45153</v>
      </c>
      <c r="F874" s="3">
        <v>45978</v>
      </c>
      <c r="G874" s="2" t="s">
        <v>3886</v>
      </c>
      <c r="H874" s="2">
        <v>407168</v>
      </c>
      <c r="I874" s="2">
        <v>1191619</v>
      </c>
      <c r="J874" s="2" t="s">
        <v>3890</v>
      </c>
      <c r="K874" s="2" t="s">
        <v>3896</v>
      </c>
      <c r="L874" s="2">
        <v>2023</v>
      </c>
      <c r="M874" s="2">
        <v>-784451</v>
      </c>
      <c r="N874" s="2">
        <f xml:space="preserve"> (Table1[[#This Row],[Variance (USD)]] / Table1[[#This Row],[Actual Spending (USD)]]) * 100</f>
        <v>-65.830689171622808</v>
      </c>
      <c r="O874" s="5" t="s">
        <v>3899</v>
      </c>
    </row>
    <row r="875" spans="1:15" x14ac:dyDescent="0.25">
      <c r="A875" s="4" t="s">
        <v>888</v>
      </c>
      <c r="B875" s="2" t="s">
        <v>3136</v>
      </c>
      <c r="C875" s="2" t="s">
        <v>3872</v>
      </c>
      <c r="D875" s="2" t="s">
        <v>3879</v>
      </c>
      <c r="E875" s="3">
        <v>45478</v>
      </c>
      <c r="F875" s="3">
        <v>45475</v>
      </c>
      <c r="G875" s="2" t="s">
        <v>3884</v>
      </c>
      <c r="H875" s="2">
        <v>600808</v>
      </c>
      <c r="I875" s="2">
        <v>762726</v>
      </c>
      <c r="J875" s="2" t="s">
        <v>3892</v>
      </c>
      <c r="K875" s="2" t="s">
        <v>3895</v>
      </c>
      <c r="L875" s="2">
        <v>2025</v>
      </c>
      <c r="M875" s="2">
        <v>-161918</v>
      </c>
      <c r="N875" s="2">
        <f xml:space="preserve"> (Table1[[#This Row],[Variance (USD)]] / Table1[[#This Row],[Actual Spending (USD)]]) * 100</f>
        <v>-21.228855447434597</v>
      </c>
      <c r="O875" s="5" t="s">
        <v>3897</v>
      </c>
    </row>
    <row r="876" spans="1:15" x14ac:dyDescent="0.25">
      <c r="A876" s="4" t="s">
        <v>889</v>
      </c>
      <c r="B876" s="2" t="s">
        <v>3383</v>
      </c>
      <c r="C876" s="2" t="s">
        <v>3870</v>
      </c>
      <c r="D876" s="2" t="s">
        <v>3876</v>
      </c>
      <c r="E876" s="3">
        <v>45249</v>
      </c>
      <c r="F876" s="3">
        <v>45314</v>
      </c>
      <c r="G876" s="2" t="s">
        <v>3884</v>
      </c>
      <c r="H876" s="2">
        <v>552857</v>
      </c>
      <c r="I876" s="2">
        <v>452191</v>
      </c>
      <c r="J876" s="2" t="s">
        <v>3891</v>
      </c>
      <c r="K876" s="2" t="s">
        <v>3896</v>
      </c>
      <c r="L876" s="2">
        <v>2024</v>
      </c>
      <c r="M876" s="2">
        <v>100666</v>
      </c>
      <c r="N876" s="2">
        <f xml:space="preserve"> (Table1[[#This Row],[Variance (USD)]] / Table1[[#This Row],[Actual Spending (USD)]]) * 100</f>
        <v>22.261831836546946</v>
      </c>
      <c r="O876" s="5" t="s">
        <v>3897</v>
      </c>
    </row>
    <row r="877" spans="1:15" x14ac:dyDescent="0.25">
      <c r="A877" s="4" t="s">
        <v>890</v>
      </c>
      <c r="B877" s="2" t="s">
        <v>3076</v>
      </c>
      <c r="C877" s="2" t="s">
        <v>3875</v>
      </c>
      <c r="D877" s="2" t="s">
        <v>3879</v>
      </c>
      <c r="E877" s="3">
        <v>45079</v>
      </c>
      <c r="F877" s="3">
        <v>45420</v>
      </c>
      <c r="G877" s="2" t="s">
        <v>3884</v>
      </c>
      <c r="H877" s="2">
        <v>819483</v>
      </c>
      <c r="I877" s="2">
        <v>345386</v>
      </c>
      <c r="J877" s="2" t="s">
        <v>3891</v>
      </c>
      <c r="K877" s="2" t="s">
        <v>3893</v>
      </c>
      <c r="L877" s="2">
        <v>2025</v>
      </c>
      <c r="M877" s="2">
        <v>474097</v>
      </c>
      <c r="N877" s="2">
        <f xml:space="preserve"> (Table1[[#This Row],[Variance (USD)]] / Table1[[#This Row],[Actual Spending (USD)]]) * 100</f>
        <v>137.26584169595756</v>
      </c>
      <c r="O877" s="5" t="s">
        <v>3897</v>
      </c>
    </row>
    <row r="878" spans="1:15" x14ac:dyDescent="0.25">
      <c r="A878" s="4" t="s">
        <v>891</v>
      </c>
      <c r="B878" s="2" t="s">
        <v>3557</v>
      </c>
      <c r="C878" s="2" t="s">
        <v>3875</v>
      </c>
      <c r="D878" s="2" t="s">
        <v>3880</v>
      </c>
      <c r="E878" s="3">
        <v>45565</v>
      </c>
      <c r="F878" s="3">
        <v>45582</v>
      </c>
      <c r="G878" s="2" t="s">
        <v>3884</v>
      </c>
      <c r="H878" s="2">
        <v>852216</v>
      </c>
      <c r="I878" s="2">
        <v>1125122</v>
      </c>
      <c r="J878" s="2" t="s">
        <v>3888</v>
      </c>
      <c r="K878" s="2" t="s">
        <v>3893</v>
      </c>
      <c r="L878" s="2">
        <v>2023</v>
      </c>
      <c r="M878" s="2">
        <v>-272906</v>
      </c>
      <c r="N878" s="2">
        <f xml:space="preserve"> (Table1[[#This Row],[Variance (USD)]] / Table1[[#This Row],[Actual Spending (USD)]]) * 100</f>
        <v>-24.255680717291103</v>
      </c>
      <c r="O878" s="5" t="s">
        <v>3897</v>
      </c>
    </row>
    <row r="879" spans="1:15" x14ac:dyDescent="0.25">
      <c r="A879" s="4" t="s">
        <v>892</v>
      </c>
      <c r="B879" s="2" t="s">
        <v>3558</v>
      </c>
      <c r="C879" s="2" t="s">
        <v>3868</v>
      </c>
      <c r="D879" s="2" t="s">
        <v>3881</v>
      </c>
      <c r="E879" s="3">
        <v>45163</v>
      </c>
      <c r="F879" s="3">
        <v>45792</v>
      </c>
      <c r="G879" s="2" t="s">
        <v>3884</v>
      </c>
      <c r="H879" s="2">
        <v>429590</v>
      </c>
      <c r="I879" s="2">
        <v>510265</v>
      </c>
      <c r="J879" s="2" t="s">
        <v>3889</v>
      </c>
      <c r="K879" s="2" t="s">
        <v>3893</v>
      </c>
      <c r="L879" s="2">
        <v>2025</v>
      </c>
      <c r="M879" s="2">
        <v>-80675</v>
      </c>
      <c r="N879" s="2">
        <f xml:space="preserve"> (Table1[[#This Row],[Variance (USD)]] / Table1[[#This Row],[Actual Spending (USD)]]) * 100</f>
        <v>-15.810412236778928</v>
      </c>
      <c r="O879" s="5" t="s">
        <v>3897</v>
      </c>
    </row>
    <row r="880" spans="1:15" x14ac:dyDescent="0.25">
      <c r="A880" s="4" t="s">
        <v>893</v>
      </c>
      <c r="B880" s="2" t="s">
        <v>3559</v>
      </c>
      <c r="C880" s="2" t="s">
        <v>3871</v>
      </c>
      <c r="D880" s="2" t="s">
        <v>3879</v>
      </c>
      <c r="E880" s="3">
        <v>44981</v>
      </c>
      <c r="F880" s="3">
        <v>45477</v>
      </c>
      <c r="G880" s="2" t="s">
        <v>3884</v>
      </c>
      <c r="H880" s="2">
        <v>88079</v>
      </c>
      <c r="I880" s="2">
        <v>821329</v>
      </c>
      <c r="J880" s="2" t="s">
        <v>3891</v>
      </c>
      <c r="K880" s="2" t="s">
        <v>3896</v>
      </c>
      <c r="L880" s="2">
        <v>2024</v>
      </c>
      <c r="M880" s="2">
        <v>-733250</v>
      </c>
      <c r="N880" s="2">
        <f xml:space="preserve"> (Table1[[#This Row],[Variance (USD)]] / Table1[[#This Row],[Actual Spending (USD)]]) * 100</f>
        <v>-89.276039199882135</v>
      </c>
      <c r="O880" s="5" t="s">
        <v>3897</v>
      </c>
    </row>
    <row r="881" spans="1:15" x14ac:dyDescent="0.25">
      <c r="A881" s="4" t="s">
        <v>894</v>
      </c>
      <c r="B881" s="2" t="s">
        <v>3476</v>
      </c>
      <c r="C881" s="2" t="s">
        <v>3869</v>
      </c>
      <c r="D881" s="2" t="s">
        <v>3876</v>
      </c>
      <c r="E881" s="3">
        <v>45362</v>
      </c>
      <c r="F881" s="3">
        <v>45770</v>
      </c>
      <c r="G881" s="2" t="s">
        <v>3884</v>
      </c>
      <c r="H881" s="2">
        <v>94220</v>
      </c>
      <c r="I881" s="2">
        <v>161235</v>
      </c>
      <c r="J881" s="2" t="s">
        <v>3888</v>
      </c>
      <c r="K881" s="2" t="s">
        <v>3894</v>
      </c>
      <c r="L881" s="2">
        <v>2025</v>
      </c>
      <c r="M881" s="2">
        <v>-67015</v>
      </c>
      <c r="N881" s="2">
        <f xml:space="preserve"> (Table1[[#This Row],[Variance (USD)]] / Table1[[#This Row],[Actual Spending (USD)]]) * 100</f>
        <v>-41.563556299810834</v>
      </c>
      <c r="O881" s="5" t="s">
        <v>3897</v>
      </c>
    </row>
    <row r="882" spans="1:15" x14ac:dyDescent="0.25">
      <c r="A882" s="4" t="s">
        <v>895</v>
      </c>
      <c r="B882" s="2" t="s">
        <v>3128</v>
      </c>
      <c r="C882" s="2" t="s">
        <v>3874</v>
      </c>
      <c r="D882" s="2" t="s">
        <v>3877</v>
      </c>
      <c r="E882" s="3">
        <v>45610</v>
      </c>
      <c r="F882" s="3">
        <v>45862</v>
      </c>
      <c r="G882" s="2" t="s">
        <v>3884</v>
      </c>
      <c r="H882" s="2">
        <v>201563</v>
      </c>
      <c r="I882" s="2">
        <v>344684</v>
      </c>
      <c r="J882" s="2" t="s">
        <v>3889</v>
      </c>
      <c r="K882" s="2" t="s">
        <v>3893</v>
      </c>
      <c r="L882" s="2">
        <v>2024</v>
      </c>
      <c r="M882" s="2">
        <v>-143121</v>
      </c>
      <c r="N882" s="2">
        <f xml:space="preserve"> (Table1[[#This Row],[Variance (USD)]] / Table1[[#This Row],[Actual Spending (USD)]]) * 100</f>
        <v>-41.522379918998269</v>
      </c>
      <c r="O882" s="5" t="s">
        <v>3897</v>
      </c>
    </row>
    <row r="883" spans="1:15" x14ac:dyDescent="0.25">
      <c r="A883" s="4" t="s">
        <v>896</v>
      </c>
      <c r="B883" s="2" t="s">
        <v>3560</v>
      </c>
      <c r="C883" s="2" t="s">
        <v>3873</v>
      </c>
      <c r="D883" s="2" t="s">
        <v>3877</v>
      </c>
      <c r="E883" s="3">
        <v>45035</v>
      </c>
      <c r="F883" s="3">
        <v>45783</v>
      </c>
      <c r="G883" s="2" t="s">
        <v>3884</v>
      </c>
      <c r="H883" s="2">
        <v>162878</v>
      </c>
      <c r="I883" s="2">
        <v>506131</v>
      </c>
      <c r="J883" s="2" t="s">
        <v>3892</v>
      </c>
      <c r="K883" s="2" t="s">
        <v>3895</v>
      </c>
      <c r="L883" s="2">
        <v>2024</v>
      </c>
      <c r="M883" s="2">
        <v>-343253</v>
      </c>
      <c r="N883" s="2">
        <f xml:space="preserve"> (Table1[[#This Row],[Variance (USD)]] / Table1[[#This Row],[Actual Spending (USD)]]) * 100</f>
        <v>-67.819003380547727</v>
      </c>
      <c r="O883" s="5" t="s">
        <v>3897</v>
      </c>
    </row>
    <row r="884" spans="1:15" x14ac:dyDescent="0.25">
      <c r="A884" s="4" t="s">
        <v>897</v>
      </c>
      <c r="B884" s="2" t="s">
        <v>3422</v>
      </c>
      <c r="C884" s="2" t="s">
        <v>3873</v>
      </c>
      <c r="D884" s="2" t="s">
        <v>3878</v>
      </c>
      <c r="E884" s="3">
        <v>45110</v>
      </c>
      <c r="F884" s="3">
        <v>45804</v>
      </c>
      <c r="G884" s="2" t="s">
        <v>3886</v>
      </c>
      <c r="H884" s="2">
        <v>166583</v>
      </c>
      <c r="I884" s="2">
        <v>274367</v>
      </c>
      <c r="J884" s="2" t="s">
        <v>3888</v>
      </c>
      <c r="K884" s="2" t="s">
        <v>3893</v>
      </c>
      <c r="L884" s="2">
        <v>2023</v>
      </c>
      <c r="M884" s="2">
        <v>-107784</v>
      </c>
      <c r="N884" s="2">
        <f xml:space="preserve"> (Table1[[#This Row],[Variance (USD)]] / Table1[[#This Row],[Actual Spending (USD)]]) * 100</f>
        <v>-39.284607842779927</v>
      </c>
      <c r="O884" s="5" t="s">
        <v>3899</v>
      </c>
    </row>
    <row r="885" spans="1:15" x14ac:dyDescent="0.25">
      <c r="A885" s="4" t="s">
        <v>898</v>
      </c>
      <c r="B885" s="2" t="s">
        <v>3561</v>
      </c>
      <c r="C885" s="2" t="s">
        <v>3875</v>
      </c>
      <c r="D885" s="2" t="s">
        <v>3882</v>
      </c>
      <c r="E885" s="3">
        <v>45294</v>
      </c>
      <c r="F885" s="3">
        <v>45934</v>
      </c>
      <c r="G885" s="2" t="s">
        <v>3885</v>
      </c>
      <c r="H885" s="2">
        <v>98720</v>
      </c>
      <c r="I885" s="2">
        <v>846462</v>
      </c>
      <c r="J885" s="2" t="s">
        <v>3889</v>
      </c>
      <c r="K885" s="2" t="s">
        <v>3896</v>
      </c>
      <c r="L885" s="2">
        <v>2023</v>
      </c>
      <c r="M885" s="2">
        <v>-747742</v>
      </c>
      <c r="N885" s="2">
        <f xml:space="preserve"> (Table1[[#This Row],[Variance (USD)]] / Table1[[#This Row],[Actual Spending (USD)]]) * 100</f>
        <v>-88.33733823845607</v>
      </c>
      <c r="O885" s="5" t="s">
        <v>3898</v>
      </c>
    </row>
    <row r="886" spans="1:15" x14ac:dyDescent="0.25">
      <c r="A886" s="4" t="s">
        <v>899</v>
      </c>
      <c r="B886" s="2" t="s">
        <v>3562</v>
      </c>
      <c r="C886" s="2" t="s">
        <v>3874</v>
      </c>
      <c r="D886" s="2" t="s">
        <v>3879</v>
      </c>
      <c r="E886" s="3">
        <v>45124</v>
      </c>
      <c r="F886" s="3">
        <v>45358</v>
      </c>
      <c r="G886" s="2" t="s">
        <v>3886</v>
      </c>
      <c r="H886" s="2">
        <v>281876</v>
      </c>
      <c r="I886" s="2">
        <v>1133889</v>
      </c>
      <c r="J886" s="2" t="s">
        <v>3890</v>
      </c>
      <c r="K886" s="2" t="s">
        <v>3895</v>
      </c>
      <c r="L886" s="2">
        <v>2025</v>
      </c>
      <c r="M886" s="2">
        <v>-852013</v>
      </c>
      <c r="N886" s="2">
        <f xml:space="preserve"> (Table1[[#This Row],[Variance (USD)]] / Table1[[#This Row],[Actual Spending (USD)]]) * 100</f>
        <v>-75.140776566312923</v>
      </c>
      <c r="O886" s="5" t="s">
        <v>3899</v>
      </c>
    </row>
    <row r="887" spans="1:15" x14ac:dyDescent="0.25">
      <c r="A887" s="4" t="s">
        <v>900</v>
      </c>
      <c r="B887" s="2" t="s">
        <v>3152</v>
      </c>
      <c r="C887" s="2" t="s">
        <v>3874</v>
      </c>
      <c r="D887" s="2" t="s">
        <v>3882</v>
      </c>
      <c r="E887" s="3">
        <v>45297</v>
      </c>
      <c r="F887" s="3">
        <v>45758</v>
      </c>
      <c r="G887" s="2" t="s">
        <v>3884</v>
      </c>
      <c r="H887" s="2">
        <v>589006</v>
      </c>
      <c r="I887" s="2">
        <v>59870</v>
      </c>
      <c r="J887" s="2" t="s">
        <v>3890</v>
      </c>
      <c r="K887" s="2" t="s">
        <v>3896</v>
      </c>
      <c r="L887" s="2">
        <v>2025</v>
      </c>
      <c r="M887" s="2">
        <v>529136</v>
      </c>
      <c r="N887" s="2">
        <f xml:space="preserve"> (Table1[[#This Row],[Variance (USD)]] / Table1[[#This Row],[Actual Spending (USD)]]) * 100</f>
        <v>883.80825121095711</v>
      </c>
      <c r="O887" s="5" t="s">
        <v>3897</v>
      </c>
    </row>
    <row r="888" spans="1:15" x14ac:dyDescent="0.25">
      <c r="A888" s="4" t="s">
        <v>901</v>
      </c>
      <c r="B888" s="2" t="s">
        <v>3563</v>
      </c>
      <c r="C888" s="2" t="s">
        <v>3871</v>
      </c>
      <c r="D888" s="2" t="s">
        <v>3881</v>
      </c>
      <c r="E888" s="3">
        <v>45299</v>
      </c>
      <c r="F888" s="3">
        <v>45576</v>
      </c>
      <c r="G888" s="2" t="s">
        <v>3885</v>
      </c>
      <c r="H888" s="2">
        <v>478813</v>
      </c>
      <c r="I888" s="2">
        <v>932997</v>
      </c>
      <c r="J888" s="2" t="s">
        <v>3891</v>
      </c>
      <c r="K888" s="2" t="s">
        <v>3894</v>
      </c>
      <c r="L888" s="2">
        <v>2024</v>
      </c>
      <c r="M888" s="2">
        <v>-454184</v>
      </c>
      <c r="N888" s="2">
        <f xml:space="preserve"> (Table1[[#This Row],[Variance (USD)]] / Table1[[#This Row],[Actual Spending (USD)]]) * 100</f>
        <v>-48.680113655242188</v>
      </c>
      <c r="O888" s="5" t="s">
        <v>3898</v>
      </c>
    </row>
    <row r="889" spans="1:15" x14ac:dyDescent="0.25">
      <c r="A889" s="4" t="s">
        <v>902</v>
      </c>
      <c r="B889" s="2" t="s">
        <v>3181</v>
      </c>
      <c r="C889" s="2" t="s">
        <v>3870</v>
      </c>
      <c r="D889" s="2" t="s">
        <v>3876</v>
      </c>
      <c r="E889" s="3">
        <v>45423</v>
      </c>
      <c r="F889" s="3">
        <v>45892</v>
      </c>
      <c r="G889" s="2" t="s">
        <v>3886</v>
      </c>
      <c r="H889" s="2">
        <v>897649</v>
      </c>
      <c r="I889" s="2">
        <v>349399</v>
      </c>
      <c r="J889" s="2" t="s">
        <v>3889</v>
      </c>
      <c r="K889" s="2" t="s">
        <v>3894</v>
      </c>
      <c r="L889" s="2">
        <v>2024</v>
      </c>
      <c r="M889" s="2">
        <v>548250</v>
      </c>
      <c r="N889" s="2">
        <f xml:space="preserve"> (Table1[[#This Row],[Variance (USD)]] / Table1[[#This Row],[Actual Spending (USD)]]) * 100</f>
        <v>156.91229797452198</v>
      </c>
      <c r="O889" s="5" t="s">
        <v>3899</v>
      </c>
    </row>
    <row r="890" spans="1:15" x14ac:dyDescent="0.25">
      <c r="A890" s="4" t="s">
        <v>903</v>
      </c>
      <c r="B890" s="2" t="s">
        <v>3559</v>
      </c>
      <c r="C890" s="2" t="s">
        <v>3870</v>
      </c>
      <c r="D890" s="2" t="s">
        <v>3879</v>
      </c>
      <c r="E890" s="3">
        <v>45525</v>
      </c>
      <c r="F890" s="3">
        <v>45708</v>
      </c>
      <c r="G890" s="2" t="s">
        <v>3884</v>
      </c>
      <c r="H890" s="2">
        <v>541567</v>
      </c>
      <c r="I890" s="2">
        <v>908839</v>
      </c>
      <c r="J890" s="2" t="s">
        <v>3890</v>
      </c>
      <c r="K890" s="2" t="s">
        <v>3896</v>
      </c>
      <c r="L890" s="2">
        <v>2024</v>
      </c>
      <c r="M890" s="2">
        <v>-367272</v>
      </c>
      <c r="N890" s="2">
        <f xml:space="preserve"> (Table1[[#This Row],[Variance (USD)]] / Table1[[#This Row],[Actual Spending (USD)]]) * 100</f>
        <v>-40.411117920775844</v>
      </c>
      <c r="O890" s="5" t="s">
        <v>3897</v>
      </c>
    </row>
    <row r="891" spans="1:15" x14ac:dyDescent="0.25">
      <c r="A891" s="4" t="s">
        <v>904</v>
      </c>
      <c r="B891" s="2" t="s">
        <v>3260</v>
      </c>
      <c r="C891" s="2" t="s">
        <v>3872</v>
      </c>
      <c r="D891" s="2" t="s">
        <v>3883</v>
      </c>
      <c r="E891" s="3">
        <v>45127</v>
      </c>
      <c r="F891" s="3">
        <v>45391</v>
      </c>
      <c r="G891" s="2" t="s">
        <v>3884</v>
      </c>
      <c r="H891" s="2">
        <v>412812</v>
      </c>
      <c r="I891" s="2">
        <v>488146</v>
      </c>
      <c r="J891" s="2" t="s">
        <v>3891</v>
      </c>
      <c r="K891" s="2" t="s">
        <v>3893</v>
      </c>
      <c r="L891" s="2">
        <v>2024</v>
      </c>
      <c r="M891" s="2">
        <v>-75334</v>
      </c>
      <c r="N891" s="2">
        <f xml:space="preserve"> (Table1[[#This Row],[Variance (USD)]] / Table1[[#This Row],[Actual Spending (USD)]]) * 100</f>
        <v>-15.432677928324722</v>
      </c>
      <c r="O891" s="5" t="s">
        <v>3897</v>
      </c>
    </row>
    <row r="892" spans="1:15" x14ac:dyDescent="0.25">
      <c r="A892" s="4" t="s">
        <v>905</v>
      </c>
      <c r="B892" s="2" t="s">
        <v>3564</v>
      </c>
      <c r="C892" s="2" t="s">
        <v>3868</v>
      </c>
      <c r="D892" s="2" t="s">
        <v>3880</v>
      </c>
      <c r="E892" s="3">
        <v>45435</v>
      </c>
      <c r="F892" s="3">
        <v>45480</v>
      </c>
      <c r="G892" s="2" t="s">
        <v>3886</v>
      </c>
      <c r="H892" s="2">
        <v>732192</v>
      </c>
      <c r="I892" s="2">
        <v>973883</v>
      </c>
      <c r="J892" s="2" t="s">
        <v>3888</v>
      </c>
      <c r="K892" s="2" t="s">
        <v>3895</v>
      </c>
      <c r="L892" s="2">
        <v>2023</v>
      </c>
      <c r="M892" s="2">
        <v>-241691</v>
      </c>
      <c r="N892" s="2">
        <f xml:space="preserve"> (Table1[[#This Row],[Variance (USD)]] / Table1[[#This Row],[Actual Spending (USD)]]) * 100</f>
        <v>-24.817252175055938</v>
      </c>
      <c r="O892" s="5" t="s">
        <v>3899</v>
      </c>
    </row>
    <row r="893" spans="1:15" x14ac:dyDescent="0.25">
      <c r="A893" s="4" t="s">
        <v>906</v>
      </c>
      <c r="B893" s="2" t="s">
        <v>3165</v>
      </c>
      <c r="C893" s="2" t="s">
        <v>3871</v>
      </c>
      <c r="D893" s="2" t="s">
        <v>3879</v>
      </c>
      <c r="E893" s="3">
        <v>45248</v>
      </c>
      <c r="F893" s="3">
        <v>45679</v>
      </c>
      <c r="G893" s="2" t="s">
        <v>3886</v>
      </c>
      <c r="H893" s="2">
        <v>802758</v>
      </c>
      <c r="I893" s="2">
        <v>315818</v>
      </c>
      <c r="J893" s="2" t="s">
        <v>3888</v>
      </c>
      <c r="K893" s="2" t="s">
        <v>3893</v>
      </c>
      <c r="L893" s="2">
        <v>2024</v>
      </c>
      <c r="M893" s="2">
        <v>486940</v>
      </c>
      <c r="N893" s="2">
        <f xml:space="preserve"> (Table1[[#This Row],[Variance (USD)]] / Table1[[#This Row],[Actual Spending (USD)]]) * 100</f>
        <v>154.18373873560088</v>
      </c>
      <c r="O893" s="5" t="s">
        <v>3899</v>
      </c>
    </row>
    <row r="894" spans="1:15" x14ac:dyDescent="0.25">
      <c r="A894" s="4" t="s">
        <v>907</v>
      </c>
      <c r="B894" s="2" t="s">
        <v>3049</v>
      </c>
      <c r="C894" s="2" t="s">
        <v>3871</v>
      </c>
      <c r="D894" s="2" t="s">
        <v>3879</v>
      </c>
      <c r="E894" s="3">
        <v>45201</v>
      </c>
      <c r="F894" s="3">
        <v>45532</v>
      </c>
      <c r="G894" s="2" t="s">
        <v>3886</v>
      </c>
      <c r="H894" s="2">
        <v>456080</v>
      </c>
      <c r="I894" s="2">
        <v>1070210</v>
      </c>
      <c r="J894" s="2" t="s">
        <v>3889</v>
      </c>
      <c r="K894" s="2" t="s">
        <v>3896</v>
      </c>
      <c r="L894" s="2">
        <v>2023</v>
      </c>
      <c r="M894" s="2">
        <v>-614130</v>
      </c>
      <c r="N894" s="2">
        <f xml:space="preserve"> (Table1[[#This Row],[Variance (USD)]] / Table1[[#This Row],[Actual Spending (USD)]]) * 100</f>
        <v>-57.384064809710246</v>
      </c>
      <c r="O894" s="5" t="s">
        <v>3899</v>
      </c>
    </row>
    <row r="895" spans="1:15" x14ac:dyDescent="0.25">
      <c r="A895" s="4" t="s">
        <v>908</v>
      </c>
      <c r="B895" s="2" t="s">
        <v>3095</v>
      </c>
      <c r="C895" s="2" t="s">
        <v>3868</v>
      </c>
      <c r="D895" s="2" t="s">
        <v>3882</v>
      </c>
      <c r="E895" s="3">
        <v>45137</v>
      </c>
      <c r="F895" s="3">
        <v>46022</v>
      </c>
      <c r="G895" s="2" t="s">
        <v>3886</v>
      </c>
      <c r="H895" s="2">
        <v>662666</v>
      </c>
      <c r="I895" s="2">
        <v>332570</v>
      </c>
      <c r="J895" s="2" t="s">
        <v>3889</v>
      </c>
      <c r="K895" s="2" t="s">
        <v>3896</v>
      </c>
      <c r="L895" s="2">
        <v>2025</v>
      </c>
      <c r="M895" s="2">
        <v>330096</v>
      </c>
      <c r="N895" s="2">
        <f xml:space="preserve"> (Table1[[#This Row],[Variance (USD)]] / Table1[[#This Row],[Actual Spending (USD)]]) * 100</f>
        <v>99.256096460895449</v>
      </c>
      <c r="O895" s="5" t="s">
        <v>3899</v>
      </c>
    </row>
    <row r="896" spans="1:15" x14ac:dyDescent="0.25">
      <c r="A896" s="4" t="s">
        <v>909</v>
      </c>
      <c r="B896" s="2" t="s">
        <v>3565</v>
      </c>
      <c r="C896" s="2" t="s">
        <v>3874</v>
      </c>
      <c r="D896" s="2" t="s">
        <v>3882</v>
      </c>
      <c r="E896" s="3">
        <v>45430</v>
      </c>
      <c r="F896" s="3">
        <v>45708</v>
      </c>
      <c r="G896" s="2" t="s">
        <v>3886</v>
      </c>
      <c r="H896" s="2">
        <v>58177</v>
      </c>
      <c r="I896" s="2">
        <v>1128160</v>
      </c>
      <c r="J896" s="2" t="s">
        <v>3889</v>
      </c>
      <c r="K896" s="2" t="s">
        <v>3893</v>
      </c>
      <c r="L896" s="2">
        <v>2025</v>
      </c>
      <c r="M896" s="2">
        <v>-1069983</v>
      </c>
      <c r="N896" s="2">
        <f xml:space="preserve"> (Table1[[#This Row],[Variance (USD)]] / Table1[[#This Row],[Actual Spending (USD)]]) * 100</f>
        <v>-94.843196000567303</v>
      </c>
      <c r="O896" s="5" t="s">
        <v>3899</v>
      </c>
    </row>
    <row r="897" spans="1:15" x14ac:dyDescent="0.25">
      <c r="A897" s="4" t="s">
        <v>910</v>
      </c>
      <c r="B897" s="2" t="s">
        <v>3318</v>
      </c>
      <c r="C897" s="2" t="s">
        <v>3870</v>
      </c>
      <c r="D897" s="2" t="s">
        <v>3877</v>
      </c>
      <c r="E897" s="3">
        <v>45044</v>
      </c>
      <c r="F897" s="3">
        <v>45467</v>
      </c>
      <c r="G897" s="2" t="s">
        <v>3887</v>
      </c>
      <c r="H897" s="2">
        <v>751475</v>
      </c>
      <c r="I897" s="2">
        <v>627539</v>
      </c>
      <c r="J897" s="2" t="s">
        <v>3889</v>
      </c>
      <c r="K897" s="2" t="s">
        <v>3895</v>
      </c>
      <c r="L897" s="2">
        <v>2023</v>
      </c>
      <c r="M897" s="2">
        <v>123936</v>
      </c>
      <c r="N897" s="2">
        <f xml:space="preserve"> (Table1[[#This Row],[Variance (USD)]] / Table1[[#This Row],[Actual Spending (USD)]]) * 100</f>
        <v>19.749529511313241</v>
      </c>
      <c r="O897" s="5" t="s">
        <v>3900</v>
      </c>
    </row>
    <row r="898" spans="1:15" x14ac:dyDescent="0.25">
      <c r="A898" s="4" t="s">
        <v>911</v>
      </c>
      <c r="B898" s="2" t="s">
        <v>3345</v>
      </c>
      <c r="C898" s="2" t="s">
        <v>3870</v>
      </c>
      <c r="D898" s="2" t="s">
        <v>3880</v>
      </c>
      <c r="E898" s="3">
        <v>45629</v>
      </c>
      <c r="F898" s="3">
        <v>45678</v>
      </c>
      <c r="G898" s="2" t="s">
        <v>3884</v>
      </c>
      <c r="H898" s="2">
        <v>434462</v>
      </c>
      <c r="I898" s="2">
        <v>99353</v>
      </c>
      <c r="J898" s="2" t="s">
        <v>3890</v>
      </c>
      <c r="K898" s="2" t="s">
        <v>3895</v>
      </c>
      <c r="L898" s="2">
        <v>2024</v>
      </c>
      <c r="M898" s="2">
        <v>335109</v>
      </c>
      <c r="N898" s="2">
        <f xml:space="preserve"> (Table1[[#This Row],[Variance (USD)]] / Table1[[#This Row],[Actual Spending (USD)]]) * 100</f>
        <v>337.29127454631464</v>
      </c>
      <c r="O898" s="5" t="s">
        <v>3897</v>
      </c>
    </row>
    <row r="899" spans="1:15" x14ac:dyDescent="0.25">
      <c r="A899" s="4" t="s">
        <v>912</v>
      </c>
      <c r="B899" s="2" t="s">
        <v>3566</v>
      </c>
      <c r="C899" s="2" t="s">
        <v>3874</v>
      </c>
      <c r="D899" s="2" t="s">
        <v>3876</v>
      </c>
      <c r="E899" s="3">
        <v>45480</v>
      </c>
      <c r="F899" s="3">
        <v>45762</v>
      </c>
      <c r="G899" s="2" t="s">
        <v>3884</v>
      </c>
      <c r="H899" s="2">
        <v>811595</v>
      </c>
      <c r="I899" s="2">
        <v>1161566</v>
      </c>
      <c r="J899" s="2" t="s">
        <v>3890</v>
      </c>
      <c r="K899" s="2" t="s">
        <v>3895</v>
      </c>
      <c r="L899" s="2">
        <v>2025</v>
      </c>
      <c r="M899" s="2">
        <v>-349971</v>
      </c>
      <c r="N899" s="2">
        <f xml:space="preserve"> (Table1[[#This Row],[Variance (USD)]] / Table1[[#This Row],[Actual Spending (USD)]]) * 100</f>
        <v>-30.129239320021416</v>
      </c>
      <c r="O899" s="5" t="s">
        <v>3897</v>
      </c>
    </row>
    <row r="900" spans="1:15" x14ac:dyDescent="0.25">
      <c r="A900" s="4" t="s">
        <v>913</v>
      </c>
      <c r="B900" s="2" t="s">
        <v>3543</v>
      </c>
      <c r="C900" s="2" t="s">
        <v>3870</v>
      </c>
      <c r="D900" s="2" t="s">
        <v>3879</v>
      </c>
      <c r="E900" s="3">
        <v>44968</v>
      </c>
      <c r="F900" s="3">
        <v>45524</v>
      </c>
      <c r="G900" s="2" t="s">
        <v>3885</v>
      </c>
      <c r="H900" s="2">
        <v>499426</v>
      </c>
      <c r="I900" s="2">
        <v>710050</v>
      </c>
      <c r="J900" s="2" t="s">
        <v>3891</v>
      </c>
      <c r="K900" s="2" t="s">
        <v>3895</v>
      </c>
      <c r="L900" s="2">
        <v>2023</v>
      </c>
      <c r="M900" s="2">
        <v>-210624</v>
      </c>
      <c r="N900" s="2">
        <f xml:space="preserve"> (Table1[[#This Row],[Variance (USD)]] / Table1[[#This Row],[Actual Spending (USD)]]) * 100</f>
        <v>-29.663263150482361</v>
      </c>
      <c r="O900" s="5" t="s">
        <v>3898</v>
      </c>
    </row>
    <row r="901" spans="1:15" x14ac:dyDescent="0.25">
      <c r="A901" s="4" t="s">
        <v>914</v>
      </c>
      <c r="B901" s="2" t="s">
        <v>3567</v>
      </c>
      <c r="C901" s="2" t="s">
        <v>3875</v>
      </c>
      <c r="D901" s="2" t="s">
        <v>3877</v>
      </c>
      <c r="E901" s="3">
        <v>45241</v>
      </c>
      <c r="F901" s="3">
        <v>45954</v>
      </c>
      <c r="G901" s="2" t="s">
        <v>3884</v>
      </c>
      <c r="H901" s="2">
        <v>495170</v>
      </c>
      <c r="I901" s="2">
        <v>325906</v>
      </c>
      <c r="J901" s="2" t="s">
        <v>3890</v>
      </c>
      <c r="K901" s="2" t="s">
        <v>3895</v>
      </c>
      <c r="L901" s="2">
        <v>2025</v>
      </c>
      <c r="M901" s="2">
        <v>169264</v>
      </c>
      <c r="N901" s="2">
        <f xml:space="preserve"> (Table1[[#This Row],[Variance (USD)]] / Table1[[#This Row],[Actual Spending (USD)]]) * 100</f>
        <v>51.936447932839535</v>
      </c>
      <c r="O901" s="5" t="s">
        <v>3897</v>
      </c>
    </row>
    <row r="902" spans="1:15" x14ac:dyDescent="0.25">
      <c r="A902" s="4" t="s">
        <v>915</v>
      </c>
      <c r="B902" s="2" t="s">
        <v>3568</v>
      </c>
      <c r="C902" s="2" t="s">
        <v>3871</v>
      </c>
      <c r="D902" s="2" t="s">
        <v>3882</v>
      </c>
      <c r="E902" s="3">
        <v>45255</v>
      </c>
      <c r="F902" s="3">
        <v>45743</v>
      </c>
      <c r="G902" s="2" t="s">
        <v>3886</v>
      </c>
      <c r="H902" s="2">
        <v>685433</v>
      </c>
      <c r="I902" s="2">
        <v>722859</v>
      </c>
      <c r="J902" s="2" t="s">
        <v>3888</v>
      </c>
      <c r="K902" s="2" t="s">
        <v>3894</v>
      </c>
      <c r="L902" s="2">
        <v>2024</v>
      </c>
      <c r="M902" s="2">
        <v>-37426</v>
      </c>
      <c r="N902" s="2">
        <f xml:space="preserve"> (Table1[[#This Row],[Variance (USD)]] / Table1[[#This Row],[Actual Spending (USD)]]) * 100</f>
        <v>-5.1774965795542425</v>
      </c>
      <c r="O902" s="5" t="s">
        <v>3899</v>
      </c>
    </row>
    <row r="903" spans="1:15" x14ac:dyDescent="0.25">
      <c r="A903" s="4" t="s">
        <v>916</v>
      </c>
      <c r="B903" s="2" t="s">
        <v>3541</v>
      </c>
      <c r="C903" s="2" t="s">
        <v>3873</v>
      </c>
      <c r="D903" s="2" t="s">
        <v>3878</v>
      </c>
      <c r="E903" s="3">
        <v>44943</v>
      </c>
      <c r="F903" s="3">
        <v>45568</v>
      </c>
      <c r="G903" s="2" t="s">
        <v>3887</v>
      </c>
      <c r="H903" s="2">
        <v>979348</v>
      </c>
      <c r="I903" s="2">
        <v>511204</v>
      </c>
      <c r="J903" s="2" t="s">
        <v>3891</v>
      </c>
      <c r="K903" s="2" t="s">
        <v>3894</v>
      </c>
      <c r="L903" s="2">
        <v>2023</v>
      </c>
      <c r="M903" s="2">
        <v>468144</v>
      </c>
      <c r="N903" s="2">
        <f xml:space="preserve"> (Table1[[#This Row],[Variance (USD)]] / Table1[[#This Row],[Actual Spending (USD)]]) * 100</f>
        <v>91.576748225757228</v>
      </c>
      <c r="O903" s="5" t="s">
        <v>3900</v>
      </c>
    </row>
    <row r="904" spans="1:15" x14ac:dyDescent="0.25">
      <c r="A904" s="4" t="s">
        <v>917</v>
      </c>
      <c r="B904" s="2" t="s">
        <v>3204</v>
      </c>
      <c r="C904" s="2" t="s">
        <v>3868</v>
      </c>
      <c r="D904" s="2" t="s">
        <v>3880</v>
      </c>
      <c r="E904" s="3">
        <v>45209</v>
      </c>
      <c r="F904" s="3">
        <v>45520</v>
      </c>
      <c r="G904" s="2" t="s">
        <v>3886</v>
      </c>
      <c r="H904" s="2">
        <v>779490</v>
      </c>
      <c r="I904" s="2">
        <v>1173716</v>
      </c>
      <c r="J904" s="2" t="s">
        <v>3890</v>
      </c>
      <c r="K904" s="2" t="s">
        <v>3896</v>
      </c>
      <c r="L904" s="2">
        <v>2025</v>
      </c>
      <c r="M904" s="2">
        <v>-394226</v>
      </c>
      <c r="N904" s="2">
        <f xml:space="preserve"> (Table1[[#This Row],[Variance (USD)]] / Table1[[#This Row],[Actual Spending (USD)]]) * 100</f>
        <v>-33.587852598073127</v>
      </c>
      <c r="O904" s="5" t="s">
        <v>3899</v>
      </c>
    </row>
    <row r="905" spans="1:15" x14ac:dyDescent="0.25">
      <c r="A905" s="4" t="s">
        <v>918</v>
      </c>
      <c r="B905" s="2" t="s">
        <v>3078</v>
      </c>
      <c r="C905" s="2" t="s">
        <v>3870</v>
      </c>
      <c r="D905" s="2" t="s">
        <v>3877</v>
      </c>
      <c r="E905" s="3">
        <v>45184</v>
      </c>
      <c r="F905" s="3">
        <v>45462</v>
      </c>
      <c r="G905" s="2" t="s">
        <v>3886</v>
      </c>
      <c r="H905" s="2">
        <v>587706</v>
      </c>
      <c r="I905" s="2">
        <v>900506</v>
      </c>
      <c r="J905" s="2" t="s">
        <v>3889</v>
      </c>
      <c r="K905" s="2" t="s">
        <v>3894</v>
      </c>
      <c r="L905" s="2">
        <v>2024</v>
      </c>
      <c r="M905" s="2">
        <v>-312800</v>
      </c>
      <c r="N905" s="2">
        <f xml:space="preserve"> (Table1[[#This Row],[Variance (USD)]] / Table1[[#This Row],[Actual Spending (USD)]]) * 100</f>
        <v>-34.736026189720008</v>
      </c>
      <c r="O905" s="5" t="s">
        <v>3899</v>
      </c>
    </row>
    <row r="906" spans="1:15" x14ac:dyDescent="0.25">
      <c r="A906" s="4" t="s">
        <v>919</v>
      </c>
      <c r="B906" s="2" t="s">
        <v>3569</v>
      </c>
      <c r="C906" s="2" t="s">
        <v>3872</v>
      </c>
      <c r="D906" s="2" t="s">
        <v>3877</v>
      </c>
      <c r="E906" s="3">
        <v>45501</v>
      </c>
      <c r="F906" s="3">
        <v>45504</v>
      </c>
      <c r="G906" s="2" t="s">
        <v>3884</v>
      </c>
      <c r="H906" s="2">
        <v>215926</v>
      </c>
      <c r="I906" s="2">
        <v>1095591</v>
      </c>
      <c r="J906" s="2" t="s">
        <v>3890</v>
      </c>
      <c r="K906" s="2" t="s">
        <v>3895</v>
      </c>
      <c r="L906" s="2">
        <v>2023</v>
      </c>
      <c r="M906" s="2">
        <v>-879665</v>
      </c>
      <c r="N906" s="2">
        <f xml:space="preserve"> (Table1[[#This Row],[Variance (USD)]] / Table1[[#This Row],[Actual Spending (USD)]]) * 100</f>
        <v>-80.291367855340184</v>
      </c>
      <c r="O906" s="5" t="s">
        <v>3897</v>
      </c>
    </row>
    <row r="907" spans="1:15" x14ac:dyDescent="0.25">
      <c r="A907" s="4" t="s">
        <v>920</v>
      </c>
      <c r="B907" s="2" t="s">
        <v>3393</v>
      </c>
      <c r="C907" s="2" t="s">
        <v>3870</v>
      </c>
      <c r="D907" s="2" t="s">
        <v>3881</v>
      </c>
      <c r="E907" s="3">
        <v>45500</v>
      </c>
      <c r="F907" s="3">
        <v>45573</v>
      </c>
      <c r="G907" s="2" t="s">
        <v>3884</v>
      </c>
      <c r="H907" s="2">
        <v>662363</v>
      </c>
      <c r="I907" s="2">
        <v>1012630</v>
      </c>
      <c r="J907" s="2" t="s">
        <v>3892</v>
      </c>
      <c r="K907" s="2" t="s">
        <v>3895</v>
      </c>
      <c r="L907" s="2">
        <v>2023</v>
      </c>
      <c r="M907" s="2">
        <v>-350267</v>
      </c>
      <c r="N907" s="2">
        <f xml:space="preserve"> (Table1[[#This Row],[Variance (USD)]] / Table1[[#This Row],[Actual Spending (USD)]]) * 100</f>
        <v>-34.589830441523553</v>
      </c>
      <c r="O907" s="5" t="s">
        <v>3897</v>
      </c>
    </row>
    <row r="908" spans="1:15" x14ac:dyDescent="0.25">
      <c r="A908" s="4" t="s">
        <v>921</v>
      </c>
      <c r="B908" s="2" t="s">
        <v>3170</v>
      </c>
      <c r="C908" s="2" t="s">
        <v>3870</v>
      </c>
      <c r="D908" s="2" t="s">
        <v>3877</v>
      </c>
      <c r="E908" s="3">
        <v>45538</v>
      </c>
      <c r="F908" s="3">
        <v>45332</v>
      </c>
      <c r="G908" s="2" t="s">
        <v>3884</v>
      </c>
      <c r="H908" s="2">
        <v>553122</v>
      </c>
      <c r="I908" s="2">
        <v>1128425</v>
      </c>
      <c r="J908" s="2" t="s">
        <v>3891</v>
      </c>
      <c r="K908" s="2" t="s">
        <v>3895</v>
      </c>
      <c r="L908" s="2">
        <v>2023</v>
      </c>
      <c r="M908" s="2">
        <v>-575303</v>
      </c>
      <c r="N908" s="2">
        <f xml:space="preserve"> (Table1[[#This Row],[Variance (USD)]] / Table1[[#This Row],[Actual Spending (USD)]]) * 100</f>
        <v>-50.982830050734428</v>
      </c>
      <c r="O908" s="5" t="s">
        <v>3897</v>
      </c>
    </row>
    <row r="909" spans="1:15" x14ac:dyDescent="0.25">
      <c r="A909" s="4" t="s">
        <v>922</v>
      </c>
      <c r="B909" s="2" t="s">
        <v>3570</v>
      </c>
      <c r="C909" s="2" t="s">
        <v>3869</v>
      </c>
      <c r="D909" s="2" t="s">
        <v>3881</v>
      </c>
      <c r="E909" s="3">
        <v>44945</v>
      </c>
      <c r="F909" s="3">
        <v>45413</v>
      </c>
      <c r="G909" s="2" t="s">
        <v>3886</v>
      </c>
      <c r="H909" s="2">
        <v>377371</v>
      </c>
      <c r="I909" s="2">
        <v>1094428</v>
      </c>
      <c r="J909" s="2" t="s">
        <v>3890</v>
      </c>
      <c r="K909" s="2" t="s">
        <v>3896</v>
      </c>
      <c r="L909" s="2">
        <v>2023</v>
      </c>
      <c r="M909" s="2">
        <v>-717057</v>
      </c>
      <c r="N909" s="2">
        <f xml:space="preserve"> (Table1[[#This Row],[Variance (USD)]] / Table1[[#This Row],[Actual Spending (USD)]]) * 100</f>
        <v>-65.518882923317022</v>
      </c>
      <c r="O909" s="5" t="s">
        <v>3899</v>
      </c>
    </row>
    <row r="910" spans="1:15" x14ac:dyDescent="0.25">
      <c r="A910" s="4" t="s">
        <v>923</v>
      </c>
      <c r="B910" s="2" t="s">
        <v>3314</v>
      </c>
      <c r="C910" s="2" t="s">
        <v>3875</v>
      </c>
      <c r="D910" s="2" t="s">
        <v>3879</v>
      </c>
      <c r="E910" s="3">
        <v>45455</v>
      </c>
      <c r="F910" s="3">
        <v>45518</v>
      </c>
      <c r="G910" s="2" t="s">
        <v>3886</v>
      </c>
      <c r="H910" s="2">
        <v>456051</v>
      </c>
      <c r="I910" s="2">
        <v>609649</v>
      </c>
      <c r="J910" s="2" t="s">
        <v>3890</v>
      </c>
      <c r="K910" s="2" t="s">
        <v>3896</v>
      </c>
      <c r="L910" s="2">
        <v>2025</v>
      </c>
      <c r="M910" s="2">
        <v>-153598</v>
      </c>
      <c r="N910" s="2">
        <f xml:space="preserve"> (Table1[[#This Row],[Variance (USD)]] / Table1[[#This Row],[Actual Spending (USD)]]) * 100</f>
        <v>-25.194497161481443</v>
      </c>
      <c r="O910" s="5" t="s">
        <v>3899</v>
      </c>
    </row>
    <row r="911" spans="1:15" x14ac:dyDescent="0.25">
      <c r="A911" s="4" t="s">
        <v>924</v>
      </c>
      <c r="B911" s="2" t="s">
        <v>3225</v>
      </c>
      <c r="C911" s="2" t="s">
        <v>3868</v>
      </c>
      <c r="D911" s="2" t="s">
        <v>3879</v>
      </c>
      <c r="E911" s="3">
        <v>45349</v>
      </c>
      <c r="F911" s="3">
        <v>45585</v>
      </c>
      <c r="G911" s="2" t="s">
        <v>3886</v>
      </c>
      <c r="H911" s="2">
        <v>329677</v>
      </c>
      <c r="I911" s="2">
        <v>706618</v>
      </c>
      <c r="J911" s="2" t="s">
        <v>3888</v>
      </c>
      <c r="K911" s="2" t="s">
        <v>3893</v>
      </c>
      <c r="L911" s="2">
        <v>2023</v>
      </c>
      <c r="M911" s="2">
        <v>-376941</v>
      </c>
      <c r="N911" s="2">
        <f xml:space="preserve"> (Table1[[#This Row],[Variance (USD)]] / Table1[[#This Row],[Actual Spending (USD)]]) * 100</f>
        <v>-53.344381263992716</v>
      </c>
      <c r="O911" s="5" t="s">
        <v>3899</v>
      </c>
    </row>
    <row r="912" spans="1:15" x14ac:dyDescent="0.25">
      <c r="A912" s="4" t="s">
        <v>925</v>
      </c>
      <c r="B912" s="2" t="s">
        <v>3132</v>
      </c>
      <c r="C912" s="2" t="s">
        <v>3869</v>
      </c>
      <c r="D912" s="2" t="s">
        <v>3882</v>
      </c>
      <c r="E912" s="3">
        <v>45392</v>
      </c>
      <c r="F912" s="3">
        <v>45891</v>
      </c>
      <c r="G912" s="2" t="s">
        <v>3884</v>
      </c>
      <c r="H912" s="2">
        <v>557966</v>
      </c>
      <c r="I912" s="2">
        <v>989012</v>
      </c>
      <c r="J912" s="2" t="s">
        <v>3889</v>
      </c>
      <c r="K912" s="2" t="s">
        <v>3894</v>
      </c>
      <c r="L912" s="2">
        <v>2023</v>
      </c>
      <c r="M912" s="2">
        <v>-431046</v>
      </c>
      <c r="N912" s="2">
        <f xml:space="preserve"> (Table1[[#This Row],[Variance (USD)]] / Table1[[#This Row],[Actual Spending (USD)]]) * 100</f>
        <v>-43.583495447982429</v>
      </c>
      <c r="O912" s="5" t="s">
        <v>3897</v>
      </c>
    </row>
    <row r="913" spans="1:15" x14ac:dyDescent="0.25">
      <c r="A913" s="4" t="s">
        <v>926</v>
      </c>
      <c r="B913" s="2" t="s">
        <v>3571</v>
      </c>
      <c r="C913" s="2" t="s">
        <v>3869</v>
      </c>
      <c r="D913" s="2" t="s">
        <v>3878</v>
      </c>
      <c r="E913" s="3">
        <v>45299</v>
      </c>
      <c r="F913" s="3">
        <v>45558</v>
      </c>
      <c r="G913" s="2" t="s">
        <v>3884</v>
      </c>
      <c r="H913" s="2">
        <v>538267</v>
      </c>
      <c r="I913" s="2">
        <v>494944</v>
      </c>
      <c r="J913" s="2" t="s">
        <v>3889</v>
      </c>
      <c r="K913" s="2" t="s">
        <v>3894</v>
      </c>
      <c r="L913" s="2">
        <v>2023</v>
      </c>
      <c r="M913" s="2">
        <v>43323</v>
      </c>
      <c r="N913" s="2">
        <f xml:space="preserve"> (Table1[[#This Row],[Variance (USD)]] / Table1[[#This Row],[Actual Spending (USD)]]) * 100</f>
        <v>8.7531114631150189</v>
      </c>
      <c r="O913" s="5" t="s">
        <v>3897</v>
      </c>
    </row>
    <row r="914" spans="1:15" x14ac:dyDescent="0.25">
      <c r="A914" s="4" t="s">
        <v>927</v>
      </c>
      <c r="B914" s="2" t="s">
        <v>3572</v>
      </c>
      <c r="C914" s="2" t="s">
        <v>3872</v>
      </c>
      <c r="D914" s="2" t="s">
        <v>3883</v>
      </c>
      <c r="E914" s="3">
        <v>45007</v>
      </c>
      <c r="F914" s="3">
        <v>45832</v>
      </c>
      <c r="G914" s="2" t="s">
        <v>3886</v>
      </c>
      <c r="H914" s="2">
        <v>937889</v>
      </c>
      <c r="I914" s="2">
        <v>1105986</v>
      </c>
      <c r="J914" s="2" t="s">
        <v>3888</v>
      </c>
      <c r="K914" s="2" t="s">
        <v>3893</v>
      </c>
      <c r="L914" s="2">
        <v>2023</v>
      </c>
      <c r="M914" s="2">
        <v>-168097</v>
      </c>
      <c r="N914" s="2">
        <f xml:space="preserve"> (Table1[[#This Row],[Variance (USD)]] / Table1[[#This Row],[Actual Spending (USD)]]) * 100</f>
        <v>-15.198836151633021</v>
      </c>
      <c r="O914" s="5" t="s">
        <v>3899</v>
      </c>
    </row>
    <row r="915" spans="1:15" x14ac:dyDescent="0.25">
      <c r="A915" s="4" t="s">
        <v>928</v>
      </c>
      <c r="B915" s="2" t="s">
        <v>3573</v>
      </c>
      <c r="C915" s="2" t="s">
        <v>3871</v>
      </c>
      <c r="D915" s="2" t="s">
        <v>3883</v>
      </c>
      <c r="E915" s="3">
        <v>45477</v>
      </c>
      <c r="F915" s="3">
        <v>45742</v>
      </c>
      <c r="G915" s="2" t="s">
        <v>3884</v>
      </c>
      <c r="H915" s="2">
        <v>419648</v>
      </c>
      <c r="I915" s="2">
        <v>815334</v>
      </c>
      <c r="J915" s="2" t="s">
        <v>3888</v>
      </c>
      <c r="K915" s="2" t="s">
        <v>3893</v>
      </c>
      <c r="L915" s="2">
        <v>2023</v>
      </c>
      <c r="M915" s="2">
        <v>-395686</v>
      </c>
      <c r="N915" s="2">
        <f xml:space="preserve"> (Table1[[#This Row],[Variance (USD)]] / Table1[[#This Row],[Actual Spending (USD)]]) * 100</f>
        <v>-48.53054085810232</v>
      </c>
      <c r="O915" s="5" t="s">
        <v>3897</v>
      </c>
    </row>
    <row r="916" spans="1:15" x14ac:dyDescent="0.25">
      <c r="A916" s="4" t="s">
        <v>929</v>
      </c>
      <c r="B916" s="2" t="s">
        <v>3489</v>
      </c>
      <c r="C916" s="2" t="s">
        <v>3872</v>
      </c>
      <c r="D916" s="2" t="s">
        <v>3883</v>
      </c>
      <c r="E916" s="3">
        <v>45474</v>
      </c>
      <c r="F916" s="3">
        <v>45740</v>
      </c>
      <c r="G916" s="2" t="s">
        <v>3884</v>
      </c>
      <c r="H916" s="2">
        <v>268930</v>
      </c>
      <c r="I916" s="2">
        <v>588212</v>
      </c>
      <c r="J916" s="2" t="s">
        <v>3892</v>
      </c>
      <c r="K916" s="2" t="s">
        <v>3894</v>
      </c>
      <c r="L916" s="2">
        <v>2024</v>
      </c>
      <c r="M916" s="2">
        <v>-319282</v>
      </c>
      <c r="N916" s="2">
        <f xml:space="preserve"> (Table1[[#This Row],[Variance (USD)]] / Table1[[#This Row],[Actual Spending (USD)]]) * 100</f>
        <v>-54.280089491543869</v>
      </c>
      <c r="O916" s="5" t="s">
        <v>3897</v>
      </c>
    </row>
    <row r="917" spans="1:15" x14ac:dyDescent="0.25">
      <c r="A917" s="4" t="s">
        <v>930</v>
      </c>
      <c r="B917" s="2" t="s">
        <v>3277</v>
      </c>
      <c r="C917" s="2" t="s">
        <v>3871</v>
      </c>
      <c r="D917" s="2" t="s">
        <v>3882</v>
      </c>
      <c r="E917" s="3">
        <v>45350</v>
      </c>
      <c r="F917" s="3">
        <v>45352</v>
      </c>
      <c r="G917" s="2" t="s">
        <v>3886</v>
      </c>
      <c r="H917" s="2">
        <v>453439</v>
      </c>
      <c r="I917" s="2">
        <v>929054</v>
      </c>
      <c r="J917" s="2" t="s">
        <v>3891</v>
      </c>
      <c r="K917" s="2" t="s">
        <v>3895</v>
      </c>
      <c r="L917" s="2">
        <v>2025</v>
      </c>
      <c r="M917" s="2">
        <v>-475615</v>
      </c>
      <c r="N917" s="2">
        <f xml:space="preserve"> (Table1[[#This Row],[Variance (USD)]] / Table1[[#This Row],[Actual Spending (USD)]]) * 100</f>
        <v>-51.193472069438371</v>
      </c>
      <c r="O917" s="5" t="s">
        <v>3899</v>
      </c>
    </row>
    <row r="918" spans="1:15" x14ac:dyDescent="0.25">
      <c r="A918" s="4" t="s">
        <v>931</v>
      </c>
      <c r="B918" s="2" t="s">
        <v>3574</v>
      </c>
      <c r="C918" s="2" t="s">
        <v>3871</v>
      </c>
      <c r="D918" s="2" t="s">
        <v>3881</v>
      </c>
      <c r="E918" s="3">
        <v>45355</v>
      </c>
      <c r="F918" s="3">
        <v>45793</v>
      </c>
      <c r="G918" s="2" t="s">
        <v>3886</v>
      </c>
      <c r="H918" s="2">
        <v>698490</v>
      </c>
      <c r="I918" s="2">
        <v>887263</v>
      </c>
      <c r="J918" s="2" t="s">
        <v>3889</v>
      </c>
      <c r="K918" s="2" t="s">
        <v>3894</v>
      </c>
      <c r="L918" s="2">
        <v>2024</v>
      </c>
      <c r="M918" s="2">
        <v>-188773</v>
      </c>
      <c r="N918" s="2">
        <f xml:space="preserve"> (Table1[[#This Row],[Variance (USD)]] / Table1[[#This Row],[Actual Spending (USD)]]) * 100</f>
        <v>-21.275878741703419</v>
      </c>
      <c r="O918" s="5" t="s">
        <v>3899</v>
      </c>
    </row>
    <row r="919" spans="1:15" x14ac:dyDescent="0.25">
      <c r="A919" s="4" t="s">
        <v>932</v>
      </c>
      <c r="B919" s="2" t="s">
        <v>3575</v>
      </c>
      <c r="C919" s="2" t="s">
        <v>3868</v>
      </c>
      <c r="D919" s="2" t="s">
        <v>3882</v>
      </c>
      <c r="E919" s="3">
        <v>45314</v>
      </c>
      <c r="F919" s="3">
        <v>45438</v>
      </c>
      <c r="G919" s="2" t="s">
        <v>3884</v>
      </c>
      <c r="H919" s="2">
        <v>584561</v>
      </c>
      <c r="I919" s="2">
        <v>435480</v>
      </c>
      <c r="J919" s="2" t="s">
        <v>3888</v>
      </c>
      <c r="K919" s="2" t="s">
        <v>3895</v>
      </c>
      <c r="L919" s="2">
        <v>2025</v>
      </c>
      <c r="M919" s="2">
        <v>149081</v>
      </c>
      <c r="N919" s="2">
        <f xml:space="preserve"> (Table1[[#This Row],[Variance (USD)]] / Table1[[#This Row],[Actual Spending (USD)]]) * 100</f>
        <v>34.233719114540278</v>
      </c>
      <c r="O919" s="5" t="s">
        <v>3897</v>
      </c>
    </row>
    <row r="920" spans="1:15" x14ac:dyDescent="0.25">
      <c r="A920" s="4" t="s">
        <v>933</v>
      </c>
      <c r="B920" s="2" t="s">
        <v>3138</v>
      </c>
      <c r="C920" s="2" t="s">
        <v>3870</v>
      </c>
      <c r="D920" s="2" t="s">
        <v>3880</v>
      </c>
      <c r="E920" s="3">
        <v>45635</v>
      </c>
      <c r="F920" s="3">
        <v>45977</v>
      </c>
      <c r="G920" s="2" t="s">
        <v>3885</v>
      </c>
      <c r="H920" s="2">
        <v>607807</v>
      </c>
      <c r="I920" s="2">
        <v>320182</v>
      </c>
      <c r="J920" s="2" t="s">
        <v>3888</v>
      </c>
      <c r="K920" s="2" t="s">
        <v>3896</v>
      </c>
      <c r="L920" s="2">
        <v>2023</v>
      </c>
      <c r="M920" s="2">
        <v>287625</v>
      </c>
      <c r="N920" s="2">
        <f xml:space="preserve"> (Table1[[#This Row],[Variance (USD)]] / Table1[[#This Row],[Actual Spending (USD)]]) * 100</f>
        <v>89.831720708846845</v>
      </c>
      <c r="O920" s="5" t="s">
        <v>3898</v>
      </c>
    </row>
    <row r="921" spans="1:15" x14ac:dyDescent="0.25">
      <c r="A921" s="4" t="s">
        <v>934</v>
      </c>
      <c r="B921" s="2" t="s">
        <v>3123</v>
      </c>
      <c r="C921" s="2" t="s">
        <v>3868</v>
      </c>
      <c r="D921" s="2" t="s">
        <v>3880</v>
      </c>
      <c r="E921" s="3">
        <v>45596</v>
      </c>
      <c r="F921" s="3">
        <v>45625</v>
      </c>
      <c r="G921" s="2" t="s">
        <v>3884</v>
      </c>
      <c r="H921" s="2">
        <v>729520</v>
      </c>
      <c r="I921" s="2">
        <v>265530</v>
      </c>
      <c r="J921" s="2" t="s">
        <v>3891</v>
      </c>
      <c r="K921" s="2" t="s">
        <v>3894</v>
      </c>
      <c r="L921" s="2">
        <v>2025</v>
      </c>
      <c r="M921" s="2">
        <v>463990</v>
      </c>
      <c r="N921" s="2">
        <f xml:space="preserve"> (Table1[[#This Row],[Variance (USD)]] / Table1[[#This Row],[Actual Spending (USD)]]) * 100</f>
        <v>174.74108386999586</v>
      </c>
      <c r="O921" s="5" t="s">
        <v>3897</v>
      </c>
    </row>
    <row r="922" spans="1:15" x14ac:dyDescent="0.25">
      <c r="A922" s="4" t="s">
        <v>935</v>
      </c>
      <c r="B922" s="2" t="s">
        <v>3355</v>
      </c>
      <c r="C922" s="2" t="s">
        <v>3875</v>
      </c>
      <c r="D922" s="2" t="s">
        <v>3878</v>
      </c>
      <c r="E922" s="3">
        <v>45130</v>
      </c>
      <c r="F922" s="3">
        <v>45433</v>
      </c>
      <c r="G922" s="2" t="s">
        <v>3887</v>
      </c>
      <c r="H922" s="2">
        <v>963456</v>
      </c>
      <c r="I922" s="2">
        <v>301280</v>
      </c>
      <c r="J922" s="2" t="s">
        <v>3888</v>
      </c>
      <c r="K922" s="2" t="s">
        <v>3894</v>
      </c>
      <c r="L922" s="2">
        <v>2023</v>
      </c>
      <c r="M922" s="2">
        <v>662176</v>
      </c>
      <c r="N922" s="2">
        <f xml:space="preserve"> (Table1[[#This Row],[Variance (USD)]] / Table1[[#This Row],[Actual Spending (USD)]]) * 100</f>
        <v>219.78757302177377</v>
      </c>
      <c r="O922" s="5" t="s">
        <v>3900</v>
      </c>
    </row>
    <row r="923" spans="1:15" x14ac:dyDescent="0.25">
      <c r="A923" s="4" t="s">
        <v>936</v>
      </c>
      <c r="B923" s="2" t="s">
        <v>3224</v>
      </c>
      <c r="C923" s="2" t="s">
        <v>3871</v>
      </c>
      <c r="D923" s="2" t="s">
        <v>3880</v>
      </c>
      <c r="E923" s="3">
        <v>45122</v>
      </c>
      <c r="F923" s="3">
        <v>45335</v>
      </c>
      <c r="G923" s="2" t="s">
        <v>3884</v>
      </c>
      <c r="H923" s="2">
        <v>517601</v>
      </c>
      <c r="I923" s="2">
        <v>1187122</v>
      </c>
      <c r="J923" s="2" t="s">
        <v>3892</v>
      </c>
      <c r="K923" s="2" t="s">
        <v>3896</v>
      </c>
      <c r="L923" s="2">
        <v>2023</v>
      </c>
      <c r="M923" s="2">
        <v>-669521</v>
      </c>
      <c r="N923" s="2">
        <f xml:space="preserve"> (Table1[[#This Row],[Variance (USD)]] / Table1[[#This Row],[Actual Spending (USD)]]) * 100</f>
        <v>-56.398668376123098</v>
      </c>
      <c r="O923" s="5" t="s">
        <v>3897</v>
      </c>
    </row>
    <row r="924" spans="1:15" x14ac:dyDescent="0.25">
      <c r="A924" s="4" t="s">
        <v>937</v>
      </c>
      <c r="B924" s="2" t="s">
        <v>3175</v>
      </c>
      <c r="C924" s="2" t="s">
        <v>3869</v>
      </c>
      <c r="D924" s="2" t="s">
        <v>3883</v>
      </c>
      <c r="E924" s="3">
        <v>45654</v>
      </c>
      <c r="F924" s="3">
        <v>45435</v>
      </c>
      <c r="G924" s="2" t="s">
        <v>3884</v>
      </c>
      <c r="H924" s="2">
        <v>960972</v>
      </c>
      <c r="I924" s="2">
        <v>581719</v>
      </c>
      <c r="J924" s="2" t="s">
        <v>3891</v>
      </c>
      <c r="K924" s="2" t="s">
        <v>3896</v>
      </c>
      <c r="L924" s="2">
        <v>2024</v>
      </c>
      <c r="M924" s="2">
        <v>379253</v>
      </c>
      <c r="N924" s="2">
        <f xml:space="preserve"> (Table1[[#This Row],[Variance (USD)]] / Table1[[#This Row],[Actual Spending (USD)]]) * 100</f>
        <v>65.195223123191781</v>
      </c>
      <c r="O924" s="5" t="s">
        <v>3897</v>
      </c>
    </row>
    <row r="925" spans="1:15" x14ac:dyDescent="0.25">
      <c r="A925" s="4" t="s">
        <v>938</v>
      </c>
      <c r="B925" s="2" t="s">
        <v>3478</v>
      </c>
      <c r="C925" s="2" t="s">
        <v>3870</v>
      </c>
      <c r="D925" s="2" t="s">
        <v>3883</v>
      </c>
      <c r="E925" s="3">
        <v>45211</v>
      </c>
      <c r="F925" s="3">
        <v>45624</v>
      </c>
      <c r="G925" s="2" t="s">
        <v>3885</v>
      </c>
      <c r="H925" s="2">
        <v>558604</v>
      </c>
      <c r="I925" s="2">
        <v>1120866</v>
      </c>
      <c r="J925" s="2" t="s">
        <v>3892</v>
      </c>
      <c r="K925" s="2" t="s">
        <v>3896</v>
      </c>
      <c r="L925" s="2">
        <v>2024</v>
      </c>
      <c r="M925" s="2">
        <v>-562262</v>
      </c>
      <c r="N925" s="2">
        <f xml:space="preserve"> (Table1[[#This Row],[Variance (USD)]] / Table1[[#This Row],[Actual Spending (USD)]]) * 100</f>
        <v>-50.163177400331527</v>
      </c>
      <c r="O925" s="5" t="s">
        <v>3898</v>
      </c>
    </row>
    <row r="926" spans="1:15" x14ac:dyDescent="0.25">
      <c r="A926" s="4" t="s">
        <v>939</v>
      </c>
      <c r="B926" s="2" t="s">
        <v>3181</v>
      </c>
      <c r="C926" s="2" t="s">
        <v>3873</v>
      </c>
      <c r="D926" s="2" t="s">
        <v>3882</v>
      </c>
      <c r="E926" s="3">
        <v>45122</v>
      </c>
      <c r="F926" s="3">
        <v>45788</v>
      </c>
      <c r="G926" s="2" t="s">
        <v>3884</v>
      </c>
      <c r="H926" s="2">
        <v>534408</v>
      </c>
      <c r="I926" s="2">
        <v>1015043</v>
      </c>
      <c r="J926" s="2" t="s">
        <v>3890</v>
      </c>
      <c r="K926" s="2" t="s">
        <v>3896</v>
      </c>
      <c r="L926" s="2">
        <v>2024</v>
      </c>
      <c r="M926" s="2">
        <v>-480635</v>
      </c>
      <c r="N926" s="2">
        <f xml:space="preserve"> (Table1[[#This Row],[Variance (USD)]] / Table1[[#This Row],[Actual Spending (USD)]]) * 100</f>
        <v>-47.351195959185965</v>
      </c>
      <c r="O926" s="5" t="s">
        <v>3897</v>
      </c>
    </row>
    <row r="927" spans="1:15" x14ac:dyDescent="0.25">
      <c r="A927" s="4" t="s">
        <v>940</v>
      </c>
      <c r="B927" s="2" t="s">
        <v>3258</v>
      </c>
      <c r="C927" s="2" t="s">
        <v>3875</v>
      </c>
      <c r="D927" s="2" t="s">
        <v>3877</v>
      </c>
      <c r="E927" s="3">
        <v>45233</v>
      </c>
      <c r="F927" s="3">
        <v>45687</v>
      </c>
      <c r="G927" s="2" t="s">
        <v>3886</v>
      </c>
      <c r="H927" s="2">
        <v>230060</v>
      </c>
      <c r="I927" s="2">
        <v>508751</v>
      </c>
      <c r="J927" s="2" t="s">
        <v>3889</v>
      </c>
      <c r="K927" s="2" t="s">
        <v>3896</v>
      </c>
      <c r="L927" s="2">
        <v>2025</v>
      </c>
      <c r="M927" s="2">
        <v>-278691</v>
      </c>
      <c r="N927" s="2">
        <f xml:space="preserve"> (Table1[[#This Row],[Variance (USD)]] / Table1[[#This Row],[Actual Spending (USD)]]) * 100</f>
        <v>-54.779450064963022</v>
      </c>
      <c r="O927" s="5" t="s">
        <v>3899</v>
      </c>
    </row>
    <row r="928" spans="1:15" x14ac:dyDescent="0.25">
      <c r="A928" s="4" t="s">
        <v>941</v>
      </c>
      <c r="B928" s="2" t="s">
        <v>3576</v>
      </c>
      <c r="C928" s="2" t="s">
        <v>3868</v>
      </c>
      <c r="D928" s="2" t="s">
        <v>3880</v>
      </c>
      <c r="E928" s="3">
        <v>45590</v>
      </c>
      <c r="F928" s="3">
        <v>45346</v>
      </c>
      <c r="G928" s="2" t="s">
        <v>3885</v>
      </c>
      <c r="H928" s="2">
        <v>453564</v>
      </c>
      <c r="I928" s="2">
        <v>160374</v>
      </c>
      <c r="J928" s="2" t="s">
        <v>3888</v>
      </c>
      <c r="K928" s="2" t="s">
        <v>3893</v>
      </c>
      <c r="L928" s="2">
        <v>2025</v>
      </c>
      <c r="M928" s="2">
        <v>293190</v>
      </c>
      <c r="N928" s="2">
        <f xml:space="preserve"> (Table1[[#This Row],[Variance (USD)]] / Table1[[#This Row],[Actual Spending (USD)]]) * 100</f>
        <v>182.8164166261364</v>
      </c>
      <c r="O928" s="5" t="s">
        <v>3898</v>
      </c>
    </row>
    <row r="929" spans="1:15" x14ac:dyDescent="0.25">
      <c r="A929" s="4" t="s">
        <v>942</v>
      </c>
      <c r="B929" s="2" t="s">
        <v>3162</v>
      </c>
      <c r="C929" s="2" t="s">
        <v>3872</v>
      </c>
      <c r="D929" s="2" t="s">
        <v>3882</v>
      </c>
      <c r="E929" s="3">
        <v>44940</v>
      </c>
      <c r="F929" s="3">
        <v>45598</v>
      </c>
      <c r="G929" s="2" t="s">
        <v>3885</v>
      </c>
      <c r="H929" s="2">
        <v>657748</v>
      </c>
      <c r="I929" s="2">
        <v>1121323</v>
      </c>
      <c r="J929" s="2" t="s">
        <v>3891</v>
      </c>
      <c r="K929" s="2" t="s">
        <v>3893</v>
      </c>
      <c r="L929" s="2">
        <v>2024</v>
      </c>
      <c r="M929" s="2">
        <v>-463575</v>
      </c>
      <c r="N929" s="2">
        <f xml:space="preserve"> (Table1[[#This Row],[Variance (USD)]] / Table1[[#This Row],[Actual Spending (USD)]]) * 100</f>
        <v>-41.341790010550042</v>
      </c>
      <c r="O929" s="5" t="s">
        <v>3898</v>
      </c>
    </row>
    <row r="930" spans="1:15" x14ac:dyDescent="0.25">
      <c r="A930" s="4" t="s">
        <v>943</v>
      </c>
      <c r="B930" s="2" t="s">
        <v>3055</v>
      </c>
      <c r="C930" s="2" t="s">
        <v>3875</v>
      </c>
      <c r="D930" s="2" t="s">
        <v>3879</v>
      </c>
      <c r="E930" s="3">
        <v>45072</v>
      </c>
      <c r="F930" s="3">
        <v>45714</v>
      </c>
      <c r="G930" s="2" t="s">
        <v>3887</v>
      </c>
      <c r="H930" s="2">
        <v>298792</v>
      </c>
      <c r="I930" s="2">
        <v>754568</v>
      </c>
      <c r="J930" s="2" t="s">
        <v>3892</v>
      </c>
      <c r="K930" s="2" t="s">
        <v>3896</v>
      </c>
      <c r="L930" s="2">
        <v>2024</v>
      </c>
      <c r="M930" s="2">
        <v>-455776</v>
      </c>
      <c r="N930" s="2">
        <f xml:space="preserve"> (Table1[[#This Row],[Variance (USD)]] / Table1[[#This Row],[Actual Spending (USD)]]) * 100</f>
        <v>-60.402243402847724</v>
      </c>
      <c r="O930" s="5" t="s">
        <v>3900</v>
      </c>
    </row>
    <row r="931" spans="1:15" x14ac:dyDescent="0.25">
      <c r="A931" s="4" t="s">
        <v>944</v>
      </c>
      <c r="B931" s="2" t="s">
        <v>3210</v>
      </c>
      <c r="C931" s="2" t="s">
        <v>3875</v>
      </c>
      <c r="D931" s="2" t="s">
        <v>3879</v>
      </c>
      <c r="E931" s="3">
        <v>44983</v>
      </c>
      <c r="F931" s="3">
        <v>45708</v>
      </c>
      <c r="G931" s="2" t="s">
        <v>3884</v>
      </c>
      <c r="H931" s="2">
        <v>678759</v>
      </c>
      <c r="I931" s="2">
        <v>683420</v>
      </c>
      <c r="J931" s="2" t="s">
        <v>3889</v>
      </c>
      <c r="K931" s="2" t="s">
        <v>3896</v>
      </c>
      <c r="L931" s="2">
        <v>2023</v>
      </c>
      <c r="M931" s="2">
        <v>-4661</v>
      </c>
      <c r="N931" s="2">
        <f xml:space="preserve"> (Table1[[#This Row],[Variance (USD)]] / Table1[[#This Row],[Actual Spending (USD)]]) * 100</f>
        <v>-0.6820110620116473</v>
      </c>
      <c r="O931" s="5" t="s">
        <v>3897</v>
      </c>
    </row>
    <row r="932" spans="1:15" x14ac:dyDescent="0.25">
      <c r="A932" s="4" t="s">
        <v>945</v>
      </c>
      <c r="B932" s="2" t="s">
        <v>3577</v>
      </c>
      <c r="C932" s="2" t="s">
        <v>3870</v>
      </c>
      <c r="D932" s="2" t="s">
        <v>3877</v>
      </c>
      <c r="E932" s="3">
        <v>45649</v>
      </c>
      <c r="F932" s="3">
        <v>45964</v>
      </c>
      <c r="G932" s="2" t="s">
        <v>3886</v>
      </c>
      <c r="H932" s="2">
        <v>678956</v>
      </c>
      <c r="I932" s="2">
        <v>769435</v>
      </c>
      <c r="J932" s="2" t="s">
        <v>3889</v>
      </c>
      <c r="K932" s="2" t="s">
        <v>3896</v>
      </c>
      <c r="L932" s="2">
        <v>2025</v>
      </c>
      <c r="M932" s="2">
        <v>-90479</v>
      </c>
      <c r="N932" s="2">
        <f xml:space="preserve"> (Table1[[#This Row],[Variance (USD)]] / Table1[[#This Row],[Actual Spending (USD)]]) * 100</f>
        <v>-11.759147946220279</v>
      </c>
      <c r="O932" s="5" t="s">
        <v>3899</v>
      </c>
    </row>
    <row r="933" spans="1:15" x14ac:dyDescent="0.25">
      <c r="A933" s="4" t="s">
        <v>946</v>
      </c>
      <c r="B933" s="2" t="s">
        <v>3396</v>
      </c>
      <c r="C933" s="2" t="s">
        <v>3875</v>
      </c>
      <c r="D933" s="2" t="s">
        <v>3877</v>
      </c>
      <c r="E933" s="3">
        <v>45136</v>
      </c>
      <c r="F933" s="3">
        <v>45616</v>
      </c>
      <c r="G933" s="2" t="s">
        <v>3884</v>
      </c>
      <c r="H933" s="2">
        <v>903951</v>
      </c>
      <c r="I933" s="2">
        <v>700247</v>
      </c>
      <c r="J933" s="2" t="s">
        <v>3888</v>
      </c>
      <c r="K933" s="2" t="s">
        <v>3896</v>
      </c>
      <c r="L933" s="2">
        <v>2023</v>
      </c>
      <c r="M933" s="2">
        <v>203704</v>
      </c>
      <c r="N933" s="2">
        <f xml:space="preserve"> (Table1[[#This Row],[Variance (USD)]] / Table1[[#This Row],[Actual Spending (USD)]]) * 100</f>
        <v>29.09030670606229</v>
      </c>
      <c r="O933" s="5" t="s">
        <v>3897</v>
      </c>
    </row>
    <row r="934" spans="1:15" x14ac:dyDescent="0.25">
      <c r="A934" s="4" t="s">
        <v>947</v>
      </c>
      <c r="B934" s="2" t="s">
        <v>3339</v>
      </c>
      <c r="C934" s="2" t="s">
        <v>3875</v>
      </c>
      <c r="D934" s="2" t="s">
        <v>3877</v>
      </c>
      <c r="E934" s="3">
        <v>45455</v>
      </c>
      <c r="F934" s="3">
        <v>46001</v>
      </c>
      <c r="G934" s="2" t="s">
        <v>3884</v>
      </c>
      <c r="H934" s="2">
        <v>402570</v>
      </c>
      <c r="I934" s="2">
        <v>554339</v>
      </c>
      <c r="J934" s="2" t="s">
        <v>3889</v>
      </c>
      <c r="K934" s="2" t="s">
        <v>3895</v>
      </c>
      <c r="L934" s="2">
        <v>2025</v>
      </c>
      <c r="M934" s="2">
        <v>-151769</v>
      </c>
      <c r="N934" s="2">
        <f xml:space="preserve"> (Table1[[#This Row],[Variance (USD)]] / Table1[[#This Row],[Actual Spending (USD)]]) * 100</f>
        <v>-27.378373161549156</v>
      </c>
      <c r="O934" s="5" t="s">
        <v>3897</v>
      </c>
    </row>
    <row r="935" spans="1:15" x14ac:dyDescent="0.25">
      <c r="A935" s="4" t="s">
        <v>948</v>
      </c>
      <c r="B935" s="2" t="s">
        <v>3057</v>
      </c>
      <c r="C935" s="2" t="s">
        <v>3873</v>
      </c>
      <c r="D935" s="2" t="s">
        <v>3882</v>
      </c>
      <c r="E935" s="3">
        <v>45270</v>
      </c>
      <c r="F935" s="3">
        <v>45962</v>
      </c>
      <c r="G935" s="2" t="s">
        <v>3885</v>
      </c>
      <c r="H935" s="2">
        <v>64629</v>
      </c>
      <c r="I935" s="2">
        <v>320635</v>
      </c>
      <c r="J935" s="2" t="s">
        <v>3888</v>
      </c>
      <c r="K935" s="2" t="s">
        <v>3895</v>
      </c>
      <c r="L935" s="2">
        <v>2024</v>
      </c>
      <c r="M935" s="2">
        <v>-256006</v>
      </c>
      <c r="N935" s="2">
        <f xml:space="preserve"> (Table1[[#This Row],[Variance (USD)]] / Table1[[#This Row],[Actual Spending (USD)]]) * 100</f>
        <v>-79.843435682317903</v>
      </c>
      <c r="O935" s="5" t="s">
        <v>3898</v>
      </c>
    </row>
    <row r="936" spans="1:15" x14ac:dyDescent="0.25">
      <c r="A936" s="4" t="s">
        <v>949</v>
      </c>
      <c r="B936" s="2" t="s">
        <v>3566</v>
      </c>
      <c r="C936" s="2" t="s">
        <v>3874</v>
      </c>
      <c r="D936" s="2" t="s">
        <v>3879</v>
      </c>
      <c r="E936" s="3">
        <v>45641</v>
      </c>
      <c r="F936" s="3">
        <v>45371</v>
      </c>
      <c r="G936" s="2" t="s">
        <v>3884</v>
      </c>
      <c r="H936" s="2">
        <v>885488</v>
      </c>
      <c r="I936" s="2">
        <v>589168</v>
      </c>
      <c r="J936" s="2" t="s">
        <v>3890</v>
      </c>
      <c r="K936" s="2" t="s">
        <v>3896</v>
      </c>
      <c r="L936" s="2">
        <v>2025</v>
      </c>
      <c r="M936" s="2">
        <v>296320</v>
      </c>
      <c r="N936" s="2">
        <f xml:space="preserve"> (Table1[[#This Row],[Variance (USD)]] / Table1[[#This Row],[Actual Spending (USD)]]) * 100</f>
        <v>50.294652798522662</v>
      </c>
      <c r="O936" s="5" t="s">
        <v>3897</v>
      </c>
    </row>
    <row r="937" spans="1:15" x14ac:dyDescent="0.25">
      <c r="A937" s="4" t="s">
        <v>950</v>
      </c>
      <c r="B937" s="2" t="s">
        <v>3108</v>
      </c>
      <c r="C937" s="2" t="s">
        <v>3872</v>
      </c>
      <c r="D937" s="2" t="s">
        <v>3883</v>
      </c>
      <c r="E937" s="3">
        <v>45537</v>
      </c>
      <c r="F937" s="3">
        <v>45322</v>
      </c>
      <c r="G937" s="2" t="s">
        <v>3886</v>
      </c>
      <c r="H937" s="2">
        <v>847705</v>
      </c>
      <c r="I937" s="2">
        <v>403200</v>
      </c>
      <c r="J937" s="2" t="s">
        <v>3888</v>
      </c>
      <c r="K937" s="2" t="s">
        <v>3896</v>
      </c>
      <c r="L937" s="2">
        <v>2025</v>
      </c>
      <c r="M937" s="2">
        <v>444505</v>
      </c>
      <c r="N937" s="2">
        <f xml:space="preserve"> (Table1[[#This Row],[Variance (USD)]] / Table1[[#This Row],[Actual Spending (USD)]]) * 100</f>
        <v>110.24429563492065</v>
      </c>
      <c r="O937" s="5" t="s">
        <v>3899</v>
      </c>
    </row>
    <row r="938" spans="1:15" x14ac:dyDescent="0.25">
      <c r="A938" s="4" t="s">
        <v>951</v>
      </c>
      <c r="B938" s="2" t="s">
        <v>3578</v>
      </c>
      <c r="C938" s="2" t="s">
        <v>3872</v>
      </c>
      <c r="D938" s="2" t="s">
        <v>3877</v>
      </c>
      <c r="E938" s="3">
        <v>45205</v>
      </c>
      <c r="F938" s="3">
        <v>45403</v>
      </c>
      <c r="G938" s="2" t="s">
        <v>3884</v>
      </c>
      <c r="H938" s="2">
        <v>170484</v>
      </c>
      <c r="I938" s="2">
        <v>1125937</v>
      </c>
      <c r="J938" s="2" t="s">
        <v>3892</v>
      </c>
      <c r="K938" s="2" t="s">
        <v>3894</v>
      </c>
      <c r="L938" s="2">
        <v>2023</v>
      </c>
      <c r="M938" s="2">
        <v>-955453</v>
      </c>
      <c r="N938" s="2">
        <f xml:space="preserve"> (Table1[[#This Row],[Variance (USD)]] / Table1[[#This Row],[Actual Spending (USD)]]) * 100</f>
        <v>-84.858477872207771</v>
      </c>
      <c r="O938" s="5" t="s">
        <v>3897</v>
      </c>
    </row>
    <row r="939" spans="1:15" x14ac:dyDescent="0.25">
      <c r="A939" s="4" t="s">
        <v>952</v>
      </c>
      <c r="B939" s="2" t="s">
        <v>3579</v>
      </c>
      <c r="C939" s="2" t="s">
        <v>3872</v>
      </c>
      <c r="D939" s="2" t="s">
        <v>3878</v>
      </c>
      <c r="E939" s="3">
        <v>45135</v>
      </c>
      <c r="F939" s="3">
        <v>45849</v>
      </c>
      <c r="G939" s="2" t="s">
        <v>3886</v>
      </c>
      <c r="H939" s="2">
        <v>147275</v>
      </c>
      <c r="I939" s="2">
        <v>379829</v>
      </c>
      <c r="J939" s="2" t="s">
        <v>3889</v>
      </c>
      <c r="K939" s="2" t="s">
        <v>3896</v>
      </c>
      <c r="L939" s="2">
        <v>2024</v>
      </c>
      <c r="M939" s="2">
        <v>-232554</v>
      </c>
      <c r="N939" s="2">
        <f xml:space="preserve"> (Table1[[#This Row],[Variance (USD)]] / Table1[[#This Row],[Actual Spending (USD)]]) * 100</f>
        <v>-61.225972740364739</v>
      </c>
      <c r="O939" s="5" t="s">
        <v>3899</v>
      </c>
    </row>
    <row r="940" spans="1:15" x14ac:dyDescent="0.25">
      <c r="A940" s="4" t="s">
        <v>953</v>
      </c>
      <c r="B940" s="2" t="s">
        <v>3268</v>
      </c>
      <c r="C940" s="2" t="s">
        <v>3871</v>
      </c>
      <c r="D940" s="2" t="s">
        <v>3881</v>
      </c>
      <c r="E940" s="3">
        <v>45567</v>
      </c>
      <c r="F940" s="3">
        <v>46008</v>
      </c>
      <c r="G940" s="2" t="s">
        <v>3887</v>
      </c>
      <c r="H940" s="2">
        <v>483632</v>
      </c>
      <c r="I940" s="2">
        <v>1173417</v>
      </c>
      <c r="J940" s="2" t="s">
        <v>3889</v>
      </c>
      <c r="K940" s="2" t="s">
        <v>3896</v>
      </c>
      <c r="L940" s="2">
        <v>2024</v>
      </c>
      <c r="M940" s="2">
        <v>-689785</v>
      </c>
      <c r="N940" s="2">
        <f xml:space="preserve"> (Table1[[#This Row],[Variance (USD)]] / Table1[[#This Row],[Actual Spending (USD)]]) * 100</f>
        <v>-58.784302596604618</v>
      </c>
      <c r="O940" s="5" t="s">
        <v>3900</v>
      </c>
    </row>
    <row r="941" spans="1:15" x14ac:dyDescent="0.25">
      <c r="A941" s="4" t="s">
        <v>954</v>
      </c>
      <c r="B941" s="2" t="s">
        <v>3580</v>
      </c>
      <c r="C941" s="2" t="s">
        <v>3869</v>
      </c>
      <c r="D941" s="2" t="s">
        <v>3882</v>
      </c>
      <c r="E941" s="3">
        <v>45261</v>
      </c>
      <c r="F941" s="3">
        <v>45855</v>
      </c>
      <c r="G941" s="2" t="s">
        <v>3884</v>
      </c>
      <c r="H941" s="2">
        <v>188966</v>
      </c>
      <c r="I941" s="2">
        <v>1018660</v>
      </c>
      <c r="J941" s="2" t="s">
        <v>3889</v>
      </c>
      <c r="K941" s="2" t="s">
        <v>3893</v>
      </c>
      <c r="L941" s="2">
        <v>2024</v>
      </c>
      <c r="M941" s="2">
        <v>-829694</v>
      </c>
      <c r="N941" s="2">
        <f xml:space="preserve"> (Table1[[#This Row],[Variance (USD)]] / Table1[[#This Row],[Actual Spending (USD)]]) * 100</f>
        <v>-81.449551371409498</v>
      </c>
      <c r="O941" s="5" t="s">
        <v>3897</v>
      </c>
    </row>
    <row r="942" spans="1:15" x14ac:dyDescent="0.25">
      <c r="A942" s="4" t="s">
        <v>955</v>
      </c>
      <c r="B942" s="2" t="s">
        <v>3438</v>
      </c>
      <c r="C942" s="2" t="s">
        <v>3874</v>
      </c>
      <c r="D942" s="2" t="s">
        <v>3877</v>
      </c>
      <c r="E942" s="3">
        <v>45214</v>
      </c>
      <c r="F942" s="3">
        <v>45941</v>
      </c>
      <c r="G942" s="2" t="s">
        <v>3886</v>
      </c>
      <c r="H942" s="2">
        <v>96073</v>
      </c>
      <c r="I942" s="2">
        <v>545750</v>
      </c>
      <c r="J942" s="2" t="s">
        <v>3888</v>
      </c>
      <c r="K942" s="2" t="s">
        <v>3895</v>
      </c>
      <c r="L942" s="2">
        <v>2023</v>
      </c>
      <c r="M942" s="2">
        <v>-449677</v>
      </c>
      <c r="N942" s="2">
        <f xml:space="preserve"> (Table1[[#This Row],[Variance (USD)]] / Table1[[#This Row],[Actual Spending (USD)]]) * 100</f>
        <v>-82.396152084287678</v>
      </c>
      <c r="O942" s="5" t="s">
        <v>3899</v>
      </c>
    </row>
    <row r="943" spans="1:15" x14ac:dyDescent="0.25">
      <c r="A943" s="4" t="s">
        <v>956</v>
      </c>
      <c r="B943" s="2" t="s">
        <v>3081</v>
      </c>
      <c r="C943" s="2" t="s">
        <v>3872</v>
      </c>
      <c r="D943" s="2" t="s">
        <v>3881</v>
      </c>
      <c r="E943" s="3">
        <v>45178</v>
      </c>
      <c r="F943" s="3">
        <v>45763</v>
      </c>
      <c r="G943" s="2" t="s">
        <v>3885</v>
      </c>
      <c r="H943" s="2">
        <v>619981</v>
      </c>
      <c r="I943" s="2">
        <v>681006</v>
      </c>
      <c r="J943" s="2" t="s">
        <v>3891</v>
      </c>
      <c r="K943" s="2" t="s">
        <v>3896</v>
      </c>
      <c r="L943" s="2">
        <v>2023</v>
      </c>
      <c r="M943" s="2">
        <v>-61025</v>
      </c>
      <c r="N943" s="2">
        <f xml:space="preserve"> (Table1[[#This Row],[Variance (USD)]] / Table1[[#This Row],[Actual Spending (USD)]]) * 100</f>
        <v>-8.961007685688525</v>
      </c>
      <c r="O943" s="5" t="s">
        <v>3898</v>
      </c>
    </row>
    <row r="944" spans="1:15" x14ac:dyDescent="0.25">
      <c r="A944" s="4" t="s">
        <v>957</v>
      </c>
      <c r="B944" s="2" t="s">
        <v>3222</v>
      </c>
      <c r="C944" s="2" t="s">
        <v>3875</v>
      </c>
      <c r="D944" s="2" t="s">
        <v>3876</v>
      </c>
      <c r="E944" s="3">
        <v>45191</v>
      </c>
      <c r="F944" s="3">
        <v>45365</v>
      </c>
      <c r="G944" s="2" t="s">
        <v>3884</v>
      </c>
      <c r="H944" s="2">
        <v>756826</v>
      </c>
      <c r="I944" s="2">
        <v>136379</v>
      </c>
      <c r="J944" s="2" t="s">
        <v>3888</v>
      </c>
      <c r="K944" s="2" t="s">
        <v>3895</v>
      </c>
      <c r="L944" s="2">
        <v>2023</v>
      </c>
      <c r="M944" s="2">
        <v>620447</v>
      </c>
      <c r="N944" s="2">
        <f xml:space="preserve"> (Table1[[#This Row],[Variance (USD)]] / Table1[[#This Row],[Actual Spending (USD)]]) * 100</f>
        <v>454.94320973170358</v>
      </c>
      <c r="O944" s="5" t="s">
        <v>3897</v>
      </c>
    </row>
    <row r="945" spans="1:15" x14ac:dyDescent="0.25">
      <c r="A945" s="4" t="s">
        <v>958</v>
      </c>
      <c r="B945" s="2" t="s">
        <v>3531</v>
      </c>
      <c r="C945" s="2" t="s">
        <v>3875</v>
      </c>
      <c r="D945" s="2" t="s">
        <v>3877</v>
      </c>
      <c r="E945" s="3">
        <v>45197</v>
      </c>
      <c r="F945" s="3">
        <v>45844</v>
      </c>
      <c r="G945" s="2" t="s">
        <v>3884</v>
      </c>
      <c r="H945" s="2">
        <v>860775</v>
      </c>
      <c r="I945" s="2">
        <v>867160</v>
      </c>
      <c r="J945" s="2" t="s">
        <v>3892</v>
      </c>
      <c r="K945" s="2" t="s">
        <v>3895</v>
      </c>
      <c r="L945" s="2">
        <v>2025</v>
      </c>
      <c r="M945" s="2">
        <v>-6385</v>
      </c>
      <c r="N945" s="2">
        <f xml:space="preserve"> (Table1[[#This Row],[Variance (USD)]] / Table1[[#This Row],[Actual Spending (USD)]]) * 100</f>
        <v>-0.73631163799068222</v>
      </c>
      <c r="O945" s="5" t="s">
        <v>3897</v>
      </c>
    </row>
    <row r="946" spans="1:15" x14ac:dyDescent="0.25">
      <c r="A946" s="4" t="s">
        <v>959</v>
      </c>
      <c r="B946" s="2" t="s">
        <v>3581</v>
      </c>
      <c r="C946" s="2" t="s">
        <v>3872</v>
      </c>
      <c r="D946" s="2" t="s">
        <v>3879</v>
      </c>
      <c r="E946" s="3">
        <v>45626</v>
      </c>
      <c r="F946" s="3">
        <v>45770</v>
      </c>
      <c r="G946" s="2" t="s">
        <v>3886</v>
      </c>
      <c r="H946" s="2">
        <v>617383</v>
      </c>
      <c r="I946" s="2">
        <v>694051</v>
      </c>
      <c r="J946" s="2" t="s">
        <v>3888</v>
      </c>
      <c r="K946" s="2" t="s">
        <v>3894</v>
      </c>
      <c r="L946" s="2">
        <v>2025</v>
      </c>
      <c r="M946" s="2">
        <v>-76668</v>
      </c>
      <c r="N946" s="2">
        <f xml:space="preserve"> (Table1[[#This Row],[Variance (USD)]] / Table1[[#This Row],[Actual Spending (USD)]]) * 100</f>
        <v>-11.046450476982239</v>
      </c>
      <c r="O946" s="5" t="s">
        <v>3899</v>
      </c>
    </row>
    <row r="947" spans="1:15" x14ac:dyDescent="0.25">
      <c r="A947" s="4" t="s">
        <v>960</v>
      </c>
      <c r="B947" s="2" t="s">
        <v>3582</v>
      </c>
      <c r="C947" s="2" t="s">
        <v>3870</v>
      </c>
      <c r="D947" s="2" t="s">
        <v>3880</v>
      </c>
      <c r="E947" s="3">
        <v>45345</v>
      </c>
      <c r="F947" s="3">
        <v>45880</v>
      </c>
      <c r="G947" s="2" t="s">
        <v>3884</v>
      </c>
      <c r="H947" s="2">
        <v>212246</v>
      </c>
      <c r="I947" s="2">
        <v>39756</v>
      </c>
      <c r="J947" s="2" t="s">
        <v>3889</v>
      </c>
      <c r="K947" s="2" t="s">
        <v>3895</v>
      </c>
      <c r="L947" s="2">
        <v>2023</v>
      </c>
      <c r="M947" s="2">
        <v>172490</v>
      </c>
      <c r="N947" s="2">
        <f xml:space="preserve"> (Table1[[#This Row],[Variance (USD)]] / Table1[[#This Row],[Actual Spending (USD)]]) * 100</f>
        <v>433.87161686286345</v>
      </c>
      <c r="O947" s="5" t="s">
        <v>3897</v>
      </c>
    </row>
    <row r="948" spans="1:15" x14ac:dyDescent="0.25">
      <c r="A948" s="4" t="s">
        <v>961</v>
      </c>
      <c r="B948" s="2" t="s">
        <v>3562</v>
      </c>
      <c r="C948" s="2" t="s">
        <v>3872</v>
      </c>
      <c r="D948" s="2" t="s">
        <v>3877</v>
      </c>
      <c r="E948" s="3">
        <v>45652</v>
      </c>
      <c r="F948" s="3">
        <v>45678</v>
      </c>
      <c r="G948" s="2" t="s">
        <v>3884</v>
      </c>
      <c r="H948" s="2">
        <v>172388</v>
      </c>
      <c r="I948" s="2">
        <v>677958</v>
      </c>
      <c r="J948" s="2" t="s">
        <v>3890</v>
      </c>
      <c r="K948" s="2" t="s">
        <v>3895</v>
      </c>
      <c r="L948" s="2">
        <v>2023</v>
      </c>
      <c r="M948" s="2">
        <v>-505570</v>
      </c>
      <c r="N948" s="2">
        <f xml:space="preserve"> (Table1[[#This Row],[Variance (USD)]] / Table1[[#This Row],[Actual Spending (USD)]]) * 100</f>
        <v>-74.572466140970377</v>
      </c>
      <c r="O948" s="5" t="s">
        <v>3897</v>
      </c>
    </row>
    <row r="949" spans="1:15" x14ac:dyDescent="0.25">
      <c r="A949" s="4" t="s">
        <v>962</v>
      </c>
      <c r="B949" s="2" t="s">
        <v>3583</v>
      </c>
      <c r="C949" s="2" t="s">
        <v>3875</v>
      </c>
      <c r="D949" s="2" t="s">
        <v>3882</v>
      </c>
      <c r="E949" s="3">
        <v>45137</v>
      </c>
      <c r="F949" s="3">
        <v>45990</v>
      </c>
      <c r="G949" s="2" t="s">
        <v>3885</v>
      </c>
      <c r="H949" s="2">
        <v>290787</v>
      </c>
      <c r="I949" s="2">
        <v>1142655</v>
      </c>
      <c r="J949" s="2" t="s">
        <v>3892</v>
      </c>
      <c r="K949" s="2" t="s">
        <v>3896</v>
      </c>
      <c r="L949" s="2">
        <v>2024</v>
      </c>
      <c r="M949" s="2">
        <v>-851868</v>
      </c>
      <c r="N949" s="2">
        <f xml:space="preserve"> (Table1[[#This Row],[Variance (USD)]] / Table1[[#This Row],[Actual Spending (USD)]]) * 100</f>
        <v>-74.55163632067422</v>
      </c>
      <c r="O949" s="5" t="s">
        <v>3898</v>
      </c>
    </row>
    <row r="950" spans="1:15" x14ac:dyDescent="0.25">
      <c r="A950" s="4" t="s">
        <v>963</v>
      </c>
      <c r="B950" s="2" t="s">
        <v>3584</v>
      </c>
      <c r="C950" s="2" t="s">
        <v>3871</v>
      </c>
      <c r="D950" s="2" t="s">
        <v>3880</v>
      </c>
      <c r="E950" s="3">
        <v>45291</v>
      </c>
      <c r="F950" s="3">
        <v>45855</v>
      </c>
      <c r="G950" s="2" t="s">
        <v>3884</v>
      </c>
      <c r="H950" s="2">
        <v>253508</v>
      </c>
      <c r="I950" s="2">
        <v>976024</v>
      </c>
      <c r="J950" s="2" t="s">
        <v>3890</v>
      </c>
      <c r="K950" s="2" t="s">
        <v>3893</v>
      </c>
      <c r="L950" s="2">
        <v>2025</v>
      </c>
      <c r="M950" s="2">
        <v>-722516</v>
      </c>
      <c r="N950" s="2">
        <f xml:space="preserve"> (Table1[[#This Row],[Variance (USD)]] / Table1[[#This Row],[Actual Spending (USD)]]) * 100</f>
        <v>-74.026458365777899</v>
      </c>
      <c r="O950" s="5" t="s">
        <v>3897</v>
      </c>
    </row>
    <row r="951" spans="1:15" x14ac:dyDescent="0.25">
      <c r="A951" s="4" t="s">
        <v>964</v>
      </c>
      <c r="B951" s="2" t="s">
        <v>3477</v>
      </c>
      <c r="C951" s="2" t="s">
        <v>3868</v>
      </c>
      <c r="D951" s="2" t="s">
        <v>3876</v>
      </c>
      <c r="E951" s="3">
        <v>45002</v>
      </c>
      <c r="F951" s="3">
        <v>45724</v>
      </c>
      <c r="G951" s="2" t="s">
        <v>3885</v>
      </c>
      <c r="H951" s="2">
        <v>164441</v>
      </c>
      <c r="I951" s="2">
        <v>1184137</v>
      </c>
      <c r="J951" s="2" t="s">
        <v>3892</v>
      </c>
      <c r="K951" s="2" t="s">
        <v>3896</v>
      </c>
      <c r="L951" s="2">
        <v>2025</v>
      </c>
      <c r="M951" s="2">
        <v>-1019696</v>
      </c>
      <c r="N951" s="2">
        <f xml:space="preserve"> (Table1[[#This Row],[Variance (USD)]] / Table1[[#This Row],[Actual Spending (USD)]]) * 100</f>
        <v>-86.113008883262665</v>
      </c>
      <c r="O951" s="5" t="s">
        <v>3898</v>
      </c>
    </row>
    <row r="952" spans="1:15" x14ac:dyDescent="0.25">
      <c r="A952" s="4" t="s">
        <v>965</v>
      </c>
      <c r="B952" s="2" t="s">
        <v>3309</v>
      </c>
      <c r="C952" s="2" t="s">
        <v>3868</v>
      </c>
      <c r="D952" s="2" t="s">
        <v>3878</v>
      </c>
      <c r="E952" s="3">
        <v>45586</v>
      </c>
      <c r="F952" s="3">
        <v>45703</v>
      </c>
      <c r="G952" s="2" t="s">
        <v>3885</v>
      </c>
      <c r="H952" s="2">
        <v>675070</v>
      </c>
      <c r="I952" s="2">
        <v>386580</v>
      </c>
      <c r="J952" s="2" t="s">
        <v>3892</v>
      </c>
      <c r="K952" s="2" t="s">
        <v>3896</v>
      </c>
      <c r="L952" s="2">
        <v>2024</v>
      </c>
      <c r="M952" s="2">
        <v>288490</v>
      </c>
      <c r="N952" s="2">
        <f xml:space="preserve"> (Table1[[#This Row],[Variance (USD)]] / Table1[[#This Row],[Actual Spending (USD)]]) * 100</f>
        <v>74.626209322779246</v>
      </c>
      <c r="O952" s="5" t="s">
        <v>3898</v>
      </c>
    </row>
    <row r="953" spans="1:15" x14ac:dyDescent="0.25">
      <c r="A953" s="4" t="s">
        <v>966</v>
      </c>
      <c r="B953" s="2" t="s">
        <v>3538</v>
      </c>
      <c r="C953" s="2" t="s">
        <v>3874</v>
      </c>
      <c r="D953" s="2" t="s">
        <v>3880</v>
      </c>
      <c r="E953" s="3">
        <v>45247</v>
      </c>
      <c r="F953" s="3">
        <v>45758</v>
      </c>
      <c r="G953" s="2" t="s">
        <v>3886</v>
      </c>
      <c r="H953" s="2">
        <v>832307</v>
      </c>
      <c r="I953" s="2">
        <v>46533</v>
      </c>
      <c r="J953" s="2" t="s">
        <v>3889</v>
      </c>
      <c r="K953" s="2" t="s">
        <v>3893</v>
      </c>
      <c r="L953" s="2">
        <v>2024</v>
      </c>
      <c r="M953" s="2">
        <v>785774</v>
      </c>
      <c r="N953" s="2">
        <f xml:space="preserve"> (Table1[[#This Row],[Variance (USD)]] / Table1[[#This Row],[Actual Spending (USD)]]) * 100</f>
        <v>1688.6381707605356</v>
      </c>
      <c r="O953" s="5" t="s">
        <v>3899</v>
      </c>
    </row>
    <row r="954" spans="1:15" x14ac:dyDescent="0.25">
      <c r="A954" s="4" t="s">
        <v>967</v>
      </c>
      <c r="B954" s="2" t="s">
        <v>3381</v>
      </c>
      <c r="C954" s="2" t="s">
        <v>3874</v>
      </c>
      <c r="D954" s="2" t="s">
        <v>3881</v>
      </c>
      <c r="E954" s="3">
        <v>45651</v>
      </c>
      <c r="F954" s="3">
        <v>45890</v>
      </c>
      <c r="G954" s="2" t="s">
        <v>3884</v>
      </c>
      <c r="H954" s="2">
        <v>289343</v>
      </c>
      <c r="I954" s="2">
        <v>551970</v>
      </c>
      <c r="J954" s="2" t="s">
        <v>3888</v>
      </c>
      <c r="K954" s="2" t="s">
        <v>3893</v>
      </c>
      <c r="L954" s="2">
        <v>2024</v>
      </c>
      <c r="M954" s="2">
        <v>-262627</v>
      </c>
      <c r="N954" s="2">
        <f xml:space="preserve"> (Table1[[#This Row],[Variance (USD)]] / Table1[[#This Row],[Actual Spending (USD)]]) * 100</f>
        <v>-47.579940938819135</v>
      </c>
      <c r="O954" s="5" t="s">
        <v>3897</v>
      </c>
    </row>
    <row r="955" spans="1:15" x14ac:dyDescent="0.25">
      <c r="A955" s="4" t="s">
        <v>968</v>
      </c>
      <c r="B955" s="2" t="s">
        <v>3371</v>
      </c>
      <c r="C955" s="2" t="s">
        <v>3872</v>
      </c>
      <c r="D955" s="2" t="s">
        <v>3883</v>
      </c>
      <c r="E955" s="3">
        <v>45359</v>
      </c>
      <c r="F955" s="3">
        <v>45912</v>
      </c>
      <c r="G955" s="2" t="s">
        <v>3884</v>
      </c>
      <c r="H955" s="2">
        <v>486142</v>
      </c>
      <c r="I955" s="2">
        <v>127417</v>
      </c>
      <c r="J955" s="2" t="s">
        <v>3889</v>
      </c>
      <c r="K955" s="2" t="s">
        <v>3894</v>
      </c>
      <c r="L955" s="2">
        <v>2023</v>
      </c>
      <c r="M955" s="2">
        <v>358725</v>
      </c>
      <c r="N955" s="2">
        <f xml:space="preserve"> (Table1[[#This Row],[Variance (USD)]] / Table1[[#This Row],[Actual Spending (USD)]]) * 100</f>
        <v>281.53621573259454</v>
      </c>
      <c r="O955" s="5" t="s">
        <v>3897</v>
      </c>
    </row>
    <row r="956" spans="1:15" x14ac:dyDescent="0.25">
      <c r="A956" s="4" t="s">
        <v>969</v>
      </c>
      <c r="B956" s="2" t="s">
        <v>3585</v>
      </c>
      <c r="C956" s="2" t="s">
        <v>3873</v>
      </c>
      <c r="D956" s="2" t="s">
        <v>3877</v>
      </c>
      <c r="E956" s="3">
        <v>45035</v>
      </c>
      <c r="F956" s="3">
        <v>45539</v>
      </c>
      <c r="G956" s="2" t="s">
        <v>3884</v>
      </c>
      <c r="H956" s="2">
        <v>909022</v>
      </c>
      <c r="I956" s="2">
        <v>752520</v>
      </c>
      <c r="J956" s="2" t="s">
        <v>3889</v>
      </c>
      <c r="K956" s="2" t="s">
        <v>3893</v>
      </c>
      <c r="L956" s="2">
        <v>2023</v>
      </c>
      <c r="M956" s="2">
        <v>156502</v>
      </c>
      <c r="N956" s="2">
        <f xml:space="preserve"> (Table1[[#This Row],[Variance (USD)]] / Table1[[#This Row],[Actual Spending (USD)]]) * 100</f>
        <v>20.797055227768034</v>
      </c>
      <c r="O956" s="5" t="s">
        <v>3897</v>
      </c>
    </row>
    <row r="957" spans="1:15" x14ac:dyDescent="0.25">
      <c r="A957" s="4" t="s">
        <v>970</v>
      </c>
      <c r="B957" s="2" t="s">
        <v>3098</v>
      </c>
      <c r="C957" s="2" t="s">
        <v>3872</v>
      </c>
      <c r="D957" s="2" t="s">
        <v>3876</v>
      </c>
      <c r="E957" s="3">
        <v>45567</v>
      </c>
      <c r="F957" s="3">
        <v>45872</v>
      </c>
      <c r="G957" s="2" t="s">
        <v>3885</v>
      </c>
      <c r="H957" s="2">
        <v>482043</v>
      </c>
      <c r="I957" s="2">
        <v>1119005</v>
      </c>
      <c r="J957" s="2" t="s">
        <v>3889</v>
      </c>
      <c r="K957" s="2" t="s">
        <v>3896</v>
      </c>
      <c r="L957" s="2">
        <v>2023</v>
      </c>
      <c r="M957" s="2">
        <v>-636962</v>
      </c>
      <c r="N957" s="2">
        <f xml:space="preserve"> (Table1[[#This Row],[Variance (USD)]] / Table1[[#This Row],[Actual Spending (USD)]]) * 100</f>
        <v>-56.922176397781953</v>
      </c>
      <c r="O957" s="5" t="s">
        <v>3898</v>
      </c>
    </row>
    <row r="958" spans="1:15" x14ac:dyDescent="0.25">
      <c r="A958" s="4" t="s">
        <v>971</v>
      </c>
      <c r="B958" s="2" t="s">
        <v>3586</v>
      </c>
      <c r="C958" s="2" t="s">
        <v>3870</v>
      </c>
      <c r="D958" s="2" t="s">
        <v>3876</v>
      </c>
      <c r="E958" s="3">
        <v>45448</v>
      </c>
      <c r="F958" s="3">
        <v>45411</v>
      </c>
      <c r="G958" s="2" t="s">
        <v>3884</v>
      </c>
      <c r="H958" s="2">
        <v>682551</v>
      </c>
      <c r="I958" s="2">
        <v>378492</v>
      </c>
      <c r="J958" s="2" t="s">
        <v>3890</v>
      </c>
      <c r="K958" s="2" t="s">
        <v>3893</v>
      </c>
      <c r="L958" s="2">
        <v>2023</v>
      </c>
      <c r="M958" s="2">
        <v>304059</v>
      </c>
      <c r="N958" s="2">
        <f xml:space="preserve"> (Table1[[#This Row],[Variance (USD)]] / Table1[[#This Row],[Actual Spending (USD)]]) * 100</f>
        <v>80.334326749310421</v>
      </c>
      <c r="O958" s="5" t="s">
        <v>3897</v>
      </c>
    </row>
    <row r="959" spans="1:15" x14ac:dyDescent="0.25">
      <c r="A959" s="4" t="s">
        <v>972</v>
      </c>
      <c r="B959" s="2" t="s">
        <v>3587</v>
      </c>
      <c r="C959" s="2" t="s">
        <v>3872</v>
      </c>
      <c r="D959" s="2" t="s">
        <v>3880</v>
      </c>
      <c r="E959" s="3">
        <v>44973</v>
      </c>
      <c r="F959" s="3">
        <v>45358</v>
      </c>
      <c r="G959" s="2" t="s">
        <v>3884</v>
      </c>
      <c r="H959" s="2">
        <v>487991</v>
      </c>
      <c r="I959" s="2">
        <v>889497</v>
      </c>
      <c r="J959" s="2" t="s">
        <v>3892</v>
      </c>
      <c r="K959" s="2" t="s">
        <v>3893</v>
      </c>
      <c r="L959" s="2">
        <v>2023</v>
      </c>
      <c r="M959" s="2">
        <v>-401506</v>
      </c>
      <c r="N959" s="2">
        <f xml:space="preserve"> (Table1[[#This Row],[Variance (USD)]] / Table1[[#This Row],[Actual Spending (USD)]]) * 100</f>
        <v>-45.138544593180193</v>
      </c>
      <c r="O959" s="5" t="s">
        <v>3897</v>
      </c>
    </row>
    <row r="960" spans="1:15" x14ac:dyDescent="0.25">
      <c r="A960" s="4" t="s">
        <v>973</v>
      </c>
      <c r="B960" s="2" t="s">
        <v>3285</v>
      </c>
      <c r="C960" s="2" t="s">
        <v>3874</v>
      </c>
      <c r="D960" s="2" t="s">
        <v>3878</v>
      </c>
      <c r="E960" s="3">
        <v>45305</v>
      </c>
      <c r="F960" s="3">
        <v>45864</v>
      </c>
      <c r="G960" s="2" t="s">
        <v>3884</v>
      </c>
      <c r="H960" s="2">
        <v>484417</v>
      </c>
      <c r="I960" s="2">
        <v>909828</v>
      </c>
      <c r="J960" s="2" t="s">
        <v>3891</v>
      </c>
      <c r="K960" s="2" t="s">
        <v>3893</v>
      </c>
      <c r="L960" s="2">
        <v>2025</v>
      </c>
      <c r="M960" s="2">
        <v>-425411</v>
      </c>
      <c r="N960" s="2">
        <f xml:space="preserve"> (Table1[[#This Row],[Variance (USD)]] / Table1[[#This Row],[Actual Spending (USD)]]) * 100</f>
        <v>-46.757299181823377</v>
      </c>
      <c r="O960" s="5" t="s">
        <v>3897</v>
      </c>
    </row>
    <row r="961" spans="1:15" x14ac:dyDescent="0.25">
      <c r="A961" s="4" t="s">
        <v>974</v>
      </c>
      <c r="B961" s="2" t="s">
        <v>3417</v>
      </c>
      <c r="C961" s="2" t="s">
        <v>3868</v>
      </c>
      <c r="D961" s="2" t="s">
        <v>3879</v>
      </c>
      <c r="E961" s="3">
        <v>45022</v>
      </c>
      <c r="F961" s="3">
        <v>45618</v>
      </c>
      <c r="G961" s="2" t="s">
        <v>3884</v>
      </c>
      <c r="H961" s="2">
        <v>865805</v>
      </c>
      <c r="I961" s="2">
        <v>567942</v>
      </c>
      <c r="J961" s="2" t="s">
        <v>3888</v>
      </c>
      <c r="K961" s="2" t="s">
        <v>3895</v>
      </c>
      <c r="L961" s="2">
        <v>2025</v>
      </c>
      <c r="M961" s="2">
        <v>297863</v>
      </c>
      <c r="N961" s="2">
        <f xml:space="preserve"> (Table1[[#This Row],[Variance (USD)]] / Table1[[#This Row],[Actual Spending (USD)]]) * 100</f>
        <v>52.446024417986351</v>
      </c>
      <c r="O961" s="5" t="s">
        <v>3897</v>
      </c>
    </row>
    <row r="962" spans="1:15" x14ac:dyDescent="0.25">
      <c r="A962" s="4" t="s">
        <v>975</v>
      </c>
      <c r="B962" s="2" t="s">
        <v>3380</v>
      </c>
      <c r="C962" s="2" t="s">
        <v>3875</v>
      </c>
      <c r="D962" s="2" t="s">
        <v>3877</v>
      </c>
      <c r="E962" s="3">
        <v>45029</v>
      </c>
      <c r="F962" s="3">
        <v>45994</v>
      </c>
      <c r="G962" s="2" t="s">
        <v>3884</v>
      </c>
      <c r="H962" s="2">
        <v>339669</v>
      </c>
      <c r="I962" s="2">
        <v>361627</v>
      </c>
      <c r="J962" s="2" t="s">
        <v>3889</v>
      </c>
      <c r="K962" s="2" t="s">
        <v>3894</v>
      </c>
      <c r="L962" s="2">
        <v>2025</v>
      </c>
      <c r="M962" s="2">
        <v>-21958</v>
      </c>
      <c r="N962" s="2">
        <f xml:space="preserve"> (Table1[[#This Row],[Variance (USD)]] / Table1[[#This Row],[Actual Spending (USD)]]) * 100</f>
        <v>-6.0720023670798913</v>
      </c>
      <c r="O962" s="5" t="s">
        <v>3897</v>
      </c>
    </row>
    <row r="963" spans="1:15" x14ac:dyDescent="0.25">
      <c r="A963" s="4" t="s">
        <v>976</v>
      </c>
      <c r="B963" s="2" t="s">
        <v>3588</v>
      </c>
      <c r="C963" s="2" t="s">
        <v>3872</v>
      </c>
      <c r="D963" s="2" t="s">
        <v>3876</v>
      </c>
      <c r="E963" s="3">
        <v>45072</v>
      </c>
      <c r="F963" s="3">
        <v>45761</v>
      </c>
      <c r="G963" s="2" t="s">
        <v>3886</v>
      </c>
      <c r="H963" s="2">
        <v>439860</v>
      </c>
      <c r="I963" s="2">
        <v>174444</v>
      </c>
      <c r="J963" s="2" t="s">
        <v>3892</v>
      </c>
      <c r="K963" s="2" t="s">
        <v>3895</v>
      </c>
      <c r="L963" s="2">
        <v>2024</v>
      </c>
      <c r="M963" s="2">
        <v>265416</v>
      </c>
      <c r="N963" s="2">
        <f xml:space="preserve"> (Table1[[#This Row],[Variance (USD)]] / Table1[[#This Row],[Actual Spending (USD)]]) * 100</f>
        <v>152.14968700557199</v>
      </c>
      <c r="O963" s="5" t="s">
        <v>3899</v>
      </c>
    </row>
    <row r="964" spans="1:15" x14ac:dyDescent="0.25">
      <c r="A964" s="4" t="s">
        <v>977</v>
      </c>
      <c r="B964" s="2" t="s">
        <v>3207</v>
      </c>
      <c r="C964" s="2" t="s">
        <v>3875</v>
      </c>
      <c r="D964" s="2" t="s">
        <v>3878</v>
      </c>
      <c r="E964" s="3">
        <v>44953</v>
      </c>
      <c r="F964" s="3">
        <v>45784</v>
      </c>
      <c r="G964" s="2" t="s">
        <v>3884</v>
      </c>
      <c r="H964" s="2">
        <v>416657</v>
      </c>
      <c r="I964" s="2">
        <v>460898</v>
      </c>
      <c r="J964" s="2" t="s">
        <v>3888</v>
      </c>
      <c r="K964" s="2" t="s">
        <v>3895</v>
      </c>
      <c r="L964" s="2">
        <v>2025</v>
      </c>
      <c r="M964" s="2">
        <v>-44241</v>
      </c>
      <c r="N964" s="2">
        <f xml:space="preserve"> (Table1[[#This Row],[Variance (USD)]] / Table1[[#This Row],[Actual Spending (USD)]]) * 100</f>
        <v>-9.5988700319810452</v>
      </c>
      <c r="O964" s="5" t="s">
        <v>3897</v>
      </c>
    </row>
    <row r="965" spans="1:15" x14ac:dyDescent="0.25">
      <c r="A965" s="4" t="s">
        <v>978</v>
      </c>
      <c r="B965" s="2" t="s">
        <v>3589</v>
      </c>
      <c r="C965" s="2" t="s">
        <v>3875</v>
      </c>
      <c r="D965" s="2" t="s">
        <v>3883</v>
      </c>
      <c r="E965" s="3">
        <v>45456</v>
      </c>
      <c r="F965" s="3">
        <v>45992</v>
      </c>
      <c r="G965" s="2" t="s">
        <v>3884</v>
      </c>
      <c r="H965" s="2">
        <v>703689</v>
      </c>
      <c r="I965" s="2">
        <v>921403</v>
      </c>
      <c r="J965" s="2" t="s">
        <v>3891</v>
      </c>
      <c r="K965" s="2" t="s">
        <v>3894</v>
      </c>
      <c r="L965" s="2">
        <v>2024</v>
      </c>
      <c r="M965" s="2">
        <v>-217714</v>
      </c>
      <c r="N965" s="2">
        <f xml:space="preserve"> (Table1[[#This Row],[Variance (USD)]] / Table1[[#This Row],[Actual Spending (USD)]]) * 100</f>
        <v>-23.628531706538833</v>
      </c>
      <c r="O965" s="5" t="s">
        <v>3897</v>
      </c>
    </row>
    <row r="966" spans="1:15" x14ac:dyDescent="0.25">
      <c r="A966" s="4" t="s">
        <v>979</v>
      </c>
      <c r="B966" s="2" t="s">
        <v>3020</v>
      </c>
      <c r="C966" s="2" t="s">
        <v>3873</v>
      </c>
      <c r="D966" s="2" t="s">
        <v>3876</v>
      </c>
      <c r="E966" s="3">
        <v>45605</v>
      </c>
      <c r="F966" s="3">
        <v>45954</v>
      </c>
      <c r="G966" s="2" t="s">
        <v>3884</v>
      </c>
      <c r="H966" s="2">
        <v>146643</v>
      </c>
      <c r="I966" s="2">
        <v>1107871</v>
      </c>
      <c r="J966" s="2" t="s">
        <v>3891</v>
      </c>
      <c r="K966" s="2" t="s">
        <v>3895</v>
      </c>
      <c r="L966" s="2">
        <v>2025</v>
      </c>
      <c r="M966" s="2">
        <v>-961228</v>
      </c>
      <c r="N966" s="2">
        <f xml:space="preserve"> (Table1[[#This Row],[Variance (USD)]] / Table1[[#This Row],[Actual Spending (USD)]]) * 100</f>
        <v>-86.763531133137334</v>
      </c>
      <c r="O966" s="5" t="s">
        <v>3897</v>
      </c>
    </row>
    <row r="967" spans="1:15" x14ac:dyDescent="0.25">
      <c r="A967" s="4" t="s">
        <v>980</v>
      </c>
      <c r="B967" s="2" t="s">
        <v>3275</v>
      </c>
      <c r="C967" s="2" t="s">
        <v>3875</v>
      </c>
      <c r="D967" s="2" t="s">
        <v>3878</v>
      </c>
      <c r="E967" s="3">
        <v>45008</v>
      </c>
      <c r="F967" s="3">
        <v>45577</v>
      </c>
      <c r="G967" s="2" t="s">
        <v>3886</v>
      </c>
      <c r="H967" s="2">
        <v>735846</v>
      </c>
      <c r="I967" s="2">
        <v>489329</v>
      </c>
      <c r="J967" s="2" t="s">
        <v>3889</v>
      </c>
      <c r="K967" s="2" t="s">
        <v>3893</v>
      </c>
      <c r="L967" s="2">
        <v>2023</v>
      </c>
      <c r="M967" s="2">
        <v>246517</v>
      </c>
      <c r="N967" s="2">
        <f xml:space="preserve"> (Table1[[#This Row],[Variance (USD)]] / Table1[[#This Row],[Actual Spending (USD)]]) * 100</f>
        <v>50.378579646822487</v>
      </c>
      <c r="O967" s="5" t="s">
        <v>3899</v>
      </c>
    </row>
    <row r="968" spans="1:15" x14ac:dyDescent="0.25">
      <c r="A968" s="4" t="s">
        <v>981</v>
      </c>
      <c r="B968" s="2" t="s">
        <v>3427</v>
      </c>
      <c r="C968" s="2" t="s">
        <v>3868</v>
      </c>
      <c r="D968" s="2" t="s">
        <v>3882</v>
      </c>
      <c r="E968" s="3">
        <v>45354</v>
      </c>
      <c r="F968" s="3">
        <v>45899</v>
      </c>
      <c r="G968" s="2" t="s">
        <v>3886</v>
      </c>
      <c r="H968" s="2">
        <v>521820</v>
      </c>
      <c r="I968" s="2">
        <v>79574</v>
      </c>
      <c r="J968" s="2" t="s">
        <v>3891</v>
      </c>
      <c r="K968" s="2" t="s">
        <v>3894</v>
      </c>
      <c r="L968" s="2">
        <v>2025</v>
      </c>
      <c r="M968" s="2">
        <v>442246</v>
      </c>
      <c r="N968" s="2">
        <f xml:space="preserve"> (Table1[[#This Row],[Variance (USD)]] / Table1[[#This Row],[Actual Spending (USD)]]) * 100</f>
        <v>555.76695905697841</v>
      </c>
      <c r="O968" s="5" t="s">
        <v>3899</v>
      </c>
    </row>
    <row r="969" spans="1:15" x14ac:dyDescent="0.25">
      <c r="A969" s="4" t="s">
        <v>982</v>
      </c>
      <c r="B969" s="2" t="s">
        <v>3590</v>
      </c>
      <c r="C969" s="2" t="s">
        <v>3871</v>
      </c>
      <c r="D969" s="2" t="s">
        <v>3879</v>
      </c>
      <c r="E969" s="3">
        <v>45510</v>
      </c>
      <c r="F969" s="3">
        <v>45603</v>
      </c>
      <c r="G969" s="2" t="s">
        <v>3884</v>
      </c>
      <c r="H969" s="2">
        <v>199712</v>
      </c>
      <c r="I969" s="2">
        <v>393211</v>
      </c>
      <c r="J969" s="2" t="s">
        <v>3891</v>
      </c>
      <c r="K969" s="2" t="s">
        <v>3895</v>
      </c>
      <c r="L969" s="2">
        <v>2023</v>
      </c>
      <c r="M969" s="2">
        <v>-193499</v>
      </c>
      <c r="N969" s="2">
        <f xml:space="preserve"> (Table1[[#This Row],[Variance (USD)]] / Table1[[#This Row],[Actual Spending (USD)]]) * 100</f>
        <v>-49.209966150489173</v>
      </c>
      <c r="O969" s="5" t="s">
        <v>3897</v>
      </c>
    </row>
    <row r="970" spans="1:15" x14ac:dyDescent="0.25">
      <c r="A970" s="4" t="s">
        <v>983</v>
      </c>
      <c r="B970" s="2" t="s">
        <v>3591</v>
      </c>
      <c r="C970" s="2" t="s">
        <v>3871</v>
      </c>
      <c r="D970" s="2" t="s">
        <v>3879</v>
      </c>
      <c r="E970" s="3">
        <v>45405</v>
      </c>
      <c r="F970" s="3">
        <v>45600</v>
      </c>
      <c r="G970" s="2" t="s">
        <v>3886</v>
      </c>
      <c r="H970" s="2">
        <v>409838</v>
      </c>
      <c r="I970" s="2">
        <v>1108642</v>
      </c>
      <c r="J970" s="2" t="s">
        <v>3888</v>
      </c>
      <c r="K970" s="2" t="s">
        <v>3896</v>
      </c>
      <c r="L970" s="2">
        <v>2023</v>
      </c>
      <c r="M970" s="2">
        <v>-698804</v>
      </c>
      <c r="N970" s="2">
        <f xml:space="preserve"> (Table1[[#This Row],[Variance (USD)]] / Table1[[#This Row],[Actual Spending (USD)]]) * 100</f>
        <v>-63.032430667429161</v>
      </c>
      <c r="O970" s="5" t="s">
        <v>3899</v>
      </c>
    </row>
    <row r="971" spans="1:15" x14ac:dyDescent="0.25">
      <c r="A971" s="4" t="s">
        <v>984</v>
      </c>
      <c r="B971" s="2" t="s">
        <v>3326</v>
      </c>
      <c r="C971" s="2" t="s">
        <v>3869</v>
      </c>
      <c r="D971" s="2" t="s">
        <v>3876</v>
      </c>
      <c r="E971" s="3">
        <v>45088</v>
      </c>
      <c r="F971" s="3">
        <v>45388</v>
      </c>
      <c r="G971" s="2" t="s">
        <v>3884</v>
      </c>
      <c r="H971" s="2">
        <v>242527</v>
      </c>
      <c r="I971" s="2">
        <v>244221</v>
      </c>
      <c r="J971" s="2" t="s">
        <v>3888</v>
      </c>
      <c r="K971" s="2" t="s">
        <v>3895</v>
      </c>
      <c r="L971" s="2">
        <v>2025</v>
      </c>
      <c r="M971" s="2">
        <v>-1694</v>
      </c>
      <c r="N971" s="2">
        <f xml:space="preserve"> (Table1[[#This Row],[Variance (USD)]] / Table1[[#This Row],[Actual Spending (USD)]]) * 100</f>
        <v>-0.69363404457438138</v>
      </c>
      <c r="O971" s="5" t="s">
        <v>3897</v>
      </c>
    </row>
    <row r="972" spans="1:15" x14ac:dyDescent="0.25">
      <c r="A972" s="4" t="s">
        <v>985</v>
      </c>
      <c r="B972" s="2" t="s">
        <v>3415</v>
      </c>
      <c r="C972" s="2" t="s">
        <v>3870</v>
      </c>
      <c r="D972" s="2" t="s">
        <v>3881</v>
      </c>
      <c r="E972" s="3">
        <v>45328</v>
      </c>
      <c r="F972" s="3">
        <v>45404</v>
      </c>
      <c r="G972" s="2" t="s">
        <v>3885</v>
      </c>
      <c r="H972" s="2">
        <v>610424</v>
      </c>
      <c r="I972" s="2">
        <v>170017</v>
      </c>
      <c r="J972" s="2" t="s">
        <v>3889</v>
      </c>
      <c r="K972" s="2" t="s">
        <v>3896</v>
      </c>
      <c r="L972" s="2">
        <v>2025</v>
      </c>
      <c r="M972" s="2">
        <v>440407</v>
      </c>
      <c r="N972" s="2">
        <f xml:space="preserve"> (Table1[[#This Row],[Variance (USD)]] / Table1[[#This Row],[Actual Spending (USD)]]) * 100</f>
        <v>259.03703747272334</v>
      </c>
      <c r="O972" s="5" t="s">
        <v>3898</v>
      </c>
    </row>
    <row r="973" spans="1:15" x14ac:dyDescent="0.25">
      <c r="A973" s="4" t="s">
        <v>986</v>
      </c>
      <c r="B973" s="2" t="s">
        <v>3268</v>
      </c>
      <c r="C973" s="2" t="s">
        <v>3872</v>
      </c>
      <c r="D973" s="2" t="s">
        <v>3876</v>
      </c>
      <c r="E973" s="3">
        <v>45434</v>
      </c>
      <c r="F973" s="3">
        <v>45928</v>
      </c>
      <c r="G973" s="2" t="s">
        <v>3884</v>
      </c>
      <c r="H973" s="2">
        <v>106539</v>
      </c>
      <c r="I973" s="2">
        <v>59418</v>
      </c>
      <c r="J973" s="2" t="s">
        <v>3892</v>
      </c>
      <c r="K973" s="2" t="s">
        <v>3893</v>
      </c>
      <c r="L973" s="2">
        <v>2023</v>
      </c>
      <c r="M973" s="2">
        <v>47121</v>
      </c>
      <c r="N973" s="2">
        <f xml:space="preserve"> (Table1[[#This Row],[Variance (USD)]] / Table1[[#This Row],[Actual Spending (USD)]]) * 100</f>
        <v>79.304251236998894</v>
      </c>
      <c r="O973" s="5" t="s">
        <v>3897</v>
      </c>
    </row>
    <row r="974" spans="1:15" x14ac:dyDescent="0.25">
      <c r="A974" s="4" t="s">
        <v>987</v>
      </c>
      <c r="B974" s="2" t="s">
        <v>3497</v>
      </c>
      <c r="C974" s="2" t="s">
        <v>3870</v>
      </c>
      <c r="D974" s="2" t="s">
        <v>3880</v>
      </c>
      <c r="E974" s="3">
        <v>44964</v>
      </c>
      <c r="F974" s="3">
        <v>45747</v>
      </c>
      <c r="G974" s="2" t="s">
        <v>3886</v>
      </c>
      <c r="H974" s="2">
        <v>262736</v>
      </c>
      <c r="I974" s="2">
        <v>1161183</v>
      </c>
      <c r="J974" s="2" t="s">
        <v>3889</v>
      </c>
      <c r="K974" s="2" t="s">
        <v>3896</v>
      </c>
      <c r="L974" s="2">
        <v>2024</v>
      </c>
      <c r="M974" s="2">
        <v>-898447</v>
      </c>
      <c r="N974" s="2">
        <f xml:space="preserve"> (Table1[[#This Row],[Variance (USD)]] / Table1[[#This Row],[Actual Spending (USD)]]) * 100</f>
        <v>-77.373420038012952</v>
      </c>
      <c r="O974" s="5" t="s">
        <v>3899</v>
      </c>
    </row>
    <row r="975" spans="1:15" x14ac:dyDescent="0.25">
      <c r="A975" s="4" t="s">
        <v>988</v>
      </c>
      <c r="B975" s="2" t="s">
        <v>3592</v>
      </c>
      <c r="C975" s="2" t="s">
        <v>3868</v>
      </c>
      <c r="D975" s="2" t="s">
        <v>3877</v>
      </c>
      <c r="E975" s="3">
        <v>45437</v>
      </c>
      <c r="F975" s="3">
        <v>45754</v>
      </c>
      <c r="G975" s="2" t="s">
        <v>3885</v>
      </c>
      <c r="H975" s="2">
        <v>468158</v>
      </c>
      <c r="I975" s="2">
        <v>604162</v>
      </c>
      <c r="J975" s="2" t="s">
        <v>3890</v>
      </c>
      <c r="K975" s="2" t="s">
        <v>3895</v>
      </c>
      <c r="L975" s="2">
        <v>2024</v>
      </c>
      <c r="M975" s="2">
        <v>-136004</v>
      </c>
      <c r="N975" s="2">
        <f xml:space="preserve"> (Table1[[#This Row],[Variance (USD)]] / Table1[[#This Row],[Actual Spending (USD)]]) * 100</f>
        <v>-22.511180776017028</v>
      </c>
      <c r="O975" s="5" t="s">
        <v>3898</v>
      </c>
    </row>
    <row r="976" spans="1:15" x14ac:dyDescent="0.25">
      <c r="A976" s="4" t="s">
        <v>989</v>
      </c>
      <c r="B976" s="2" t="s">
        <v>3234</v>
      </c>
      <c r="C976" s="2" t="s">
        <v>3875</v>
      </c>
      <c r="D976" s="2" t="s">
        <v>3878</v>
      </c>
      <c r="E976" s="3">
        <v>45319</v>
      </c>
      <c r="F976" s="3">
        <v>45423</v>
      </c>
      <c r="G976" s="2" t="s">
        <v>3885</v>
      </c>
      <c r="H976" s="2">
        <v>118363</v>
      </c>
      <c r="I976" s="2">
        <v>928590</v>
      </c>
      <c r="J976" s="2" t="s">
        <v>3891</v>
      </c>
      <c r="K976" s="2" t="s">
        <v>3895</v>
      </c>
      <c r="L976" s="2">
        <v>2025</v>
      </c>
      <c r="M976" s="2">
        <v>-810227</v>
      </c>
      <c r="N976" s="2">
        <f xml:space="preserve"> (Table1[[#This Row],[Variance (USD)]] / Table1[[#This Row],[Actual Spending (USD)]]) * 100</f>
        <v>-87.253470315209086</v>
      </c>
      <c r="O976" s="5" t="s">
        <v>3898</v>
      </c>
    </row>
    <row r="977" spans="1:15" x14ac:dyDescent="0.25">
      <c r="A977" s="4" t="s">
        <v>990</v>
      </c>
      <c r="B977" s="2" t="s">
        <v>3297</v>
      </c>
      <c r="C977" s="2" t="s">
        <v>3871</v>
      </c>
      <c r="D977" s="2" t="s">
        <v>3876</v>
      </c>
      <c r="E977" s="3">
        <v>45639</v>
      </c>
      <c r="F977" s="3">
        <v>45412</v>
      </c>
      <c r="G977" s="2" t="s">
        <v>3884</v>
      </c>
      <c r="H977" s="2">
        <v>239668</v>
      </c>
      <c r="I977" s="2">
        <v>160538</v>
      </c>
      <c r="J977" s="2" t="s">
        <v>3892</v>
      </c>
      <c r="K977" s="2" t="s">
        <v>3895</v>
      </c>
      <c r="L977" s="2">
        <v>2023</v>
      </c>
      <c r="M977" s="2">
        <v>79130</v>
      </c>
      <c r="N977" s="2">
        <f xml:space="preserve"> (Table1[[#This Row],[Variance (USD)]] / Table1[[#This Row],[Actual Spending (USD)]]) * 100</f>
        <v>49.290510657912769</v>
      </c>
      <c r="O977" s="5" t="s">
        <v>3897</v>
      </c>
    </row>
    <row r="978" spans="1:15" x14ac:dyDescent="0.25">
      <c r="A978" s="4" t="s">
        <v>991</v>
      </c>
      <c r="B978" s="2" t="s">
        <v>3593</v>
      </c>
      <c r="C978" s="2" t="s">
        <v>3870</v>
      </c>
      <c r="D978" s="2" t="s">
        <v>3877</v>
      </c>
      <c r="E978" s="3">
        <v>45420</v>
      </c>
      <c r="F978" s="3">
        <v>45488</v>
      </c>
      <c r="G978" s="2" t="s">
        <v>3884</v>
      </c>
      <c r="H978" s="2">
        <v>655814</v>
      </c>
      <c r="I978" s="2">
        <v>243699</v>
      </c>
      <c r="J978" s="2" t="s">
        <v>3888</v>
      </c>
      <c r="K978" s="2" t="s">
        <v>3894</v>
      </c>
      <c r="L978" s="2">
        <v>2024</v>
      </c>
      <c r="M978" s="2">
        <v>412115</v>
      </c>
      <c r="N978" s="2">
        <f xml:space="preserve"> (Table1[[#This Row],[Variance (USD)]] / Table1[[#This Row],[Actual Spending (USD)]]) * 100</f>
        <v>169.10820315224927</v>
      </c>
      <c r="O978" s="5" t="s">
        <v>3897</v>
      </c>
    </row>
    <row r="979" spans="1:15" x14ac:dyDescent="0.25">
      <c r="A979" s="4" t="s">
        <v>992</v>
      </c>
      <c r="B979" s="2" t="s">
        <v>3594</v>
      </c>
      <c r="C979" s="2" t="s">
        <v>3868</v>
      </c>
      <c r="D979" s="2" t="s">
        <v>3880</v>
      </c>
      <c r="E979" s="3">
        <v>45126</v>
      </c>
      <c r="F979" s="3">
        <v>45773</v>
      </c>
      <c r="G979" s="2" t="s">
        <v>3886</v>
      </c>
      <c r="H979" s="2">
        <v>347399</v>
      </c>
      <c r="I979" s="2">
        <v>464610</v>
      </c>
      <c r="J979" s="2" t="s">
        <v>3890</v>
      </c>
      <c r="K979" s="2" t="s">
        <v>3894</v>
      </c>
      <c r="L979" s="2">
        <v>2025</v>
      </c>
      <c r="M979" s="2">
        <v>-117211</v>
      </c>
      <c r="N979" s="2">
        <f xml:space="preserve"> (Table1[[#This Row],[Variance (USD)]] / Table1[[#This Row],[Actual Spending (USD)]]) * 100</f>
        <v>-25.227825488043738</v>
      </c>
      <c r="O979" s="5" t="s">
        <v>3899</v>
      </c>
    </row>
    <row r="980" spans="1:15" x14ac:dyDescent="0.25">
      <c r="A980" s="4" t="s">
        <v>993</v>
      </c>
      <c r="B980" s="2" t="s">
        <v>3189</v>
      </c>
      <c r="C980" s="2" t="s">
        <v>3871</v>
      </c>
      <c r="D980" s="2" t="s">
        <v>3882</v>
      </c>
      <c r="E980" s="3">
        <v>45181</v>
      </c>
      <c r="F980" s="3">
        <v>45925</v>
      </c>
      <c r="G980" s="2" t="s">
        <v>3884</v>
      </c>
      <c r="H980" s="2">
        <v>243201</v>
      </c>
      <c r="I980" s="2">
        <v>534588</v>
      </c>
      <c r="J980" s="2" t="s">
        <v>3890</v>
      </c>
      <c r="K980" s="2" t="s">
        <v>3895</v>
      </c>
      <c r="L980" s="2">
        <v>2025</v>
      </c>
      <c r="M980" s="2">
        <v>-291387</v>
      </c>
      <c r="N980" s="2">
        <f xml:space="preserve"> (Table1[[#This Row],[Variance (USD)]] / Table1[[#This Row],[Actual Spending (USD)]]) * 100</f>
        <v>-54.506835170261958</v>
      </c>
      <c r="O980" s="5" t="s">
        <v>3897</v>
      </c>
    </row>
    <row r="981" spans="1:15" x14ac:dyDescent="0.25">
      <c r="A981" s="4" t="s">
        <v>994</v>
      </c>
      <c r="B981" s="2" t="s">
        <v>3595</v>
      </c>
      <c r="C981" s="2" t="s">
        <v>3875</v>
      </c>
      <c r="D981" s="2" t="s">
        <v>3882</v>
      </c>
      <c r="E981" s="3">
        <v>45105</v>
      </c>
      <c r="F981" s="3">
        <v>45330</v>
      </c>
      <c r="G981" s="2" t="s">
        <v>3885</v>
      </c>
      <c r="H981" s="2">
        <v>528739</v>
      </c>
      <c r="I981" s="2">
        <v>603923</v>
      </c>
      <c r="J981" s="2" t="s">
        <v>3891</v>
      </c>
      <c r="K981" s="2" t="s">
        <v>3895</v>
      </c>
      <c r="L981" s="2">
        <v>2023</v>
      </c>
      <c r="M981" s="2">
        <v>-75184</v>
      </c>
      <c r="N981" s="2">
        <f xml:space="preserve"> (Table1[[#This Row],[Variance (USD)]] / Table1[[#This Row],[Actual Spending (USD)]]) * 100</f>
        <v>-12.449269194913921</v>
      </c>
      <c r="O981" s="5" t="s">
        <v>3898</v>
      </c>
    </row>
    <row r="982" spans="1:15" x14ac:dyDescent="0.25">
      <c r="A982" s="4" t="s">
        <v>995</v>
      </c>
      <c r="B982" s="2" t="s">
        <v>3370</v>
      </c>
      <c r="C982" s="2" t="s">
        <v>3870</v>
      </c>
      <c r="D982" s="2" t="s">
        <v>3877</v>
      </c>
      <c r="E982" s="3">
        <v>45473</v>
      </c>
      <c r="F982" s="3">
        <v>45857</v>
      </c>
      <c r="G982" s="2" t="s">
        <v>3886</v>
      </c>
      <c r="H982" s="2">
        <v>692497</v>
      </c>
      <c r="I982" s="2">
        <v>287470</v>
      </c>
      <c r="J982" s="2" t="s">
        <v>3888</v>
      </c>
      <c r="K982" s="2" t="s">
        <v>3893</v>
      </c>
      <c r="L982" s="2">
        <v>2024</v>
      </c>
      <c r="M982" s="2">
        <v>405027</v>
      </c>
      <c r="N982" s="2">
        <f xml:space="preserve"> (Table1[[#This Row],[Variance (USD)]] / Table1[[#This Row],[Actual Spending (USD)]]) * 100</f>
        <v>140.89365846870979</v>
      </c>
      <c r="O982" s="5" t="s">
        <v>3899</v>
      </c>
    </row>
    <row r="983" spans="1:15" x14ac:dyDescent="0.25">
      <c r="A983" s="4" t="s">
        <v>996</v>
      </c>
      <c r="B983" s="2" t="s">
        <v>3253</v>
      </c>
      <c r="C983" s="2" t="s">
        <v>3871</v>
      </c>
      <c r="D983" s="2" t="s">
        <v>3876</v>
      </c>
      <c r="E983" s="3">
        <v>45520</v>
      </c>
      <c r="F983" s="3">
        <v>45803</v>
      </c>
      <c r="G983" s="2" t="s">
        <v>3886</v>
      </c>
      <c r="H983" s="2">
        <v>292723</v>
      </c>
      <c r="I983" s="2">
        <v>391981</v>
      </c>
      <c r="J983" s="2" t="s">
        <v>3892</v>
      </c>
      <c r="K983" s="2" t="s">
        <v>3894</v>
      </c>
      <c r="L983" s="2">
        <v>2025</v>
      </c>
      <c r="M983" s="2">
        <v>-99258</v>
      </c>
      <c r="N983" s="2">
        <f xml:space="preserve"> (Table1[[#This Row],[Variance (USD)]] / Table1[[#This Row],[Actual Spending (USD)]]) * 100</f>
        <v>-25.322145716246453</v>
      </c>
      <c r="O983" s="5" t="s">
        <v>3899</v>
      </c>
    </row>
    <row r="984" spans="1:15" x14ac:dyDescent="0.25">
      <c r="A984" s="4" t="s">
        <v>997</v>
      </c>
      <c r="B984" s="2" t="s">
        <v>3283</v>
      </c>
      <c r="C984" s="2" t="s">
        <v>3872</v>
      </c>
      <c r="D984" s="2" t="s">
        <v>3879</v>
      </c>
      <c r="E984" s="3">
        <v>45315</v>
      </c>
      <c r="F984" s="3">
        <v>45765</v>
      </c>
      <c r="G984" s="2" t="s">
        <v>3884</v>
      </c>
      <c r="H984" s="2">
        <v>660725</v>
      </c>
      <c r="I984" s="2">
        <v>309548</v>
      </c>
      <c r="J984" s="2" t="s">
        <v>3888</v>
      </c>
      <c r="K984" s="2" t="s">
        <v>3894</v>
      </c>
      <c r="L984" s="2">
        <v>2024</v>
      </c>
      <c r="M984" s="2">
        <v>351177</v>
      </c>
      <c r="N984" s="2">
        <f xml:space="preserve"> (Table1[[#This Row],[Variance (USD)]] / Table1[[#This Row],[Actual Spending (USD)]]) * 100</f>
        <v>113.44831819297816</v>
      </c>
      <c r="O984" s="5" t="s">
        <v>3897</v>
      </c>
    </row>
    <row r="985" spans="1:15" x14ac:dyDescent="0.25">
      <c r="A985" s="4" t="s">
        <v>998</v>
      </c>
      <c r="B985" s="2" t="s">
        <v>3172</v>
      </c>
      <c r="C985" s="2" t="s">
        <v>3874</v>
      </c>
      <c r="D985" s="2" t="s">
        <v>3878</v>
      </c>
      <c r="E985" s="3">
        <v>45324</v>
      </c>
      <c r="F985" s="3">
        <v>45452</v>
      </c>
      <c r="G985" s="2" t="s">
        <v>3886</v>
      </c>
      <c r="H985" s="2">
        <v>197349</v>
      </c>
      <c r="I985" s="2">
        <v>1091732</v>
      </c>
      <c r="J985" s="2" t="s">
        <v>3891</v>
      </c>
      <c r="K985" s="2" t="s">
        <v>3894</v>
      </c>
      <c r="L985" s="2">
        <v>2025</v>
      </c>
      <c r="M985" s="2">
        <v>-894383</v>
      </c>
      <c r="N985" s="2">
        <f xml:space="preserve"> (Table1[[#This Row],[Variance (USD)]] / Table1[[#This Row],[Actual Spending (USD)]]) * 100</f>
        <v>-81.923310849182769</v>
      </c>
      <c r="O985" s="5" t="s">
        <v>3899</v>
      </c>
    </row>
    <row r="986" spans="1:15" x14ac:dyDescent="0.25">
      <c r="A986" s="4" t="s">
        <v>999</v>
      </c>
      <c r="B986" s="2" t="s">
        <v>3596</v>
      </c>
      <c r="C986" s="2" t="s">
        <v>3872</v>
      </c>
      <c r="D986" s="2" t="s">
        <v>3878</v>
      </c>
      <c r="E986" s="3">
        <v>45084</v>
      </c>
      <c r="F986" s="3">
        <v>45580</v>
      </c>
      <c r="G986" s="2" t="s">
        <v>3886</v>
      </c>
      <c r="H986" s="2">
        <v>707003</v>
      </c>
      <c r="I986" s="2">
        <v>478834</v>
      </c>
      <c r="J986" s="2" t="s">
        <v>3890</v>
      </c>
      <c r="K986" s="2" t="s">
        <v>3896</v>
      </c>
      <c r="L986" s="2">
        <v>2025</v>
      </c>
      <c r="M986" s="2">
        <v>228169</v>
      </c>
      <c r="N986" s="2">
        <f xml:space="preserve"> (Table1[[#This Row],[Variance (USD)]] / Table1[[#This Row],[Actual Spending (USD)]]) * 100</f>
        <v>47.650960458112834</v>
      </c>
      <c r="O986" s="5" t="s">
        <v>3899</v>
      </c>
    </row>
    <row r="987" spans="1:15" x14ac:dyDescent="0.25">
      <c r="A987" s="4" t="s">
        <v>1000</v>
      </c>
      <c r="B987" s="2" t="s">
        <v>3177</v>
      </c>
      <c r="C987" s="2" t="s">
        <v>3869</v>
      </c>
      <c r="D987" s="2" t="s">
        <v>3882</v>
      </c>
      <c r="E987" s="3">
        <v>44930</v>
      </c>
      <c r="F987" s="3">
        <v>45491</v>
      </c>
      <c r="G987" s="2" t="s">
        <v>3885</v>
      </c>
      <c r="H987" s="2">
        <v>952332</v>
      </c>
      <c r="I987" s="2">
        <v>79999</v>
      </c>
      <c r="J987" s="2" t="s">
        <v>3891</v>
      </c>
      <c r="K987" s="2" t="s">
        <v>3895</v>
      </c>
      <c r="L987" s="2">
        <v>2024</v>
      </c>
      <c r="M987" s="2">
        <v>872333</v>
      </c>
      <c r="N987" s="2">
        <f xml:space="preserve"> (Table1[[#This Row],[Variance (USD)]] / Table1[[#This Row],[Actual Spending (USD)]]) * 100</f>
        <v>1090.4298803735048</v>
      </c>
      <c r="O987" s="5" t="s">
        <v>3898</v>
      </c>
    </row>
    <row r="988" spans="1:15" x14ac:dyDescent="0.25">
      <c r="A988" s="4" t="s">
        <v>1001</v>
      </c>
      <c r="B988" s="2" t="s">
        <v>3548</v>
      </c>
      <c r="C988" s="2" t="s">
        <v>3869</v>
      </c>
      <c r="D988" s="2" t="s">
        <v>3882</v>
      </c>
      <c r="E988" s="3">
        <v>45093</v>
      </c>
      <c r="F988" s="3">
        <v>45819</v>
      </c>
      <c r="G988" s="2" t="s">
        <v>3884</v>
      </c>
      <c r="H988" s="2">
        <v>860161</v>
      </c>
      <c r="I988" s="2">
        <v>437001</v>
      </c>
      <c r="J988" s="2" t="s">
        <v>3889</v>
      </c>
      <c r="K988" s="2" t="s">
        <v>3893</v>
      </c>
      <c r="L988" s="2">
        <v>2024</v>
      </c>
      <c r="M988" s="2">
        <v>423160</v>
      </c>
      <c r="N988" s="2">
        <f xml:space="preserve"> (Table1[[#This Row],[Variance (USD)]] / Table1[[#This Row],[Actual Spending (USD)]]) * 100</f>
        <v>96.832730359884749</v>
      </c>
      <c r="O988" s="5" t="s">
        <v>3897</v>
      </c>
    </row>
    <row r="989" spans="1:15" x14ac:dyDescent="0.25">
      <c r="A989" s="4" t="s">
        <v>1002</v>
      </c>
      <c r="B989" s="2" t="s">
        <v>3574</v>
      </c>
      <c r="C989" s="2" t="s">
        <v>3871</v>
      </c>
      <c r="D989" s="2" t="s">
        <v>3879</v>
      </c>
      <c r="E989" s="3">
        <v>45394</v>
      </c>
      <c r="F989" s="3">
        <v>45976</v>
      </c>
      <c r="G989" s="2" t="s">
        <v>3884</v>
      </c>
      <c r="H989" s="2">
        <v>858250</v>
      </c>
      <c r="I989" s="2">
        <v>209431</v>
      </c>
      <c r="J989" s="2" t="s">
        <v>3890</v>
      </c>
      <c r="K989" s="2" t="s">
        <v>3893</v>
      </c>
      <c r="L989" s="2">
        <v>2023</v>
      </c>
      <c r="M989" s="2">
        <v>648819</v>
      </c>
      <c r="N989" s="2">
        <f xml:space="preserve"> (Table1[[#This Row],[Variance (USD)]] / Table1[[#This Row],[Actual Spending (USD)]]) * 100</f>
        <v>309.80084132721515</v>
      </c>
      <c r="O989" s="5" t="s">
        <v>3897</v>
      </c>
    </row>
    <row r="990" spans="1:15" x14ac:dyDescent="0.25">
      <c r="A990" s="4" t="s">
        <v>1003</v>
      </c>
      <c r="B990" s="2" t="s">
        <v>3200</v>
      </c>
      <c r="C990" s="2" t="s">
        <v>3874</v>
      </c>
      <c r="D990" s="2" t="s">
        <v>3881</v>
      </c>
      <c r="E990" s="3">
        <v>45335</v>
      </c>
      <c r="F990" s="3">
        <v>45794</v>
      </c>
      <c r="G990" s="2" t="s">
        <v>3884</v>
      </c>
      <c r="H990" s="2">
        <v>115555</v>
      </c>
      <c r="I990" s="2">
        <v>514023</v>
      </c>
      <c r="J990" s="2" t="s">
        <v>3891</v>
      </c>
      <c r="K990" s="2" t="s">
        <v>3895</v>
      </c>
      <c r="L990" s="2">
        <v>2023</v>
      </c>
      <c r="M990" s="2">
        <v>-398468</v>
      </c>
      <c r="N990" s="2">
        <f xml:space="preserve"> (Table1[[#This Row],[Variance (USD)]] / Table1[[#This Row],[Actual Spending (USD)]]) * 100</f>
        <v>-77.519488427560631</v>
      </c>
      <c r="O990" s="5" t="s">
        <v>3897</v>
      </c>
    </row>
    <row r="991" spans="1:15" x14ac:dyDescent="0.25">
      <c r="A991" s="4" t="s">
        <v>1004</v>
      </c>
      <c r="B991" s="2" t="s">
        <v>3469</v>
      </c>
      <c r="C991" s="2" t="s">
        <v>3868</v>
      </c>
      <c r="D991" s="2" t="s">
        <v>3876</v>
      </c>
      <c r="E991" s="3">
        <v>45338</v>
      </c>
      <c r="F991" s="3">
        <v>45539</v>
      </c>
      <c r="G991" s="2" t="s">
        <v>3884</v>
      </c>
      <c r="H991" s="2">
        <v>673267</v>
      </c>
      <c r="I991" s="2">
        <v>983618</v>
      </c>
      <c r="J991" s="2" t="s">
        <v>3892</v>
      </c>
      <c r="K991" s="2" t="s">
        <v>3895</v>
      </c>
      <c r="L991" s="2">
        <v>2023</v>
      </c>
      <c r="M991" s="2">
        <v>-310351</v>
      </c>
      <c r="N991" s="2">
        <f xml:space="preserve"> (Table1[[#This Row],[Variance (USD)]] / Table1[[#This Row],[Actual Spending (USD)]]) * 100</f>
        <v>-31.551984611912349</v>
      </c>
      <c r="O991" s="5" t="s">
        <v>3897</v>
      </c>
    </row>
    <row r="992" spans="1:15" x14ac:dyDescent="0.25">
      <c r="A992" s="4" t="s">
        <v>1005</v>
      </c>
      <c r="B992" s="2" t="s">
        <v>3428</v>
      </c>
      <c r="C992" s="2" t="s">
        <v>3872</v>
      </c>
      <c r="D992" s="2" t="s">
        <v>3882</v>
      </c>
      <c r="E992" s="3">
        <v>45130</v>
      </c>
      <c r="F992" s="3">
        <v>45674</v>
      </c>
      <c r="G992" s="2" t="s">
        <v>3886</v>
      </c>
      <c r="H992" s="2">
        <v>103629</v>
      </c>
      <c r="I992" s="2">
        <v>62799</v>
      </c>
      <c r="J992" s="2" t="s">
        <v>3892</v>
      </c>
      <c r="K992" s="2" t="s">
        <v>3893</v>
      </c>
      <c r="L992" s="2">
        <v>2023</v>
      </c>
      <c r="M992" s="2">
        <v>40830</v>
      </c>
      <c r="N992" s="2">
        <f xml:space="preserve"> (Table1[[#This Row],[Variance (USD)]] / Table1[[#This Row],[Actual Spending (USD)]]) * 100</f>
        <v>65.016958868771795</v>
      </c>
      <c r="O992" s="5" t="s">
        <v>3899</v>
      </c>
    </row>
    <row r="993" spans="1:15" x14ac:dyDescent="0.25">
      <c r="A993" s="4" t="s">
        <v>1006</v>
      </c>
      <c r="B993" s="2" t="s">
        <v>3015</v>
      </c>
      <c r="C993" s="2" t="s">
        <v>3868</v>
      </c>
      <c r="D993" s="2" t="s">
        <v>3882</v>
      </c>
      <c r="E993" s="3">
        <v>45120</v>
      </c>
      <c r="F993" s="3">
        <v>45509</v>
      </c>
      <c r="G993" s="2" t="s">
        <v>3885</v>
      </c>
      <c r="H993" s="2">
        <v>689584</v>
      </c>
      <c r="I993" s="2">
        <v>172228</v>
      </c>
      <c r="J993" s="2" t="s">
        <v>3892</v>
      </c>
      <c r="K993" s="2" t="s">
        <v>3896</v>
      </c>
      <c r="L993" s="2">
        <v>2024</v>
      </c>
      <c r="M993" s="2">
        <v>517356</v>
      </c>
      <c r="N993" s="2">
        <f xml:space="preserve"> (Table1[[#This Row],[Variance (USD)]] / Table1[[#This Row],[Actual Spending (USD)]]) * 100</f>
        <v>300.390180458462</v>
      </c>
      <c r="O993" s="5" t="s">
        <v>3898</v>
      </c>
    </row>
    <row r="994" spans="1:15" x14ac:dyDescent="0.25">
      <c r="A994" s="4" t="s">
        <v>1007</v>
      </c>
      <c r="B994" s="2" t="s">
        <v>3302</v>
      </c>
      <c r="C994" s="2" t="s">
        <v>3874</v>
      </c>
      <c r="D994" s="2" t="s">
        <v>3882</v>
      </c>
      <c r="E994" s="3">
        <v>45161</v>
      </c>
      <c r="F994" s="3">
        <v>45378</v>
      </c>
      <c r="G994" s="2" t="s">
        <v>3884</v>
      </c>
      <c r="H994" s="2">
        <v>367582</v>
      </c>
      <c r="I994" s="2">
        <v>332789</v>
      </c>
      <c r="J994" s="2" t="s">
        <v>3889</v>
      </c>
      <c r="K994" s="2" t="s">
        <v>3893</v>
      </c>
      <c r="L994" s="2">
        <v>2023</v>
      </c>
      <c r="M994" s="2">
        <v>34793</v>
      </c>
      <c r="N994" s="2">
        <f xml:space="preserve"> (Table1[[#This Row],[Variance (USD)]] / Table1[[#This Row],[Actual Spending (USD)]]) * 100</f>
        <v>10.454972970861416</v>
      </c>
      <c r="O994" s="5" t="s">
        <v>3897</v>
      </c>
    </row>
    <row r="995" spans="1:15" x14ac:dyDescent="0.25">
      <c r="A995" s="4" t="s">
        <v>1008</v>
      </c>
      <c r="B995" s="2" t="s">
        <v>3422</v>
      </c>
      <c r="C995" s="2" t="s">
        <v>3868</v>
      </c>
      <c r="D995" s="2" t="s">
        <v>3878</v>
      </c>
      <c r="E995" s="3">
        <v>45644</v>
      </c>
      <c r="F995" s="3">
        <v>45373</v>
      </c>
      <c r="G995" s="2" t="s">
        <v>3885</v>
      </c>
      <c r="H995" s="2">
        <v>820109</v>
      </c>
      <c r="I995" s="2">
        <v>724298</v>
      </c>
      <c r="J995" s="2" t="s">
        <v>3888</v>
      </c>
      <c r="K995" s="2" t="s">
        <v>3896</v>
      </c>
      <c r="L995" s="2">
        <v>2024</v>
      </c>
      <c r="M995" s="2">
        <v>95811</v>
      </c>
      <c r="N995" s="2">
        <f xml:space="preserve"> (Table1[[#This Row],[Variance (USD)]] / Table1[[#This Row],[Actual Spending (USD)]]) * 100</f>
        <v>13.22811881297477</v>
      </c>
      <c r="O995" s="5" t="s">
        <v>3898</v>
      </c>
    </row>
    <row r="996" spans="1:15" x14ac:dyDescent="0.25">
      <c r="A996" s="4" t="s">
        <v>1009</v>
      </c>
      <c r="B996" s="2" t="s">
        <v>3124</v>
      </c>
      <c r="C996" s="2" t="s">
        <v>3874</v>
      </c>
      <c r="D996" s="2" t="s">
        <v>3876</v>
      </c>
      <c r="E996" s="3">
        <v>45076</v>
      </c>
      <c r="F996" s="3">
        <v>45353</v>
      </c>
      <c r="G996" s="2" t="s">
        <v>3884</v>
      </c>
      <c r="H996" s="2">
        <v>321601</v>
      </c>
      <c r="I996" s="2">
        <v>480198</v>
      </c>
      <c r="J996" s="2" t="s">
        <v>3892</v>
      </c>
      <c r="K996" s="2" t="s">
        <v>3896</v>
      </c>
      <c r="L996" s="2">
        <v>2025</v>
      </c>
      <c r="M996" s="2">
        <v>-158597</v>
      </c>
      <c r="N996" s="2">
        <f xml:space="preserve"> (Table1[[#This Row],[Variance (USD)]] / Table1[[#This Row],[Actual Spending (USD)]]) * 100</f>
        <v>-33.027417856800731</v>
      </c>
      <c r="O996" s="5" t="s">
        <v>3897</v>
      </c>
    </row>
    <row r="997" spans="1:15" x14ac:dyDescent="0.25">
      <c r="A997" s="4" t="s">
        <v>1010</v>
      </c>
      <c r="B997" s="2" t="s">
        <v>3597</v>
      </c>
      <c r="C997" s="2" t="s">
        <v>3871</v>
      </c>
      <c r="D997" s="2" t="s">
        <v>3880</v>
      </c>
      <c r="E997" s="3">
        <v>45085</v>
      </c>
      <c r="F997" s="3">
        <v>45791</v>
      </c>
      <c r="G997" s="2" t="s">
        <v>3884</v>
      </c>
      <c r="H997" s="2">
        <v>240701</v>
      </c>
      <c r="I997" s="2">
        <v>369758</v>
      </c>
      <c r="J997" s="2" t="s">
        <v>3889</v>
      </c>
      <c r="K997" s="2" t="s">
        <v>3894</v>
      </c>
      <c r="L997" s="2">
        <v>2024</v>
      </c>
      <c r="M997" s="2">
        <v>-129057</v>
      </c>
      <c r="N997" s="2">
        <f xml:space="preserve"> (Table1[[#This Row],[Variance (USD)]] / Table1[[#This Row],[Actual Spending (USD)]]) * 100</f>
        <v>-34.903098783528684</v>
      </c>
      <c r="O997" s="5" t="s">
        <v>3897</v>
      </c>
    </row>
    <row r="998" spans="1:15" x14ac:dyDescent="0.25">
      <c r="A998" s="4" t="s">
        <v>1011</v>
      </c>
      <c r="B998" s="2" t="s">
        <v>3041</v>
      </c>
      <c r="C998" s="2" t="s">
        <v>3868</v>
      </c>
      <c r="D998" s="2" t="s">
        <v>3876</v>
      </c>
      <c r="E998" s="3">
        <v>45205</v>
      </c>
      <c r="F998" s="3">
        <v>45333</v>
      </c>
      <c r="G998" s="2" t="s">
        <v>3884</v>
      </c>
      <c r="H998" s="2">
        <v>346066</v>
      </c>
      <c r="I998" s="2">
        <v>914801</v>
      </c>
      <c r="J998" s="2" t="s">
        <v>3892</v>
      </c>
      <c r="K998" s="2" t="s">
        <v>3895</v>
      </c>
      <c r="L998" s="2">
        <v>2023</v>
      </c>
      <c r="M998" s="2">
        <v>-568735</v>
      </c>
      <c r="N998" s="2">
        <f xml:space="preserve"> (Table1[[#This Row],[Variance (USD)]] / Table1[[#This Row],[Actual Spending (USD)]]) * 100</f>
        <v>-62.170351803288369</v>
      </c>
      <c r="O998" s="5" t="s">
        <v>3897</v>
      </c>
    </row>
    <row r="999" spans="1:15" x14ac:dyDescent="0.25">
      <c r="A999" s="4" t="s">
        <v>1012</v>
      </c>
      <c r="B999" s="2" t="s">
        <v>3592</v>
      </c>
      <c r="C999" s="2" t="s">
        <v>3872</v>
      </c>
      <c r="D999" s="2" t="s">
        <v>3877</v>
      </c>
      <c r="E999" s="3">
        <v>45330</v>
      </c>
      <c r="F999" s="3">
        <v>45303</v>
      </c>
      <c r="G999" s="2" t="s">
        <v>3884</v>
      </c>
      <c r="H999" s="2">
        <v>453036</v>
      </c>
      <c r="I999" s="2">
        <v>42420</v>
      </c>
      <c r="J999" s="2" t="s">
        <v>3889</v>
      </c>
      <c r="K999" s="2" t="s">
        <v>3894</v>
      </c>
      <c r="L999" s="2">
        <v>2024</v>
      </c>
      <c r="M999" s="2">
        <v>410616</v>
      </c>
      <c r="N999" s="2">
        <f xml:space="preserve"> (Table1[[#This Row],[Variance (USD)]] / Table1[[#This Row],[Actual Spending (USD)]]) * 100</f>
        <v>967.97736916548797</v>
      </c>
      <c r="O999" s="5" t="s">
        <v>3897</v>
      </c>
    </row>
    <row r="1000" spans="1:15" x14ac:dyDescent="0.25">
      <c r="A1000" s="4" t="s">
        <v>1013</v>
      </c>
      <c r="B1000" s="2" t="s">
        <v>3598</v>
      </c>
      <c r="C1000" s="2" t="s">
        <v>3875</v>
      </c>
      <c r="D1000" s="2" t="s">
        <v>3879</v>
      </c>
      <c r="E1000" s="3">
        <v>45604</v>
      </c>
      <c r="F1000" s="3">
        <v>45934</v>
      </c>
      <c r="G1000" s="2" t="s">
        <v>3885</v>
      </c>
      <c r="H1000" s="2">
        <v>475966</v>
      </c>
      <c r="I1000" s="2">
        <v>310456</v>
      </c>
      <c r="J1000" s="2" t="s">
        <v>3892</v>
      </c>
      <c r="K1000" s="2" t="s">
        <v>3896</v>
      </c>
      <c r="L1000" s="2">
        <v>2024</v>
      </c>
      <c r="M1000" s="2">
        <v>165510</v>
      </c>
      <c r="N1000" s="2">
        <f xml:space="preserve"> (Table1[[#This Row],[Variance (USD)]] / Table1[[#This Row],[Actual Spending (USD)]]) * 100</f>
        <v>53.311902491818486</v>
      </c>
      <c r="O1000" s="5" t="s">
        <v>3898</v>
      </c>
    </row>
    <row r="1001" spans="1:15" x14ac:dyDescent="0.25">
      <c r="A1001" s="4" t="s">
        <v>1014</v>
      </c>
      <c r="B1001" s="2" t="s">
        <v>3599</v>
      </c>
      <c r="C1001" s="2" t="s">
        <v>3869</v>
      </c>
      <c r="D1001" s="2" t="s">
        <v>3881</v>
      </c>
      <c r="E1001" s="3">
        <v>45237</v>
      </c>
      <c r="F1001" s="3">
        <v>45406</v>
      </c>
      <c r="G1001" s="2" t="s">
        <v>3884</v>
      </c>
      <c r="H1001" s="2">
        <v>420266</v>
      </c>
      <c r="I1001" s="2">
        <v>837827</v>
      </c>
      <c r="J1001" s="2" t="s">
        <v>3888</v>
      </c>
      <c r="K1001" s="2" t="s">
        <v>3893</v>
      </c>
      <c r="L1001" s="2">
        <v>2024</v>
      </c>
      <c r="M1001" s="2">
        <v>-417561</v>
      </c>
      <c r="N1001" s="2">
        <f xml:space="preserve"> (Table1[[#This Row],[Variance (USD)]] / Table1[[#This Row],[Actual Spending (USD)]]) * 100</f>
        <v>-49.838570492476371</v>
      </c>
      <c r="O1001" s="5" t="s">
        <v>3897</v>
      </c>
    </row>
    <row r="1002" spans="1:15" x14ac:dyDescent="0.25">
      <c r="A1002" s="4" t="s">
        <v>1015</v>
      </c>
      <c r="B1002" s="2" t="s">
        <v>3204</v>
      </c>
      <c r="C1002" s="2" t="s">
        <v>3875</v>
      </c>
      <c r="D1002" s="2" t="s">
        <v>3882</v>
      </c>
      <c r="E1002" s="3">
        <v>44994</v>
      </c>
      <c r="F1002" s="3">
        <v>45509</v>
      </c>
      <c r="G1002" s="2" t="s">
        <v>3886</v>
      </c>
      <c r="H1002" s="2">
        <v>152020</v>
      </c>
      <c r="I1002" s="2">
        <v>332445</v>
      </c>
      <c r="J1002" s="2" t="s">
        <v>3891</v>
      </c>
      <c r="K1002" s="2" t="s">
        <v>3894</v>
      </c>
      <c r="L1002" s="2">
        <v>2024</v>
      </c>
      <c r="M1002" s="2">
        <v>-180425</v>
      </c>
      <c r="N1002" s="2">
        <f xml:space="preserve"> (Table1[[#This Row],[Variance (USD)]] / Table1[[#This Row],[Actual Spending (USD)]]) * 100</f>
        <v>-54.272135240415707</v>
      </c>
      <c r="O1002" s="5" t="s">
        <v>3899</v>
      </c>
    </row>
    <row r="1003" spans="1:15" x14ac:dyDescent="0.25">
      <c r="A1003" s="4" t="s">
        <v>1016</v>
      </c>
      <c r="B1003" s="2" t="s">
        <v>3600</v>
      </c>
      <c r="C1003" s="2" t="s">
        <v>3868</v>
      </c>
      <c r="D1003" s="2" t="s">
        <v>3882</v>
      </c>
      <c r="E1003" s="3">
        <v>45389</v>
      </c>
      <c r="F1003" s="3">
        <v>45940</v>
      </c>
      <c r="G1003" s="2" t="s">
        <v>3884</v>
      </c>
      <c r="H1003" s="2">
        <v>284618</v>
      </c>
      <c r="I1003" s="2">
        <v>76972</v>
      </c>
      <c r="J1003" s="2" t="s">
        <v>3892</v>
      </c>
      <c r="K1003" s="2" t="s">
        <v>3893</v>
      </c>
      <c r="L1003" s="2">
        <v>2024</v>
      </c>
      <c r="M1003" s="2">
        <v>207646</v>
      </c>
      <c r="N1003" s="2">
        <f xml:space="preserve"> (Table1[[#This Row],[Variance (USD)]] / Table1[[#This Row],[Actual Spending (USD)]]) * 100</f>
        <v>269.7682274073689</v>
      </c>
      <c r="O1003" s="5" t="s">
        <v>3897</v>
      </c>
    </row>
    <row r="1004" spans="1:15" x14ac:dyDescent="0.25">
      <c r="A1004" s="4" t="s">
        <v>1017</v>
      </c>
      <c r="B1004" s="2" t="s">
        <v>3601</v>
      </c>
      <c r="C1004" s="2" t="s">
        <v>3875</v>
      </c>
      <c r="D1004" s="2" t="s">
        <v>3876</v>
      </c>
      <c r="E1004" s="3">
        <v>45014</v>
      </c>
      <c r="F1004" s="3">
        <v>45397</v>
      </c>
      <c r="G1004" s="2" t="s">
        <v>3885</v>
      </c>
      <c r="H1004" s="2">
        <v>563463</v>
      </c>
      <c r="I1004" s="2">
        <v>1159429</v>
      </c>
      <c r="J1004" s="2" t="s">
        <v>3891</v>
      </c>
      <c r="K1004" s="2" t="s">
        <v>3896</v>
      </c>
      <c r="L1004" s="2">
        <v>2023</v>
      </c>
      <c r="M1004" s="2">
        <v>-595966</v>
      </c>
      <c r="N1004" s="2">
        <f xml:space="preserve"> (Table1[[#This Row],[Variance (USD)]] / Table1[[#This Row],[Actual Spending (USD)]]) * 100</f>
        <v>-51.401681344868898</v>
      </c>
      <c r="O1004" s="5" t="s">
        <v>3898</v>
      </c>
    </row>
    <row r="1005" spans="1:15" x14ac:dyDescent="0.25">
      <c r="A1005" s="4" t="s">
        <v>1018</v>
      </c>
      <c r="B1005" s="2" t="s">
        <v>3428</v>
      </c>
      <c r="C1005" s="2" t="s">
        <v>3872</v>
      </c>
      <c r="D1005" s="2" t="s">
        <v>3881</v>
      </c>
      <c r="E1005" s="3">
        <v>45143</v>
      </c>
      <c r="F1005" s="3">
        <v>45982</v>
      </c>
      <c r="G1005" s="2" t="s">
        <v>3884</v>
      </c>
      <c r="H1005" s="2">
        <v>743150</v>
      </c>
      <c r="I1005" s="2">
        <v>674423</v>
      </c>
      <c r="J1005" s="2" t="s">
        <v>3892</v>
      </c>
      <c r="K1005" s="2" t="s">
        <v>3893</v>
      </c>
      <c r="L1005" s="2">
        <v>2024</v>
      </c>
      <c r="M1005" s="2">
        <v>68727</v>
      </c>
      <c r="N1005" s="2">
        <f xml:space="preserve"> (Table1[[#This Row],[Variance (USD)]] / Table1[[#This Row],[Actual Spending (USD)]]) * 100</f>
        <v>10.19048875853878</v>
      </c>
      <c r="O1005" s="5" t="s">
        <v>3897</v>
      </c>
    </row>
    <row r="1006" spans="1:15" x14ac:dyDescent="0.25">
      <c r="A1006" s="4" t="s">
        <v>1019</v>
      </c>
      <c r="B1006" s="2" t="s">
        <v>3423</v>
      </c>
      <c r="C1006" s="2" t="s">
        <v>3872</v>
      </c>
      <c r="D1006" s="2" t="s">
        <v>3882</v>
      </c>
      <c r="E1006" s="3">
        <v>44927</v>
      </c>
      <c r="F1006" s="3">
        <v>45819</v>
      </c>
      <c r="G1006" s="2" t="s">
        <v>3884</v>
      </c>
      <c r="H1006" s="2">
        <v>924837</v>
      </c>
      <c r="I1006" s="2">
        <v>112504</v>
      </c>
      <c r="J1006" s="2" t="s">
        <v>3888</v>
      </c>
      <c r="K1006" s="2" t="s">
        <v>3894</v>
      </c>
      <c r="L1006" s="2">
        <v>2023</v>
      </c>
      <c r="M1006" s="2">
        <v>812333</v>
      </c>
      <c r="N1006" s="2">
        <f xml:space="preserve"> (Table1[[#This Row],[Variance (USD)]] / Table1[[#This Row],[Actual Spending (USD)]]) * 100</f>
        <v>722.04810495626828</v>
      </c>
      <c r="O1006" s="5" t="s">
        <v>3897</v>
      </c>
    </row>
    <row r="1007" spans="1:15" x14ac:dyDescent="0.25">
      <c r="A1007" s="4" t="s">
        <v>1020</v>
      </c>
      <c r="B1007" s="2" t="s">
        <v>3602</v>
      </c>
      <c r="C1007" s="2" t="s">
        <v>3868</v>
      </c>
      <c r="D1007" s="2" t="s">
        <v>3881</v>
      </c>
      <c r="E1007" s="3">
        <v>45061</v>
      </c>
      <c r="F1007" s="3">
        <v>45763</v>
      </c>
      <c r="G1007" s="2" t="s">
        <v>3884</v>
      </c>
      <c r="H1007" s="2">
        <v>952562</v>
      </c>
      <c r="I1007" s="2">
        <v>839286</v>
      </c>
      <c r="J1007" s="2" t="s">
        <v>3891</v>
      </c>
      <c r="K1007" s="2" t="s">
        <v>3896</v>
      </c>
      <c r="L1007" s="2">
        <v>2025</v>
      </c>
      <c r="M1007" s="2">
        <v>113276</v>
      </c>
      <c r="N1007" s="2">
        <f xml:space="preserve"> (Table1[[#This Row],[Variance (USD)]] / Table1[[#This Row],[Actual Spending (USD)]]) * 100</f>
        <v>13.496710298992239</v>
      </c>
      <c r="O1007" s="5" t="s">
        <v>3897</v>
      </c>
    </row>
    <row r="1008" spans="1:15" x14ac:dyDescent="0.25">
      <c r="A1008" s="4" t="s">
        <v>1021</v>
      </c>
      <c r="B1008" s="2" t="s">
        <v>3603</v>
      </c>
      <c r="C1008" s="2" t="s">
        <v>3871</v>
      </c>
      <c r="D1008" s="2" t="s">
        <v>3880</v>
      </c>
      <c r="E1008" s="3">
        <v>45623</v>
      </c>
      <c r="F1008" s="3">
        <v>45678</v>
      </c>
      <c r="G1008" s="2" t="s">
        <v>3884</v>
      </c>
      <c r="H1008" s="2">
        <v>215493</v>
      </c>
      <c r="I1008" s="2">
        <v>1199949</v>
      </c>
      <c r="J1008" s="2" t="s">
        <v>3889</v>
      </c>
      <c r="K1008" s="2" t="s">
        <v>3895</v>
      </c>
      <c r="L1008" s="2">
        <v>2024</v>
      </c>
      <c r="M1008" s="2">
        <v>-984456</v>
      </c>
      <c r="N1008" s="2">
        <f xml:space="preserve"> (Table1[[#This Row],[Variance (USD)]] / Table1[[#This Row],[Actual Spending (USD)]]) * 100</f>
        <v>-82.041486763187436</v>
      </c>
      <c r="O1008" s="5" t="s">
        <v>3897</v>
      </c>
    </row>
    <row r="1009" spans="1:15" x14ac:dyDescent="0.25">
      <c r="A1009" s="4" t="s">
        <v>1022</v>
      </c>
      <c r="B1009" s="2" t="s">
        <v>3604</v>
      </c>
      <c r="C1009" s="2" t="s">
        <v>3875</v>
      </c>
      <c r="D1009" s="2" t="s">
        <v>3883</v>
      </c>
      <c r="E1009" s="3">
        <v>45277</v>
      </c>
      <c r="F1009" s="3">
        <v>45517</v>
      </c>
      <c r="G1009" s="2" t="s">
        <v>3884</v>
      </c>
      <c r="H1009" s="2">
        <v>904470</v>
      </c>
      <c r="I1009" s="2">
        <v>362924</v>
      </c>
      <c r="J1009" s="2" t="s">
        <v>3892</v>
      </c>
      <c r="K1009" s="2" t="s">
        <v>3894</v>
      </c>
      <c r="L1009" s="2">
        <v>2025</v>
      </c>
      <c r="M1009" s="2">
        <v>541546</v>
      </c>
      <c r="N1009" s="2">
        <f xml:space="preserve"> (Table1[[#This Row],[Variance (USD)]] / Table1[[#This Row],[Actual Spending (USD)]]) * 100</f>
        <v>149.21746701788805</v>
      </c>
      <c r="O1009" s="5" t="s">
        <v>3897</v>
      </c>
    </row>
    <row r="1010" spans="1:15" x14ac:dyDescent="0.25">
      <c r="A1010" s="4" t="s">
        <v>1023</v>
      </c>
      <c r="B1010" s="2" t="s">
        <v>3330</v>
      </c>
      <c r="C1010" s="2" t="s">
        <v>3871</v>
      </c>
      <c r="D1010" s="2" t="s">
        <v>3879</v>
      </c>
      <c r="E1010" s="3">
        <v>45066</v>
      </c>
      <c r="F1010" s="3">
        <v>45772</v>
      </c>
      <c r="G1010" s="2" t="s">
        <v>3885</v>
      </c>
      <c r="H1010" s="2">
        <v>823317</v>
      </c>
      <c r="I1010" s="2">
        <v>398602</v>
      </c>
      <c r="J1010" s="2" t="s">
        <v>3892</v>
      </c>
      <c r="K1010" s="2" t="s">
        <v>3894</v>
      </c>
      <c r="L1010" s="2">
        <v>2023</v>
      </c>
      <c r="M1010" s="2">
        <v>424715</v>
      </c>
      <c r="N1010" s="2">
        <f xml:space="preserve"> (Table1[[#This Row],[Variance (USD)]] / Table1[[#This Row],[Actual Spending (USD)]]) * 100</f>
        <v>106.55114625616531</v>
      </c>
      <c r="O1010" s="5" t="s">
        <v>3898</v>
      </c>
    </row>
    <row r="1011" spans="1:15" x14ac:dyDescent="0.25">
      <c r="A1011" s="4" t="s">
        <v>1024</v>
      </c>
      <c r="B1011" s="2" t="s">
        <v>3600</v>
      </c>
      <c r="C1011" s="2" t="s">
        <v>3871</v>
      </c>
      <c r="D1011" s="2" t="s">
        <v>3881</v>
      </c>
      <c r="E1011" s="3">
        <v>45544</v>
      </c>
      <c r="F1011" s="3">
        <v>45699</v>
      </c>
      <c r="G1011" s="2" t="s">
        <v>3886</v>
      </c>
      <c r="H1011" s="2">
        <v>263273</v>
      </c>
      <c r="I1011" s="2">
        <v>539652</v>
      </c>
      <c r="J1011" s="2" t="s">
        <v>3889</v>
      </c>
      <c r="K1011" s="2" t="s">
        <v>3895</v>
      </c>
      <c r="L1011" s="2">
        <v>2024</v>
      </c>
      <c r="M1011" s="2">
        <v>-276379</v>
      </c>
      <c r="N1011" s="2">
        <f xml:space="preserve"> (Table1[[#This Row],[Variance (USD)]] / Table1[[#This Row],[Actual Spending (USD)]]) * 100</f>
        <v>-51.214301068095736</v>
      </c>
      <c r="O1011" s="5" t="s">
        <v>3899</v>
      </c>
    </row>
    <row r="1012" spans="1:15" x14ac:dyDescent="0.25">
      <c r="A1012" s="4" t="s">
        <v>1025</v>
      </c>
      <c r="B1012" s="2" t="s">
        <v>3605</v>
      </c>
      <c r="C1012" s="2" t="s">
        <v>3874</v>
      </c>
      <c r="D1012" s="2" t="s">
        <v>3878</v>
      </c>
      <c r="E1012" s="3">
        <v>45059</v>
      </c>
      <c r="F1012" s="3">
        <v>45748</v>
      </c>
      <c r="G1012" s="2" t="s">
        <v>3886</v>
      </c>
      <c r="H1012" s="2">
        <v>636613</v>
      </c>
      <c r="I1012" s="2">
        <v>861022</v>
      </c>
      <c r="J1012" s="2" t="s">
        <v>3888</v>
      </c>
      <c r="K1012" s="2" t="s">
        <v>3896</v>
      </c>
      <c r="L1012" s="2">
        <v>2025</v>
      </c>
      <c r="M1012" s="2">
        <v>-224409</v>
      </c>
      <c r="N1012" s="2">
        <f xml:space="preserve"> (Table1[[#This Row],[Variance (USD)]] / Table1[[#This Row],[Actual Spending (USD)]]) * 100</f>
        <v>-26.063097110178369</v>
      </c>
      <c r="O1012" s="5" t="s">
        <v>3899</v>
      </c>
    </row>
    <row r="1013" spans="1:15" x14ac:dyDescent="0.25">
      <c r="A1013" s="4" t="s">
        <v>1026</v>
      </c>
      <c r="B1013" s="2" t="s">
        <v>3364</v>
      </c>
      <c r="C1013" s="2" t="s">
        <v>3873</v>
      </c>
      <c r="D1013" s="2" t="s">
        <v>3877</v>
      </c>
      <c r="E1013" s="3">
        <v>45546</v>
      </c>
      <c r="F1013" s="3">
        <v>45944</v>
      </c>
      <c r="G1013" s="2" t="s">
        <v>3884</v>
      </c>
      <c r="H1013" s="2">
        <v>337744</v>
      </c>
      <c r="I1013" s="2">
        <v>626842</v>
      </c>
      <c r="J1013" s="2" t="s">
        <v>3890</v>
      </c>
      <c r="K1013" s="2" t="s">
        <v>3895</v>
      </c>
      <c r="L1013" s="2">
        <v>2023</v>
      </c>
      <c r="M1013" s="2">
        <v>-289098</v>
      </c>
      <c r="N1013" s="2">
        <f xml:space="preserve"> (Table1[[#This Row],[Variance (USD)]] / Table1[[#This Row],[Actual Spending (USD)]]) * 100</f>
        <v>-46.119755855542543</v>
      </c>
      <c r="O1013" s="5" t="s">
        <v>3897</v>
      </c>
    </row>
    <row r="1014" spans="1:15" x14ac:dyDescent="0.25">
      <c r="A1014" s="4" t="s">
        <v>1027</v>
      </c>
      <c r="B1014" s="2" t="s">
        <v>3097</v>
      </c>
      <c r="C1014" s="2" t="s">
        <v>3868</v>
      </c>
      <c r="D1014" s="2" t="s">
        <v>3878</v>
      </c>
      <c r="E1014" s="3">
        <v>45104</v>
      </c>
      <c r="F1014" s="3">
        <v>46002</v>
      </c>
      <c r="G1014" s="2" t="s">
        <v>3884</v>
      </c>
      <c r="H1014" s="2">
        <v>996898</v>
      </c>
      <c r="I1014" s="2">
        <v>433837</v>
      </c>
      <c r="J1014" s="2" t="s">
        <v>3892</v>
      </c>
      <c r="K1014" s="2" t="s">
        <v>3894</v>
      </c>
      <c r="L1014" s="2">
        <v>2025</v>
      </c>
      <c r="M1014" s="2">
        <v>563061</v>
      </c>
      <c r="N1014" s="2">
        <f xml:space="preserve"> (Table1[[#This Row],[Variance (USD)]] / Table1[[#This Row],[Actual Spending (USD)]]) * 100</f>
        <v>129.78630222871723</v>
      </c>
      <c r="O1014" s="5" t="s">
        <v>3897</v>
      </c>
    </row>
    <row r="1015" spans="1:15" x14ac:dyDescent="0.25">
      <c r="A1015" s="4" t="s">
        <v>1028</v>
      </c>
      <c r="B1015" s="2" t="s">
        <v>3062</v>
      </c>
      <c r="C1015" s="2" t="s">
        <v>3869</v>
      </c>
      <c r="D1015" s="2" t="s">
        <v>3882</v>
      </c>
      <c r="E1015" s="3">
        <v>45284</v>
      </c>
      <c r="F1015" s="3">
        <v>45915</v>
      </c>
      <c r="G1015" s="2" t="s">
        <v>3884</v>
      </c>
      <c r="H1015" s="2">
        <v>260694</v>
      </c>
      <c r="I1015" s="2">
        <v>147781</v>
      </c>
      <c r="J1015" s="2" t="s">
        <v>3889</v>
      </c>
      <c r="K1015" s="2" t="s">
        <v>3896</v>
      </c>
      <c r="L1015" s="2">
        <v>2024</v>
      </c>
      <c r="M1015" s="2">
        <v>112913</v>
      </c>
      <c r="N1015" s="2">
        <f xml:space="preserve"> (Table1[[#This Row],[Variance (USD)]] / Table1[[#This Row],[Actual Spending (USD)]]) * 100</f>
        <v>76.405627245721703</v>
      </c>
      <c r="O1015" s="5" t="s">
        <v>3897</v>
      </c>
    </row>
    <row r="1016" spans="1:15" x14ac:dyDescent="0.25">
      <c r="A1016" s="4" t="s">
        <v>1029</v>
      </c>
      <c r="B1016" s="2" t="s">
        <v>3092</v>
      </c>
      <c r="C1016" s="2" t="s">
        <v>3872</v>
      </c>
      <c r="D1016" s="2" t="s">
        <v>3880</v>
      </c>
      <c r="E1016" s="3">
        <v>45306</v>
      </c>
      <c r="F1016" s="3">
        <v>45930</v>
      </c>
      <c r="G1016" s="2" t="s">
        <v>3887</v>
      </c>
      <c r="H1016" s="2">
        <v>312051</v>
      </c>
      <c r="I1016" s="2">
        <v>555261</v>
      </c>
      <c r="J1016" s="2" t="s">
        <v>3890</v>
      </c>
      <c r="K1016" s="2" t="s">
        <v>3893</v>
      </c>
      <c r="L1016" s="2">
        <v>2024</v>
      </c>
      <c r="M1016" s="2">
        <v>-243210</v>
      </c>
      <c r="N1016" s="2">
        <f xml:space="preserve"> (Table1[[#This Row],[Variance (USD)]] / Table1[[#This Row],[Actual Spending (USD)]]) * 100</f>
        <v>-43.801023302555016</v>
      </c>
      <c r="O1016" s="5" t="s">
        <v>3900</v>
      </c>
    </row>
    <row r="1017" spans="1:15" x14ac:dyDescent="0.25">
      <c r="A1017" s="4" t="s">
        <v>1030</v>
      </c>
      <c r="B1017" s="2" t="s">
        <v>3505</v>
      </c>
      <c r="C1017" s="2" t="s">
        <v>3872</v>
      </c>
      <c r="D1017" s="2" t="s">
        <v>3880</v>
      </c>
      <c r="E1017" s="3">
        <v>45584</v>
      </c>
      <c r="F1017" s="3">
        <v>45312</v>
      </c>
      <c r="G1017" s="2" t="s">
        <v>3885</v>
      </c>
      <c r="H1017" s="2">
        <v>479387</v>
      </c>
      <c r="I1017" s="2">
        <v>875218</v>
      </c>
      <c r="J1017" s="2" t="s">
        <v>3892</v>
      </c>
      <c r="K1017" s="2" t="s">
        <v>3894</v>
      </c>
      <c r="L1017" s="2">
        <v>2024</v>
      </c>
      <c r="M1017" s="2">
        <v>-395831</v>
      </c>
      <c r="N1017" s="2">
        <f xml:space="preserve"> (Table1[[#This Row],[Variance (USD)]] / Table1[[#This Row],[Actual Spending (USD)]]) * 100</f>
        <v>-45.226560696877804</v>
      </c>
      <c r="O1017" s="5" t="s">
        <v>3898</v>
      </c>
    </row>
    <row r="1018" spans="1:15" x14ac:dyDescent="0.25">
      <c r="A1018" s="4" t="s">
        <v>1031</v>
      </c>
      <c r="B1018" s="2" t="s">
        <v>3606</v>
      </c>
      <c r="C1018" s="2" t="s">
        <v>3868</v>
      </c>
      <c r="D1018" s="2" t="s">
        <v>3878</v>
      </c>
      <c r="E1018" s="3">
        <v>45376</v>
      </c>
      <c r="F1018" s="3">
        <v>45950</v>
      </c>
      <c r="G1018" s="2" t="s">
        <v>3885</v>
      </c>
      <c r="H1018" s="2">
        <v>804899</v>
      </c>
      <c r="I1018" s="2">
        <v>1183495</v>
      </c>
      <c r="J1018" s="2" t="s">
        <v>3891</v>
      </c>
      <c r="K1018" s="2" t="s">
        <v>3893</v>
      </c>
      <c r="L1018" s="2">
        <v>2023</v>
      </c>
      <c r="M1018" s="2">
        <v>-378596</v>
      </c>
      <c r="N1018" s="2">
        <f xml:space="preserve"> (Table1[[#This Row],[Variance (USD)]] / Table1[[#This Row],[Actual Spending (USD)]]) * 100</f>
        <v>-31.989657750983319</v>
      </c>
      <c r="O1018" s="5" t="s">
        <v>3898</v>
      </c>
    </row>
    <row r="1019" spans="1:15" x14ac:dyDescent="0.25">
      <c r="A1019" s="4" t="s">
        <v>1032</v>
      </c>
      <c r="B1019" s="2" t="s">
        <v>3607</v>
      </c>
      <c r="C1019" s="2" t="s">
        <v>3874</v>
      </c>
      <c r="D1019" s="2" t="s">
        <v>3879</v>
      </c>
      <c r="E1019" s="3">
        <v>45512</v>
      </c>
      <c r="F1019" s="3">
        <v>45892</v>
      </c>
      <c r="G1019" s="2" t="s">
        <v>3885</v>
      </c>
      <c r="H1019" s="2">
        <v>373670</v>
      </c>
      <c r="I1019" s="2">
        <v>1115673</v>
      </c>
      <c r="J1019" s="2" t="s">
        <v>3889</v>
      </c>
      <c r="K1019" s="2" t="s">
        <v>3895</v>
      </c>
      <c r="L1019" s="2">
        <v>2025</v>
      </c>
      <c r="M1019" s="2">
        <v>-742003</v>
      </c>
      <c r="N1019" s="2">
        <f xml:space="preserve"> (Table1[[#This Row],[Variance (USD)]] / Table1[[#This Row],[Actual Spending (USD)]]) * 100</f>
        <v>-66.507211342391543</v>
      </c>
      <c r="O1019" s="5" t="s">
        <v>3898</v>
      </c>
    </row>
    <row r="1020" spans="1:15" x14ac:dyDescent="0.25">
      <c r="A1020" s="4" t="s">
        <v>1033</v>
      </c>
      <c r="B1020" s="2" t="s">
        <v>3251</v>
      </c>
      <c r="C1020" s="2" t="s">
        <v>3870</v>
      </c>
      <c r="D1020" s="2" t="s">
        <v>3878</v>
      </c>
      <c r="E1020" s="3">
        <v>45389</v>
      </c>
      <c r="F1020" s="3">
        <v>45494</v>
      </c>
      <c r="G1020" s="2" t="s">
        <v>3884</v>
      </c>
      <c r="H1020" s="2">
        <v>824808</v>
      </c>
      <c r="I1020" s="2">
        <v>151403</v>
      </c>
      <c r="J1020" s="2" t="s">
        <v>3891</v>
      </c>
      <c r="K1020" s="2" t="s">
        <v>3896</v>
      </c>
      <c r="L1020" s="2">
        <v>2023</v>
      </c>
      <c r="M1020" s="2">
        <v>673405</v>
      </c>
      <c r="N1020" s="2">
        <f xml:space="preserve"> (Table1[[#This Row],[Variance (USD)]] / Table1[[#This Row],[Actual Spending (USD)]]) * 100</f>
        <v>444.77652358275594</v>
      </c>
      <c r="O1020" s="5" t="s">
        <v>3897</v>
      </c>
    </row>
    <row r="1021" spans="1:15" x14ac:dyDescent="0.25">
      <c r="A1021" s="4" t="s">
        <v>1034</v>
      </c>
      <c r="B1021" s="2" t="s">
        <v>3253</v>
      </c>
      <c r="C1021" s="2" t="s">
        <v>3870</v>
      </c>
      <c r="D1021" s="2" t="s">
        <v>3876</v>
      </c>
      <c r="E1021" s="3">
        <v>45034</v>
      </c>
      <c r="F1021" s="3">
        <v>45708</v>
      </c>
      <c r="G1021" s="2" t="s">
        <v>3884</v>
      </c>
      <c r="H1021" s="2">
        <v>63149</v>
      </c>
      <c r="I1021" s="2">
        <v>579634</v>
      </c>
      <c r="J1021" s="2" t="s">
        <v>3888</v>
      </c>
      <c r="K1021" s="2" t="s">
        <v>3895</v>
      </c>
      <c r="L1021" s="2">
        <v>2025</v>
      </c>
      <c r="M1021" s="2">
        <v>-516485</v>
      </c>
      <c r="N1021" s="2">
        <f xml:space="preserve"> (Table1[[#This Row],[Variance (USD)]] / Table1[[#This Row],[Actual Spending (USD)]]) * 100</f>
        <v>-89.105366489888453</v>
      </c>
      <c r="O1021" s="5" t="s">
        <v>3897</v>
      </c>
    </row>
    <row r="1022" spans="1:15" x14ac:dyDescent="0.25">
      <c r="A1022" s="4" t="s">
        <v>1035</v>
      </c>
      <c r="B1022" s="2" t="s">
        <v>3552</v>
      </c>
      <c r="C1022" s="2" t="s">
        <v>3870</v>
      </c>
      <c r="D1022" s="2" t="s">
        <v>3882</v>
      </c>
      <c r="E1022" s="3">
        <v>45048</v>
      </c>
      <c r="F1022" s="3">
        <v>45707</v>
      </c>
      <c r="G1022" s="2" t="s">
        <v>3884</v>
      </c>
      <c r="H1022" s="2">
        <v>211466</v>
      </c>
      <c r="I1022" s="2">
        <v>659921</v>
      </c>
      <c r="J1022" s="2" t="s">
        <v>3890</v>
      </c>
      <c r="K1022" s="2" t="s">
        <v>3893</v>
      </c>
      <c r="L1022" s="2">
        <v>2023</v>
      </c>
      <c r="M1022" s="2">
        <v>-448455</v>
      </c>
      <c r="N1022" s="2">
        <f xml:space="preserve"> (Table1[[#This Row],[Variance (USD)]] / Table1[[#This Row],[Actual Spending (USD)]]) * 100</f>
        <v>-67.955861383408006</v>
      </c>
      <c r="O1022" s="5" t="s">
        <v>3897</v>
      </c>
    </row>
    <row r="1023" spans="1:15" x14ac:dyDescent="0.25">
      <c r="A1023" s="4" t="s">
        <v>1036</v>
      </c>
      <c r="B1023" s="2" t="s">
        <v>3359</v>
      </c>
      <c r="C1023" s="2" t="s">
        <v>3874</v>
      </c>
      <c r="D1023" s="2" t="s">
        <v>3882</v>
      </c>
      <c r="E1023" s="3">
        <v>44943</v>
      </c>
      <c r="F1023" s="3">
        <v>45739</v>
      </c>
      <c r="G1023" s="2" t="s">
        <v>3884</v>
      </c>
      <c r="H1023" s="2">
        <v>195468</v>
      </c>
      <c r="I1023" s="2">
        <v>1168993</v>
      </c>
      <c r="J1023" s="2" t="s">
        <v>3889</v>
      </c>
      <c r="K1023" s="2" t="s">
        <v>3894</v>
      </c>
      <c r="L1023" s="2">
        <v>2024</v>
      </c>
      <c r="M1023" s="2">
        <v>-973525</v>
      </c>
      <c r="N1023" s="2">
        <f xml:space="preserve"> (Table1[[#This Row],[Variance (USD)]] / Table1[[#This Row],[Actual Spending (USD)]]) * 100</f>
        <v>-83.278941790070604</v>
      </c>
      <c r="O1023" s="5" t="s">
        <v>3897</v>
      </c>
    </row>
    <row r="1024" spans="1:15" x14ac:dyDescent="0.25">
      <c r="A1024" s="4" t="s">
        <v>1037</v>
      </c>
      <c r="B1024" s="2" t="s">
        <v>3539</v>
      </c>
      <c r="C1024" s="2" t="s">
        <v>3869</v>
      </c>
      <c r="D1024" s="2" t="s">
        <v>3878</v>
      </c>
      <c r="E1024" s="3">
        <v>45122</v>
      </c>
      <c r="F1024" s="3">
        <v>45803</v>
      </c>
      <c r="G1024" s="2" t="s">
        <v>3884</v>
      </c>
      <c r="H1024" s="2">
        <v>466540</v>
      </c>
      <c r="I1024" s="2">
        <v>472369</v>
      </c>
      <c r="J1024" s="2" t="s">
        <v>3892</v>
      </c>
      <c r="K1024" s="2" t="s">
        <v>3896</v>
      </c>
      <c r="L1024" s="2">
        <v>2025</v>
      </c>
      <c r="M1024" s="2">
        <v>-5829</v>
      </c>
      <c r="N1024" s="2">
        <f xml:space="preserve"> (Table1[[#This Row],[Variance (USD)]] / Table1[[#This Row],[Actual Spending (USD)]]) * 100</f>
        <v>-1.2339929165546426</v>
      </c>
      <c r="O1024" s="5" t="s">
        <v>3897</v>
      </c>
    </row>
    <row r="1025" spans="1:15" x14ac:dyDescent="0.25">
      <c r="A1025" s="4" t="s">
        <v>1038</v>
      </c>
      <c r="B1025" s="2" t="s">
        <v>3304</v>
      </c>
      <c r="C1025" s="2" t="s">
        <v>3872</v>
      </c>
      <c r="D1025" s="2" t="s">
        <v>3877</v>
      </c>
      <c r="E1025" s="3">
        <v>45253</v>
      </c>
      <c r="F1025" s="3">
        <v>45376</v>
      </c>
      <c r="G1025" s="2" t="s">
        <v>3884</v>
      </c>
      <c r="H1025" s="2">
        <v>228270</v>
      </c>
      <c r="I1025" s="2">
        <v>1037886</v>
      </c>
      <c r="J1025" s="2" t="s">
        <v>3892</v>
      </c>
      <c r="K1025" s="2" t="s">
        <v>3895</v>
      </c>
      <c r="L1025" s="2">
        <v>2025</v>
      </c>
      <c r="M1025" s="2">
        <v>-809616</v>
      </c>
      <c r="N1025" s="2">
        <f xml:space="preserve"> (Table1[[#This Row],[Variance (USD)]] / Table1[[#This Row],[Actual Spending (USD)]]) * 100</f>
        <v>-78.006255022227876</v>
      </c>
      <c r="O1025" s="5" t="s">
        <v>3897</v>
      </c>
    </row>
    <row r="1026" spans="1:15" x14ac:dyDescent="0.25">
      <c r="A1026" s="4" t="s">
        <v>1039</v>
      </c>
      <c r="B1026" s="2" t="s">
        <v>3431</v>
      </c>
      <c r="C1026" s="2" t="s">
        <v>3868</v>
      </c>
      <c r="D1026" s="2" t="s">
        <v>3877</v>
      </c>
      <c r="E1026" s="3">
        <v>45244</v>
      </c>
      <c r="F1026" s="3">
        <v>45458</v>
      </c>
      <c r="G1026" s="2" t="s">
        <v>3886</v>
      </c>
      <c r="H1026" s="2">
        <v>162168</v>
      </c>
      <c r="I1026" s="2">
        <v>1074900</v>
      </c>
      <c r="J1026" s="2" t="s">
        <v>3890</v>
      </c>
      <c r="K1026" s="2" t="s">
        <v>3893</v>
      </c>
      <c r="L1026" s="2">
        <v>2025</v>
      </c>
      <c r="M1026" s="2">
        <v>-912732</v>
      </c>
      <c r="N1026" s="2">
        <f xml:space="preserve"> (Table1[[#This Row],[Variance (USD)]] / Table1[[#This Row],[Actual Spending (USD)]]) * 100</f>
        <v>-84.913201228021208</v>
      </c>
      <c r="O1026" s="5" t="s">
        <v>3899</v>
      </c>
    </row>
    <row r="1027" spans="1:15" x14ac:dyDescent="0.25">
      <c r="A1027" s="4" t="s">
        <v>1040</v>
      </c>
      <c r="B1027" s="2" t="s">
        <v>3608</v>
      </c>
      <c r="C1027" s="2" t="s">
        <v>3874</v>
      </c>
      <c r="D1027" s="2" t="s">
        <v>3882</v>
      </c>
      <c r="E1027" s="3">
        <v>45405</v>
      </c>
      <c r="F1027" s="3">
        <v>45675</v>
      </c>
      <c r="G1027" s="2" t="s">
        <v>3885</v>
      </c>
      <c r="H1027" s="2">
        <v>557026</v>
      </c>
      <c r="I1027" s="2">
        <v>921579</v>
      </c>
      <c r="J1027" s="2" t="s">
        <v>3891</v>
      </c>
      <c r="K1027" s="2" t="s">
        <v>3893</v>
      </c>
      <c r="L1027" s="2">
        <v>2023</v>
      </c>
      <c r="M1027" s="2">
        <v>-364553</v>
      </c>
      <c r="N1027" s="2">
        <f xml:space="preserve"> (Table1[[#This Row],[Variance (USD)]] / Table1[[#This Row],[Actual Spending (USD)]]) * 100</f>
        <v>-39.557433491865588</v>
      </c>
      <c r="O1027" s="5" t="s">
        <v>3898</v>
      </c>
    </row>
    <row r="1028" spans="1:15" x14ac:dyDescent="0.25">
      <c r="A1028" s="4" t="s">
        <v>1041</v>
      </c>
      <c r="B1028" s="2" t="s">
        <v>3392</v>
      </c>
      <c r="C1028" s="2" t="s">
        <v>3872</v>
      </c>
      <c r="D1028" s="2" t="s">
        <v>3883</v>
      </c>
      <c r="E1028" s="3">
        <v>45178</v>
      </c>
      <c r="F1028" s="3">
        <v>45759</v>
      </c>
      <c r="G1028" s="2" t="s">
        <v>3886</v>
      </c>
      <c r="H1028" s="2">
        <v>684101</v>
      </c>
      <c r="I1028" s="2">
        <v>873487</v>
      </c>
      <c r="J1028" s="2" t="s">
        <v>3891</v>
      </c>
      <c r="K1028" s="2" t="s">
        <v>3894</v>
      </c>
      <c r="L1028" s="2">
        <v>2024</v>
      </c>
      <c r="M1028" s="2">
        <v>-189386</v>
      </c>
      <c r="N1028" s="2">
        <f xml:space="preserve"> (Table1[[#This Row],[Variance (USD)]] / Table1[[#This Row],[Actual Spending (USD)]]) * 100</f>
        <v>-21.681604877920336</v>
      </c>
      <c r="O1028" s="5" t="s">
        <v>3899</v>
      </c>
    </row>
    <row r="1029" spans="1:15" x14ac:dyDescent="0.25">
      <c r="A1029" s="4" t="s">
        <v>1042</v>
      </c>
      <c r="B1029" s="2" t="s">
        <v>3121</v>
      </c>
      <c r="C1029" s="2" t="s">
        <v>3871</v>
      </c>
      <c r="D1029" s="2" t="s">
        <v>3877</v>
      </c>
      <c r="E1029" s="3">
        <v>45429</v>
      </c>
      <c r="F1029" s="3">
        <v>45363</v>
      </c>
      <c r="G1029" s="2" t="s">
        <v>3885</v>
      </c>
      <c r="H1029" s="2">
        <v>403923</v>
      </c>
      <c r="I1029" s="2">
        <v>639122</v>
      </c>
      <c r="J1029" s="2" t="s">
        <v>3889</v>
      </c>
      <c r="K1029" s="2" t="s">
        <v>3893</v>
      </c>
      <c r="L1029" s="2">
        <v>2025</v>
      </c>
      <c r="M1029" s="2">
        <v>-235199</v>
      </c>
      <c r="N1029" s="2">
        <f xml:space="preserve"> (Table1[[#This Row],[Variance (USD)]] / Table1[[#This Row],[Actual Spending (USD)]]) * 100</f>
        <v>-36.800329201623477</v>
      </c>
      <c r="O1029" s="5" t="s">
        <v>3898</v>
      </c>
    </row>
    <row r="1030" spans="1:15" x14ac:dyDescent="0.25">
      <c r="A1030" s="4" t="s">
        <v>1043</v>
      </c>
      <c r="B1030" s="2" t="s">
        <v>3567</v>
      </c>
      <c r="C1030" s="2" t="s">
        <v>3875</v>
      </c>
      <c r="D1030" s="2" t="s">
        <v>3878</v>
      </c>
      <c r="E1030" s="3">
        <v>45045</v>
      </c>
      <c r="F1030" s="3">
        <v>45812</v>
      </c>
      <c r="G1030" s="2" t="s">
        <v>3884</v>
      </c>
      <c r="H1030" s="2">
        <v>306960</v>
      </c>
      <c r="I1030" s="2">
        <v>969044</v>
      </c>
      <c r="J1030" s="2" t="s">
        <v>3889</v>
      </c>
      <c r="K1030" s="2" t="s">
        <v>3896</v>
      </c>
      <c r="L1030" s="2">
        <v>2023</v>
      </c>
      <c r="M1030" s="2">
        <v>-662084</v>
      </c>
      <c r="N1030" s="2">
        <f xml:space="preserve"> (Table1[[#This Row],[Variance (USD)]] / Table1[[#This Row],[Actual Spending (USD)]]) * 100</f>
        <v>-68.323419782796236</v>
      </c>
      <c r="O1030" s="5" t="s">
        <v>3897</v>
      </c>
    </row>
    <row r="1031" spans="1:15" x14ac:dyDescent="0.25">
      <c r="A1031" s="4" t="s">
        <v>1044</v>
      </c>
      <c r="B1031" s="2" t="s">
        <v>3609</v>
      </c>
      <c r="C1031" s="2" t="s">
        <v>3875</v>
      </c>
      <c r="D1031" s="2" t="s">
        <v>3877</v>
      </c>
      <c r="E1031" s="3">
        <v>45600</v>
      </c>
      <c r="F1031" s="3">
        <v>45764</v>
      </c>
      <c r="G1031" s="2" t="s">
        <v>3884</v>
      </c>
      <c r="H1031" s="2">
        <v>998520</v>
      </c>
      <c r="I1031" s="2">
        <v>782936</v>
      </c>
      <c r="J1031" s="2" t="s">
        <v>3891</v>
      </c>
      <c r="K1031" s="2" t="s">
        <v>3893</v>
      </c>
      <c r="L1031" s="2">
        <v>2025</v>
      </c>
      <c r="M1031" s="2">
        <v>215584</v>
      </c>
      <c r="N1031" s="2">
        <f xml:space="preserve"> (Table1[[#This Row],[Variance (USD)]] / Table1[[#This Row],[Actual Spending (USD)]]) * 100</f>
        <v>27.535328558145238</v>
      </c>
      <c r="O1031" s="5" t="s">
        <v>3897</v>
      </c>
    </row>
    <row r="1032" spans="1:15" x14ac:dyDescent="0.25">
      <c r="A1032" s="4" t="s">
        <v>1045</v>
      </c>
      <c r="B1032" s="2" t="s">
        <v>3533</v>
      </c>
      <c r="C1032" s="2" t="s">
        <v>3874</v>
      </c>
      <c r="D1032" s="2" t="s">
        <v>3882</v>
      </c>
      <c r="E1032" s="3">
        <v>45636</v>
      </c>
      <c r="F1032" s="3">
        <v>45549</v>
      </c>
      <c r="G1032" s="2" t="s">
        <v>3886</v>
      </c>
      <c r="H1032" s="2">
        <v>708554</v>
      </c>
      <c r="I1032" s="2">
        <v>76904</v>
      </c>
      <c r="J1032" s="2" t="s">
        <v>3889</v>
      </c>
      <c r="K1032" s="2" t="s">
        <v>3894</v>
      </c>
      <c r="L1032" s="2">
        <v>2024</v>
      </c>
      <c r="M1032" s="2">
        <v>631650</v>
      </c>
      <c r="N1032" s="2">
        <f xml:space="preserve"> (Table1[[#This Row],[Variance (USD)]] / Table1[[#This Row],[Actual Spending (USD)]]) * 100</f>
        <v>821.34869447623021</v>
      </c>
      <c r="O1032" s="5" t="s">
        <v>3899</v>
      </c>
    </row>
    <row r="1033" spans="1:15" x14ac:dyDescent="0.25">
      <c r="A1033" s="4" t="s">
        <v>1046</v>
      </c>
      <c r="B1033" s="2" t="s">
        <v>3610</v>
      </c>
      <c r="C1033" s="2" t="s">
        <v>3872</v>
      </c>
      <c r="D1033" s="2" t="s">
        <v>3879</v>
      </c>
      <c r="E1033" s="3">
        <v>45424</v>
      </c>
      <c r="F1033" s="3">
        <v>45566</v>
      </c>
      <c r="G1033" s="2" t="s">
        <v>3884</v>
      </c>
      <c r="H1033" s="2">
        <v>344542</v>
      </c>
      <c r="I1033" s="2">
        <v>1130896</v>
      </c>
      <c r="J1033" s="2" t="s">
        <v>3891</v>
      </c>
      <c r="K1033" s="2" t="s">
        <v>3895</v>
      </c>
      <c r="L1033" s="2">
        <v>2025</v>
      </c>
      <c r="M1033" s="2">
        <v>-786354</v>
      </c>
      <c r="N1033" s="2">
        <f xml:space="preserve"> (Table1[[#This Row],[Variance (USD)]] / Table1[[#This Row],[Actual Spending (USD)]]) * 100</f>
        <v>-69.533714859721854</v>
      </c>
      <c r="O1033" s="5" t="s">
        <v>3897</v>
      </c>
    </row>
    <row r="1034" spans="1:15" x14ac:dyDescent="0.25">
      <c r="A1034" s="4" t="s">
        <v>1047</v>
      </c>
      <c r="B1034" s="2" t="s">
        <v>3456</v>
      </c>
      <c r="C1034" s="2" t="s">
        <v>3873</v>
      </c>
      <c r="D1034" s="2" t="s">
        <v>3881</v>
      </c>
      <c r="E1034" s="3">
        <v>45412</v>
      </c>
      <c r="F1034" s="3">
        <v>45311</v>
      </c>
      <c r="G1034" s="2" t="s">
        <v>3884</v>
      </c>
      <c r="H1034" s="2">
        <v>316933</v>
      </c>
      <c r="I1034" s="2">
        <v>1173917</v>
      </c>
      <c r="J1034" s="2" t="s">
        <v>3890</v>
      </c>
      <c r="K1034" s="2" t="s">
        <v>3896</v>
      </c>
      <c r="L1034" s="2">
        <v>2024</v>
      </c>
      <c r="M1034" s="2">
        <v>-856984</v>
      </c>
      <c r="N1034" s="2">
        <f xml:space="preserve"> (Table1[[#This Row],[Variance (USD)]] / Table1[[#This Row],[Actual Spending (USD)]]) * 100</f>
        <v>-73.002094696643809</v>
      </c>
      <c r="O1034" s="5" t="s">
        <v>3897</v>
      </c>
    </row>
    <row r="1035" spans="1:15" x14ac:dyDescent="0.25">
      <c r="A1035" s="4" t="s">
        <v>1048</v>
      </c>
      <c r="B1035" s="2" t="s">
        <v>3260</v>
      </c>
      <c r="C1035" s="2" t="s">
        <v>3869</v>
      </c>
      <c r="D1035" s="2" t="s">
        <v>3877</v>
      </c>
      <c r="E1035" s="3">
        <v>44971</v>
      </c>
      <c r="F1035" s="3">
        <v>45781</v>
      </c>
      <c r="G1035" s="2" t="s">
        <v>3884</v>
      </c>
      <c r="H1035" s="2">
        <v>528911</v>
      </c>
      <c r="I1035" s="2">
        <v>812884</v>
      </c>
      <c r="J1035" s="2" t="s">
        <v>3889</v>
      </c>
      <c r="K1035" s="2" t="s">
        <v>3895</v>
      </c>
      <c r="L1035" s="2">
        <v>2023</v>
      </c>
      <c r="M1035" s="2">
        <v>-283973</v>
      </c>
      <c r="N1035" s="2">
        <f xml:space="preserve"> (Table1[[#This Row],[Variance (USD)]] / Table1[[#This Row],[Actual Spending (USD)]]) * 100</f>
        <v>-34.934012725062864</v>
      </c>
      <c r="O1035" s="5" t="s">
        <v>3897</v>
      </c>
    </row>
    <row r="1036" spans="1:15" x14ac:dyDescent="0.25">
      <c r="A1036" s="4" t="s">
        <v>1049</v>
      </c>
      <c r="B1036" s="2" t="s">
        <v>3318</v>
      </c>
      <c r="C1036" s="2" t="s">
        <v>3870</v>
      </c>
      <c r="D1036" s="2" t="s">
        <v>3876</v>
      </c>
      <c r="E1036" s="3">
        <v>45240</v>
      </c>
      <c r="F1036" s="3">
        <v>45781</v>
      </c>
      <c r="G1036" s="2" t="s">
        <v>3884</v>
      </c>
      <c r="H1036" s="2">
        <v>377111</v>
      </c>
      <c r="I1036" s="2">
        <v>819031</v>
      </c>
      <c r="J1036" s="2" t="s">
        <v>3891</v>
      </c>
      <c r="K1036" s="2" t="s">
        <v>3895</v>
      </c>
      <c r="L1036" s="2">
        <v>2023</v>
      </c>
      <c r="M1036" s="2">
        <v>-441920</v>
      </c>
      <c r="N1036" s="2">
        <f xml:space="preserve"> (Table1[[#This Row],[Variance (USD)]] / Table1[[#This Row],[Actual Spending (USD)]]) * 100</f>
        <v>-53.956443651095007</v>
      </c>
      <c r="O1036" s="5" t="s">
        <v>3897</v>
      </c>
    </row>
    <row r="1037" spans="1:15" x14ac:dyDescent="0.25">
      <c r="A1037" s="4" t="s">
        <v>1050</v>
      </c>
      <c r="B1037" s="2" t="s">
        <v>3611</v>
      </c>
      <c r="C1037" s="2" t="s">
        <v>3869</v>
      </c>
      <c r="D1037" s="2" t="s">
        <v>3879</v>
      </c>
      <c r="E1037" s="3">
        <v>45105</v>
      </c>
      <c r="F1037" s="3">
        <v>45617</v>
      </c>
      <c r="G1037" s="2" t="s">
        <v>3884</v>
      </c>
      <c r="H1037" s="2">
        <v>814302</v>
      </c>
      <c r="I1037" s="2">
        <v>770079</v>
      </c>
      <c r="J1037" s="2" t="s">
        <v>3889</v>
      </c>
      <c r="K1037" s="2" t="s">
        <v>3893</v>
      </c>
      <c r="L1037" s="2">
        <v>2024</v>
      </c>
      <c r="M1037" s="2">
        <v>44223</v>
      </c>
      <c r="N1037" s="2">
        <f xml:space="preserve"> (Table1[[#This Row],[Variance (USD)]] / Table1[[#This Row],[Actual Spending (USD)]]) * 100</f>
        <v>5.7426575714959114</v>
      </c>
      <c r="O1037" s="5" t="s">
        <v>3897</v>
      </c>
    </row>
    <row r="1038" spans="1:15" x14ac:dyDescent="0.25">
      <c r="A1038" s="4" t="s">
        <v>1051</v>
      </c>
      <c r="B1038" s="2" t="s">
        <v>3473</v>
      </c>
      <c r="C1038" s="2" t="s">
        <v>3869</v>
      </c>
      <c r="D1038" s="2" t="s">
        <v>3883</v>
      </c>
      <c r="E1038" s="3">
        <v>45344</v>
      </c>
      <c r="F1038" s="3">
        <v>45820</v>
      </c>
      <c r="G1038" s="2" t="s">
        <v>3884</v>
      </c>
      <c r="H1038" s="2">
        <v>242206</v>
      </c>
      <c r="I1038" s="2">
        <v>741525</v>
      </c>
      <c r="J1038" s="2" t="s">
        <v>3892</v>
      </c>
      <c r="K1038" s="2" t="s">
        <v>3893</v>
      </c>
      <c r="L1038" s="2">
        <v>2024</v>
      </c>
      <c r="M1038" s="2">
        <v>-499319</v>
      </c>
      <c r="N1038" s="2">
        <f xml:space="preserve"> (Table1[[#This Row],[Variance (USD)]] / Table1[[#This Row],[Actual Spending (USD)]]) * 100</f>
        <v>-67.336772192441259</v>
      </c>
      <c r="O1038" s="5" t="s">
        <v>3897</v>
      </c>
    </row>
    <row r="1039" spans="1:15" x14ac:dyDescent="0.25">
      <c r="A1039" s="4" t="s">
        <v>1052</v>
      </c>
      <c r="B1039" s="2" t="s">
        <v>3356</v>
      </c>
      <c r="C1039" s="2" t="s">
        <v>3874</v>
      </c>
      <c r="D1039" s="2" t="s">
        <v>3876</v>
      </c>
      <c r="E1039" s="3">
        <v>45482</v>
      </c>
      <c r="F1039" s="3">
        <v>45380</v>
      </c>
      <c r="G1039" s="2" t="s">
        <v>3884</v>
      </c>
      <c r="H1039" s="2">
        <v>311041</v>
      </c>
      <c r="I1039" s="2">
        <v>554306</v>
      </c>
      <c r="J1039" s="2" t="s">
        <v>3892</v>
      </c>
      <c r="K1039" s="2" t="s">
        <v>3894</v>
      </c>
      <c r="L1039" s="2">
        <v>2023</v>
      </c>
      <c r="M1039" s="2">
        <v>-243265</v>
      </c>
      <c r="N1039" s="2">
        <f xml:space="preserve"> (Table1[[#This Row],[Variance (USD)]] / Table1[[#This Row],[Actual Spending (USD)]]) * 100</f>
        <v>-43.886409311824153</v>
      </c>
      <c r="O1039" s="5" t="s">
        <v>3897</v>
      </c>
    </row>
    <row r="1040" spans="1:15" x14ac:dyDescent="0.25">
      <c r="A1040" s="4" t="s">
        <v>1053</v>
      </c>
      <c r="B1040" s="2" t="s">
        <v>3612</v>
      </c>
      <c r="C1040" s="2" t="s">
        <v>3871</v>
      </c>
      <c r="D1040" s="2" t="s">
        <v>3878</v>
      </c>
      <c r="E1040" s="3">
        <v>45004</v>
      </c>
      <c r="F1040" s="3">
        <v>45777</v>
      </c>
      <c r="G1040" s="2" t="s">
        <v>3886</v>
      </c>
      <c r="H1040" s="2">
        <v>251958</v>
      </c>
      <c r="I1040" s="2">
        <v>161930</v>
      </c>
      <c r="J1040" s="2" t="s">
        <v>3888</v>
      </c>
      <c r="K1040" s="2" t="s">
        <v>3893</v>
      </c>
      <c r="L1040" s="2">
        <v>2024</v>
      </c>
      <c r="M1040" s="2">
        <v>90028</v>
      </c>
      <c r="N1040" s="2">
        <f xml:space="preserve"> (Table1[[#This Row],[Variance (USD)]] / Table1[[#This Row],[Actual Spending (USD)]]) * 100</f>
        <v>55.596862841968751</v>
      </c>
      <c r="O1040" s="5" t="s">
        <v>3899</v>
      </c>
    </row>
    <row r="1041" spans="1:15" x14ac:dyDescent="0.25">
      <c r="A1041" s="4" t="s">
        <v>1054</v>
      </c>
      <c r="B1041" s="2" t="s">
        <v>3613</v>
      </c>
      <c r="C1041" s="2" t="s">
        <v>3869</v>
      </c>
      <c r="D1041" s="2" t="s">
        <v>3881</v>
      </c>
      <c r="E1041" s="3">
        <v>45252</v>
      </c>
      <c r="F1041" s="3">
        <v>45999</v>
      </c>
      <c r="G1041" s="2" t="s">
        <v>3884</v>
      </c>
      <c r="H1041" s="2">
        <v>410981</v>
      </c>
      <c r="I1041" s="2">
        <v>363060</v>
      </c>
      <c r="J1041" s="2" t="s">
        <v>3891</v>
      </c>
      <c r="K1041" s="2" t="s">
        <v>3893</v>
      </c>
      <c r="L1041" s="2">
        <v>2024</v>
      </c>
      <c r="M1041" s="2">
        <v>47921</v>
      </c>
      <c r="N1041" s="2">
        <f xml:space="preserve"> (Table1[[#This Row],[Variance (USD)]] / Table1[[#This Row],[Actual Spending (USD)]]) * 100</f>
        <v>13.199195725224481</v>
      </c>
      <c r="O1041" s="5" t="s">
        <v>3897</v>
      </c>
    </row>
    <row r="1042" spans="1:15" x14ac:dyDescent="0.25">
      <c r="A1042" s="4" t="s">
        <v>1055</v>
      </c>
      <c r="B1042" s="2" t="s">
        <v>3589</v>
      </c>
      <c r="C1042" s="2" t="s">
        <v>3875</v>
      </c>
      <c r="D1042" s="2" t="s">
        <v>3878</v>
      </c>
      <c r="E1042" s="3">
        <v>45616</v>
      </c>
      <c r="F1042" s="3">
        <v>45641</v>
      </c>
      <c r="G1042" s="2" t="s">
        <v>3884</v>
      </c>
      <c r="H1042" s="2">
        <v>206049</v>
      </c>
      <c r="I1042" s="2">
        <v>613058</v>
      </c>
      <c r="J1042" s="2" t="s">
        <v>3888</v>
      </c>
      <c r="K1042" s="2" t="s">
        <v>3895</v>
      </c>
      <c r="L1042" s="2">
        <v>2025</v>
      </c>
      <c r="M1042" s="2">
        <v>-407009</v>
      </c>
      <c r="N1042" s="2">
        <f xml:space="preserve"> (Table1[[#This Row],[Variance (USD)]] / Table1[[#This Row],[Actual Spending (USD)]]) * 100</f>
        <v>-66.389966365335738</v>
      </c>
      <c r="O1042" s="5" t="s">
        <v>3897</v>
      </c>
    </row>
    <row r="1043" spans="1:15" x14ac:dyDescent="0.25">
      <c r="A1043" s="4" t="s">
        <v>1056</v>
      </c>
      <c r="B1043" s="2" t="s">
        <v>3225</v>
      </c>
      <c r="C1043" s="2" t="s">
        <v>3871</v>
      </c>
      <c r="D1043" s="2" t="s">
        <v>3881</v>
      </c>
      <c r="E1043" s="3">
        <v>45283</v>
      </c>
      <c r="F1043" s="3">
        <v>45375</v>
      </c>
      <c r="G1043" s="2" t="s">
        <v>3884</v>
      </c>
      <c r="H1043" s="2">
        <v>151967</v>
      </c>
      <c r="I1043" s="2">
        <v>853919</v>
      </c>
      <c r="J1043" s="2" t="s">
        <v>3891</v>
      </c>
      <c r="K1043" s="2" t="s">
        <v>3896</v>
      </c>
      <c r="L1043" s="2">
        <v>2023</v>
      </c>
      <c r="M1043" s="2">
        <v>-701952</v>
      </c>
      <c r="N1043" s="2">
        <f xml:space="preserve"> (Table1[[#This Row],[Variance (USD)]] / Table1[[#This Row],[Actual Spending (USD)]]) * 100</f>
        <v>-82.203581370129953</v>
      </c>
      <c r="O1043" s="5" t="s">
        <v>3897</v>
      </c>
    </row>
    <row r="1044" spans="1:15" x14ac:dyDescent="0.25">
      <c r="A1044" s="4" t="s">
        <v>1057</v>
      </c>
      <c r="B1044" s="2" t="s">
        <v>3614</v>
      </c>
      <c r="C1044" s="2" t="s">
        <v>3868</v>
      </c>
      <c r="D1044" s="2" t="s">
        <v>3881</v>
      </c>
      <c r="E1044" s="3">
        <v>45342</v>
      </c>
      <c r="F1044" s="3">
        <v>45678</v>
      </c>
      <c r="G1044" s="2" t="s">
        <v>3884</v>
      </c>
      <c r="H1044" s="2">
        <v>443345</v>
      </c>
      <c r="I1044" s="2">
        <v>174015</v>
      </c>
      <c r="J1044" s="2" t="s">
        <v>3889</v>
      </c>
      <c r="K1044" s="2" t="s">
        <v>3893</v>
      </c>
      <c r="L1044" s="2">
        <v>2023</v>
      </c>
      <c r="M1044" s="2">
        <v>269330</v>
      </c>
      <c r="N1044" s="2">
        <f xml:space="preserve"> (Table1[[#This Row],[Variance (USD)]] / Table1[[#This Row],[Actual Spending (USD)]]) * 100</f>
        <v>154.7740137344482</v>
      </c>
      <c r="O1044" s="5" t="s">
        <v>3897</v>
      </c>
    </row>
    <row r="1045" spans="1:15" x14ac:dyDescent="0.25">
      <c r="A1045" s="4" t="s">
        <v>1058</v>
      </c>
      <c r="B1045" s="2" t="s">
        <v>3615</v>
      </c>
      <c r="C1045" s="2" t="s">
        <v>3869</v>
      </c>
      <c r="D1045" s="2" t="s">
        <v>3878</v>
      </c>
      <c r="E1045" s="3">
        <v>45441</v>
      </c>
      <c r="F1045" s="3">
        <v>45378</v>
      </c>
      <c r="G1045" s="2" t="s">
        <v>3886</v>
      </c>
      <c r="H1045" s="2">
        <v>371827</v>
      </c>
      <c r="I1045" s="2">
        <v>526383</v>
      </c>
      <c r="J1045" s="2" t="s">
        <v>3891</v>
      </c>
      <c r="K1045" s="2" t="s">
        <v>3896</v>
      </c>
      <c r="L1045" s="2">
        <v>2024</v>
      </c>
      <c r="M1045" s="2">
        <v>-154556</v>
      </c>
      <c r="N1045" s="2">
        <f xml:space="preserve"> (Table1[[#This Row],[Variance (USD)]] / Table1[[#This Row],[Actual Spending (USD)]]) * 100</f>
        <v>-29.361890486584862</v>
      </c>
      <c r="O1045" s="5" t="s">
        <v>3899</v>
      </c>
    </row>
    <row r="1046" spans="1:15" x14ac:dyDescent="0.25">
      <c r="A1046" s="4" t="s">
        <v>1059</v>
      </c>
      <c r="B1046" s="2" t="s">
        <v>3616</v>
      </c>
      <c r="C1046" s="2" t="s">
        <v>3869</v>
      </c>
      <c r="D1046" s="2" t="s">
        <v>3876</v>
      </c>
      <c r="E1046" s="3">
        <v>45140</v>
      </c>
      <c r="F1046" s="3">
        <v>45598</v>
      </c>
      <c r="G1046" s="2" t="s">
        <v>3886</v>
      </c>
      <c r="H1046" s="2">
        <v>357475</v>
      </c>
      <c r="I1046" s="2">
        <v>132342</v>
      </c>
      <c r="J1046" s="2" t="s">
        <v>3892</v>
      </c>
      <c r="K1046" s="2" t="s">
        <v>3893</v>
      </c>
      <c r="L1046" s="2">
        <v>2024</v>
      </c>
      <c r="M1046" s="2">
        <v>225133</v>
      </c>
      <c r="N1046" s="2">
        <f xml:space="preserve"> (Table1[[#This Row],[Variance (USD)]] / Table1[[#This Row],[Actual Spending (USD)]]) * 100</f>
        <v>170.11455169182875</v>
      </c>
      <c r="O1046" s="5" t="s">
        <v>3899</v>
      </c>
    </row>
    <row r="1047" spans="1:15" x14ac:dyDescent="0.25">
      <c r="A1047" s="4" t="s">
        <v>1060</v>
      </c>
      <c r="B1047" s="2" t="s">
        <v>3617</v>
      </c>
      <c r="C1047" s="2" t="s">
        <v>3868</v>
      </c>
      <c r="D1047" s="2" t="s">
        <v>3876</v>
      </c>
      <c r="E1047" s="3">
        <v>45000</v>
      </c>
      <c r="F1047" s="3">
        <v>45445</v>
      </c>
      <c r="G1047" s="2" t="s">
        <v>3886</v>
      </c>
      <c r="H1047" s="2">
        <v>298719</v>
      </c>
      <c r="I1047" s="2">
        <v>615745</v>
      </c>
      <c r="J1047" s="2" t="s">
        <v>3889</v>
      </c>
      <c r="K1047" s="2" t="s">
        <v>3893</v>
      </c>
      <c r="L1047" s="2">
        <v>2024</v>
      </c>
      <c r="M1047" s="2">
        <v>-317026</v>
      </c>
      <c r="N1047" s="2">
        <f xml:space="preserve"> (Table1[[#This Row],[Variance (USD)]] / Table1[[#This Row],[Actual Spending (USD)]]) * 100</f>
        <v>-51.486573175584049</v>
      </c>
      <c r="O1047" s="5" t="s">
        <v>3899</v>
      </c>
    </row>
    <row r="1048" spans="1:15" x14ac:dyDescent="0.25">
      <c r="A1048" s="4" t="s">
        <v>1061</v>
      </c>
      <c r="B1048" s="2" t="s">
        <v>3316</v>
      </c>
      <c r="C1048" s="2" t="s">
        <v>3869</v>
      </c>
      <c r="D1048" s="2" t="s">
        <v>3881</v>
      </c>
      <c r="E1048" s="3">
        <v>45489</v>
      </c>
      <c r="F1048" s="3">
        <v>45731</v>
      </c>
      <c r="G1048" s="2" t="s">
        <v>3884</v>
      </c>
      <c r="H1048" s="2">
        <v>871058</v>
      </c>
      <c r="I1048" s="2">
        <v>827826</v>
      </c>
      <c r="J1048" s="2" t="s">
        <v>3892</v>
      </c>
      <c r="K1048" s="2" t="s">
        <v>3894</v>
      </c>
      <c r="L1048" s="2">
        <v>2023</v>
      </c>
      <c r="M1048" s="2">
        <v>43232</v>
      </c>
      <c r="N1048" s="2">
        <f xml:space="preserve"> (Table1[[#This Row],[Variance (USD)]] / Table1[[#This Row],[Actual Spending (USD)]]) * 100</f>
        <v>5.2223534897430142</v>
      </c>
      <c r="O1048" s="5" t="s">
        <v>3897</v>
      </c>
    </row>
    <row r="1049" spans="1:15" x14ac:dyDescent="0.25">
      <c r="A1049" s="4" t="s">
        <v>1062</v>
      </c>
      <c r="B1049" s="2" t="s">
        <v>3184</v>
      </c>
      <c r="C1049" s="2" t="s">
        <v>3868</v>
      </c>
      <c r="D1049" s="2" t="s">
        <v>3876</v>
      </c>
      <c r="E1049" s="3">
        <v>45505</v>
      </c>
      <c r="F1049" s="3">
        <v>45555</v>
      </c>
      <c r="G1049" s="2" t="s">
        <v>3886</v>
      </c>
      <c r="H1049" s="2">
        <v>491719</v>
      </c>
      <c r="I1049" s="2">
        <v>547912</v>
      </c>
      <c r="J1049" s="2" t="s">
        <v>3889</v>
      </c>
      <c r="K1049" s="2" t="s">
        <v>3893</v>
      </c>
      <c r="L1049" s="2">
        <v>2025</v>
      </c>
      <c r="M1049" s="2">
        <v>-56193</v>
      </c>
      <c r="N1049" s="2">
        <f xml:space="preserve"> (Table1[[#This Row],[Variance (USD)]] / Table1[[#This Row],[Actual Spending (USD)]]) * 100</f>
        <v>-10.255844004146651</v>
      </c>
      <c r="O1049" s="5" t="s">
        <v>3899</v>
      </c>
    </row>
    <row r="1050" spans="1:15" x14ac:dyDescent="0.25">
      <c r="A1050" s="4" t="s">
        <v>1063</v>
      </c>
      <c r="B1050" s="2" t="s">
        <v>3316</v>
      </c>
      <c r="C1050" s="2" t="s">
        <v>3871</v>
      </c>
      <c r="D1050" s="2" t="s">
        <v>3881</v>
      </c>
      <c r="E1050" s="3">
        <v>45435</v>
      </c>
      <c r="F1050" s="3">
        <v>45712</v>
      </c>
      <c r="G1050" s="2" t="s">
        <v>3886</v>
      </c>
      <c r="H1050" s="2">
        <v>208621</v>
      </c>
      <c r="I1050" s="2">
        <v>416804</v>
      </c>
      <c r="J1050" s="2" t="s">
        <v>3891</v>
      </c>
      <c r="K1050" s="2" t="s">
        <v>3894</v>
      </c>
      <c r="L1050" s="2">
        <v>2023</v>
      </c>
      <c r="M1050" s="2">
        <v>-208183</v>
      </c>
      <c r="N1050" s="2">
        <f xml:space="preserve"> (Table1[[#This Row],[Variance (USD)]] / Table1[[#This Row],[Actual Spending (USD)]]) * 100</f>
        <v>-49.947457318067968</v>
      </c>
      <c r="O1050" s="5" t="s">
        <v>3899</v>
      </c>
    </row>
    <row r="1051" spans="1:15" x14ac:dyDescent="0.25">
      <c r="A1051" s="4" t="s">
        <v>1064</v>
      </c>
      <c r="B1051" s="2" t="s">
        <v>3618</v>
      </c>
      <c r="C1051" s="2" t="s">
        <v>3875</v>
      </c>
      <c r="D1051" s="2" t="s">
        <v>3882</v>
      </c>
      <c r="E1051" s="3">
        <v>45258</v>
      </c>
      <c r="F1051" s="3">
        <v>45784</v>
      </c>
      <c r="G1051" s="2" t="s">
        <v>3884</v>
      </c>
      <c r="H1051" s="2">
        <v>586630</v>
      </c>
      <c r="I1051" s="2">
        <v>664887</v>
      </c>
      <c r="J1051" s="2" t="s">
        <v>3891</v>
      </c>
      <c r="K1051" s="2" t="s">
        <v>3895</v>
      </c>
      <c r="L1051" s="2">
        <v>2025</v>
      </c>
      <c r="M1051" s="2">
        <v>-78257</v>
      </c>
      <c r="N1051" s="2">
        <f xml:space="preserve"> (Table1[[#This Row],[Variance (USD)]] / Table1[[#This Row],[Actual Spending (USD)]]) * 100</f>
        <v>-11.769969934740789</v>
      </c>
      <c r="O1051" s="5" t="s">
        <v>3897</v>
      </c>
    </row>
    <row r="1052" spans="1:15" x14ac:dyDescent="0.25">
      <c r="A1052" s="4" t="s">
        <v>1065</v>
      </c>
      <c r="B1052" s="2" t="s">
        <v>3619</v>
      </c>
      <c r="C1052" s="2" t="s">
        <v>3868</v>
      </c>
      <c r="D1052" s="2" t="s">
        <v>3881</v>
      </c>
      <c r="E1052" s="3">
        <v>45019</v>
      </c>
      <c r="F1052" s="3">
        <v>45924</v>
      </c>
      <c r="G1052" s="2" t="s">
        <v>3884</v>
      </c>
      <c r="H1052" s="2">
        <v>872849</v>
      </c>
      <c r="I1052" s="2">
        <v>154221</v>
      </c>
      <c r="J1052" s="2" t="s">
        <v>3892</v>
      </c>
      <c r="K1052" s="2" t="s">
        <v>3896</v>
      </c>
      <c r="L1052" s="2">
        <v>2024</v>
      </c>
      <c r="M1052" s="2">
        <v>718628</v>
      </c>
      <c r="N1052" s="2">
        <f xml:space="preserve"> (Table1[[#This Row],[Variance (USD)]] / Table1[[#This Row],[Actual Spending (USD)]]) * 100</f>
        <v>465.97285713359395</v>
      </c>
      <c r="O1052" s="5" t="s">
        <v>3897</v>
      </c>
    </row>
    <row r="1053" spans="1:15" x14ac:dyDescent="0.25">
      <c r="A1053" s="4" t="s">
        <v>1066</v>
      </c>
      <c r="B1053" s="2" t="s">
        <v>3226</v>
      </c>
      <c r="C1053" s="2" t="s">
        <v>3873</v>
      </c>
      <c r="D1053" s="2" t="s">
        <v>3882</v>
      </c>
      <c r="E1053" s="3">
        <v>45614</v>
      </c>
      <c r="F1053" s="3">
        <v>45702</v>
      </c>
      <c r="G1053" s="2" t="s">
        <v>3884</v>
      </c>
      <c r="H1053" s="2">
        <v>781874</v>
      </c>
      <c r="I1053" s="2">
        <v>1155894</v>
      </c>
      <c r="J1053" s="2" t="s">
        <v>3890</v>
      </c>
      <c r="K1053" s="2" t="s">
        <v>3893</v>
      </c>
      <c r="L1053" s="2">
        <v>2023</v>
      </c>
      <c r="M1053" s="2">
        <v>-374020</v>
      </c>
      <c r="N1053" s="2">
        <f xml:space="preserve"> (Table1[[#This Row],[Variance (USD)]] / Table1[[#This Row],[Actual Spending (USD)]]) * 100</f>
        <v>-32.357638330158302</v>
      </c>
      <c r="O1053" s="5" t="s">
        <v>3897</v>
      </c>
    </row>
    <row r="1054" spans="1:15" x14ac:dyDescent="0.25">
      <c r="A1054" s="4" t="s">
        <v>1067</v>
      </c>
      <c r="B1054" s="2" t="s">
        <v>3620</v>
      </c>
      <c r="C1054" s="2" t="s">
        <v>3874</v>
      </c>
      <c r="D1054" s="2" t="s">
        <v>3879</v>
      </c>
      <c r="E1054" s="3">
        <v>45583</v>
      </c>
      <c r="F1054" s="3">
        <v>45464</v>
      </c>
      <c r="G1054" s="2" t="s">
        <v>3886</v>
      </c>
      <c r="H1054" s="2">
        <v>757609</v>
      </c>
      <c r="I1054" s="2">
        <v>1049530</v>
      </c>
      <c r="J1054" s="2" t="s">
        <v>3891</v>
      </c>
      <c r="K1054" s="2" t="s">
        <v>3894</v>
      </c>
      <c r="L1054" s="2">
        <v>2025</v>
      </c>
      <c r="M1054" s="2">
        <v>-291921</v>
      </c>
      <c r="N1054" s="2">
        <f xml:space="preserve"> (Table1[[#This Row],[Variance (USD)]] / Table1[[#This Row],[Actual Spending (USD)]]) * 100</f>
        <v>-27.814450277743369</v>
      </c>
      <c r="O1054" s="5" t="s">
        <v>3899</v>
      </c>
    </row>
    <row r="1055" spans="1:15" x14ac:dyDescent="0.25">
      <c r="A1055" s="4" t="s">
        <v>1068</v>
      </c>
      <c r="B1055" s="2" t="s">
        <v>3411</v>
      </c>
      <c r="C1055" s="2" t="s">
        <v>3874</v>
      </c>
      <c r="D1055" s="2" t="s">
        <v>3880</v>
      </c>
      <c r="E1055" s="3">
        <v>45445</v>
      </c>
      <c r="F1055" s="3">
        <v>45295</v>
      </c>
      <c r="G1055" s="2" t="s">
        <v>3886</v>
      </c>
      <c r="H1055" s="2">
        <v>889096</v>
      </c>
      <c r="I1055" s="2">
        <v>1024670</v>
      </c>
      <c r="J1055" s="2" t="s">
        <v>3890</v>
      </c>
      <c r="K1055" s="2" t="s">
        <v>3895</v>
      </c>
      <c r="L1055" s="2">
        <v>2023</v>
      </c>
      <c r="M1055" s="2">
        <v>-135574</v>
      </c>
      <c r="N1055" s="2">
        <f xml:space="preserve"> (Table1[[#This Row],[Variance (USD)]] / Table1[[#This Row],[Actual Spending (USD)]]) * 100</f>
        <v>-13.230991441146905</v>
      </c>
      <c r="O1055" s="5" t="s">
        <v>3899</v>
      </c>
    </row>
    <row r="1056" spans="1:15" x14ac:dyDescent="0.25">
      <c r="A1056" s="4" t="s">
        <v>1069</v>
      </c>
      <c r="B1056" s="2" t="s">
        <v>3381</v>
      </c>
      <c r="C1056" s="2" t="s">
        <v>3868</v>
      </c>
      <c r="D1056" s="2" t="s">
        <v>3879</v>
      </c>
      <c r="E1056" s="3">
        <v>45195</v>
      </c>
      <c r="F1056" s="3">
        <v>45931</v>
      </c>
      <c r="G1056" s="2" t="s">
        <v>3884</v>
      </c>
      <c r="H1056" s="2">
        <v>813076</v>
      </c>
      <c r="I1056" s="2">
        <v>344856</v>
      </c>
      <c r="J1056" s="2" t="s">
        <v>3889</v>
      </c>
      <c r="K1056" s="2" t="s">
        <v>3893</v>
      </c>
      <c r="L1056" s="2">
        <v>2025</v>
      </c>
      <c r="M1056" s="2">
        <v>468220</v>
      </c>
      <c r="N1056" s="2">
        <f xml:space="preserve"> (Table1[[#This Row],[Variance (USD)]] / Table1[[#This Row],[Actual Spending (USD)]]) * 100</f>
        <v>135.77261233674344</v>
      </c>
      <c r="O1056" s="5" t="s">
        <v>3897</v>
      </c>
    </row>
    <row r="1057" spans="1:15" x14ac:dyDescent="0.25">
      <c r="A1057" s="4" t="s">
        <v>1070</v>
      </c>
      <c r="B1057" s="2" t="s">
        <v>3243</v>
      </c>
      <c r="C1057" s="2" t="s">
        <v>3874</v>
      </c>
      <c r="D1057" s="2" t="s">
        <v>3878</v>
      </c>
      <c r="E1057" s="3">
        <v>45302</v>
      </c>
      <c r="F1057" s="3">
        <v>45763</v>
      </c>
      <c r="G1057" s="2" t="s">
        <v>3886</v>
      </c>
      <c r="H1057" s="2">
        <v>845265</v>
      </c>
      <c r="I1057" s="2">
        <v>815072</v>
      </c>
      <c r="J1057" s="2" t="s">
        <v>3890</v>
      </c>
      <c r="K1057" s="2" t="s">
        <v>3894</v>
      </c>
      <c r="L1057" s="2">
        <v>2025</v>
      </c>
      <c r="M1057" s="2">
        <v>30193</v>
      </c>
      <c r="N1057" s="2">
        <f xml:space="preserve"> (Table1[[#This Row],[Variance (USD)]] / Table1[[#This Row],[Actual Spending (USD)]]) * 100</f>
        <v>3.7043353225236544</v>
      </c>
      <c r="O1057" s="5" t="s">
        <v>3899</v>
      </c>
    </row>
    <row r="1058" spans="1:15" x14ac:dyDescent="0.25">
      <c r="A1058" s="4" t="s">
        <v>1071</v>
      </c>
      <c r="B1058" s="2" t="s">
        <v>3621</v>
      </c>
      <c r="C1058" s="2" t="s">
        <v>3869</v>
      </c>
      <c r="D1058" s="2" t="s">
        <v>3880</v>
      </c>
      <c r="E1058" s="3">
        <v>44930</v>
      </c>
      <c r="F1058" s="3">
        <v>45401</v>
      </c>
      <c r="G1058" s="2" t="s">
        <v>3884</v>
      </c>
      <c r="H1058" s="2">
        <v>897090</v>
      </c>
      <c r="I1058" s="2">
        <v>544021</v>
      </c>
      <c r="J1058" s="2" t="s">
        <v>3892</v>
      </c>
      <c r="K1058" s="2" t="s">
        <v>3894</v>
      </c>
      <c r="L1058" s="2">
        <v>2023</v>
      </c>
      <c r="M1058" s="2">
        <v>353069</v>
      </c>
      <c r="N1058" s="2">
        <f xml:space="preserve"> (Table1[[#This Row],[Variance (USD)]] / Table1[[#This Row],[Actual Spending (USD)]]) * 100</f>
        <v>64.899884379463288</v>
      </c>
      <c r="O1058" s="5" t="s">
        <v>3897</v>
      </c>
    </row>
    <row r="1059" spans="1:15" x14ac:dyDescent="0.25">
      <c r="A1059" s="4" t="s">
        <v>1072</v>
      </c>
      <c r="B1059" s="2" t="s">
        <v>3170</v>
      </c>
      <c r="C1059" s="2" t="s">
        <v>3870</v>
      </c>
      <c r="D1059" s="2" t="s">
        <v>3877</v>
      </c>
      <c r="E1059" s="3">
        <v>45064</v>
      </c>
      <c r="F1059" s="3">
        <v>45328</v>
      </c>
      <c r="G1059" s="2" t="s">
        <v>3884</v>
      </c>
      <c r="H1059" s="2">
        <v>555655</v>
      </c>
      <c r="I1059" s="2">
        <v>864673</v>
      </c>
      <c r="J1059" s="2" t="s">
        <v>3888</v>
      </c>
      <c r="K1059" s="2" t="s">
        <v>3895</v>
      </c>
      <c r="L1059" s="2">
        <v>2024</v>
      </c>
      <c r="M1059" s="2">
        <v>-309018</v>
      </c>
      <c r="N1059" s="2">
        <f xml:space="preserve"> (Table1[[#This Row],[Variance (USD)]] / Table1[[#This Row],[Actual Spending (USD)]]) * 100</f>
        <v>-35.738134531782535</v>
      </c>
      <c r="O1059" s="5" t="s">
        <v>3897</v>
      </c>
    </row>
    <row r="1060" spans="1:15" x14ac:dyDescent="0.25">
      <c r="A1060" s="4" t="s">
        <v>1073</v>
      </c>
      <c r="B1060" s="2" t="s">
        <v>3622</v>
      </c>
      <c r="C1060" s="2" t="s">
        <v>3870</v>
      </c>
      <c r="D1060" s="2" t="s">
        <v>3878</v>
      </c>
      <c r="E1060" s="3">
        <v>45157</v>
      </c>
      <c r="F1060" s="3">
        <v>45874</v>
      </c>
      <c r="G1060" s="2" t="s">
        <v>3887</v>
      </c>
      <c r="H1060" s="2">
        <v>280099</v>
      </c>
      <c r="I1060" s="2">
        <v>577521</v>
      </c>
      <c r="J1060" s="2" t="s">
        <v>3888</v>
      </c>
      <c r="K1060" s="2" t="s">
        <v>3893</v>
      </c>
      <c r="L1060" s="2">
        <v>2023</v>
      </c>
      <c r="M1060" s="2">
        <v>-297422</v>
      </c>
      <c r="N1060" s="2">
        <f xml:space="preserve"> (Table1[[#This Row],[Variance (USD)]] / Table1[[#This Row],[Actual Spending (USD)]]) * 100</f>
        <v>-51.499772302652204</v>
      </c>
      <c r="O1060" s="5" t="s">
        <v>3900</v>
      </c>
    </row>
    <row r="1061" spans="1:15" x14ac:dyDescent="0.25">
      <c r="A1061" s="4" t="s">
        <v>1074</v>
      </c>
      <c r="B1061" s="2" t="s">
        <v>3404</v>
      </c>
      <c r="C1061" s="2" t="s">
        <v>3874</v>
      </c>
      <c r="D1061" s="2" t="s">
        <v>3883</v>
      </c>
      <c r="E1061" s="3">
        <v>45526</v>
      </c>
      <c r="F1061" s="3">
        <v>45322</v>
      </c>
      <c r="G1061" s="2" t="s">
        <v>3887</v>
      </c>
      <c r="H1061" s="2">
        <v>996977</v>
      </c>
      <c r="I1061" s="2">
        <v>196083</v>
      </c>
      <c r="J1061" s="2" t="s">
        <v>3892</v>
      </c>
      <c r="K1061" s="2" t="s">
        <v>3893</v>
      </c>
      <c r="L1061" s="2">
        <v>2024</v>
      </c>
      <c r="M1061" s="2">
        <v>800894</v>
      </c>
      <c r="N1061" s="2">
        <f xml:space="preserve"> (Table1[[#This Row],[Variance (USD)]] / Table1[[#This Row],[Actual Spending (USD)]]) * 100</f>
        <v>408.44642319833946</v>
      </c>
      <c r="O1061" s="5" t="s">
        <v>3900</v>
      </c>
    </row>
    <row r="1062" spans="1:15" x14ac:dyDescent="0.25">
      <c r="A1062" s="4" t="s">
        <v>1075</v>
      </c>
      <c r="B1062" s="2" t="s">
        <v>3056</v>
      </c>
      <c r="C1062" s="2" t="s">
        <v>3871</v>
      </c>
      <c r="D1062" s="2" t="s">
        <v>3879</v>
      </c>
      <c r="E1062" s="3">
        <v>45455</v>
      </c>
      <c r="F1062" s="3">
        <v>45672</v>
      </c>
      <c r="G1062" s="2" t="s">
        <v>3884</v>
      </c>
      <c r="H1062" s="2">
        <v>968241</v>
      </c>
      <c r="I1062" s="2">
        <v>824609</v>
      </c>
      <c r="J1062" s="2" t="s">
        <v>3888</v>
      </c>
      <c r="K1062" s="2" t="s">
        <v>3896</v>
      </c>
      <c r="L1062" s="2">
        <v>2025</v>
      </c>
      <c r="M1062" s="2">
        <v>143632</v>
      </c>
      <c r="N1062" s="2">
        <f xml:space="preserve"> (Table1[[#This Row],[Variance (USD)]] / Table1[[#This Row],[Actual Spending (USD)]]) * 100</f>
        <v>17.418194562513868</v>
      </c>
      <c r="O1062" s="5" t="s">
        <v>3897</v>
      </c>
    </row>
    <row r="1063" spans="1:15" x14ac:dyDescent="0.25">
      <c r="A1063" s="4" t="s">
        <v>1076</v>
      </c>
      <c r="B1063" s="2" t="s">
        <v>3331</v>
      </c>
      <c r="C1063" s="2" t="s">
        <v>3872</v>
      </c>
      <c r="D1063" s="2" t="s">
        <v>3876</v>
      </c>
      <c r="E1063" s="3">
        <v>44978</v>
      </c>
      <c r="F1063" s="3">
        <v>45559</v>
      </c>
      <c r="G1063" s="2" t="s">
        <v>3884</v>
      </c>
      <c r="H1063" s="2">
        <v>931397</v>
      </c>
      <c r="I1063" s="2">
        <v>553099</v>
      </c>
      <c r="J1063" s="2" t="s">
        <v>3892</v>
      </c>
      <c r="K1063" s="2" t="s">
        <v>3893</v>
      </c>
      <c r="L1063" s="2">
        <v>2025</v>
      </c>
      <c r="M1063" s="2">
        <v>378298</v>
      </c>
      <c r="N1063" s="2">
        <f xml:space="preserve"> (Table1[[#This Row],[Variance (USD)]] / Table1[[#This Row],[Actual Spending (USD)]]) * 100</f>
        <v>68.396073758947324</v>
      </c>
      <c r="O1063" s="5" t="s">
        <v>3897</v>
      </c>
    </row>
    <row r="1064" spans="1:15" x14ac:dyDescent="0.25">
      <c r="A1064" s="4" t="s">
        <v>1077</v>
      </c>
      <c r="B1064" s="2" t="s">
        <v>3623</v>
      </c>
      <c r="C1064" s="2" t="s">
        <v>3871</v>
      </c>
      <c r="D1064" s="2" t="s">
        <v>3879</v>
      </c>
      <c r="E1064" s="3">
        <v>45572</v>
      </c>
      <c r="F1064" s="3">
        <v>45302</v>
      </c>
      <c r="G1064" s="2" t="s">
        <v>3884</v>
      </c>
      <c r="H1064" s="2">
        <v>900486</v>
      </c>
      <c r="I1064" s="2">
        <v>668794</v>
      </c>
      <c r="J1064" s="2" t="s">
        <v>3891</v>
      </c>
      <c r="K1064" s="2" t="s">
        <v>3894</v>
      </c>
      <c r="L1064" s="2">
        <v>2023</v>
      </c>
      <c r="M1064" s="2">
        <v>231692</v>
      </c>
      <c r="N1064" s="2">
        <f xml:space="preserve"> (Table1[[#This Row],[Variance (USD)]] / Table1[[#This Row],[Actual Spending (USD)]]) * 100</f>
        <v>34.643253378469304</v>
      </c>
      <c r="O1064" s="5" t="s">
        <v>3897</v>
      </c>
    </row>
    <row r="1065" spans="1:15" x14ac:dyDescent="0.25">
      <c r="A1065" s="4" t="s">
        <v>1078</v>
      </c>
      <c r="B1065" s="2" t="s">
        <v>3577</v>
      </c>
      <c r="C1065" s="2" t="s">
        <v>3872</v>
      </c>
      <c r="D1065" s="2" t="s">
        <v>3876</v>
      </c>
      <c r="E1065" s="3">
        <v>45649</v>
      </c>
      <c r="F1065" s="3">
        <v>45635</v>
      </c>
      <c r="G1065" s="2" t="s">
        <v>3884</v>
      </c>
      <c r="H1065" s="2">
        <v>575587</v>
      </c>
      <c r="I1065" s="2">
        <v>789106</v>
      </c>
      <c r="J1065" s="2" t="s">
        <v>3890</v>
      </c>
      <c r="K1065" s="2" t="s">
        <v>3896</v>
      </c>
      <c r="L1065" s="2">
        <v>2023</v>
      </c>
      <c r="M1065" s="2">
        <v>-213519</v>
      </c>
      <c r="N1065" s="2">
        <f xml:space="preserve"> (Table1[[#This Row],[Variance (USD)]] / Table1[[#This Row],[Actual Spending (USD)]]) * 100</f>
        <v>-27.058341971800999</v>
      </c>
      <c r="O1065" s="5" t="s">
        <v>3897</v>
      </c>
    </row>
    <row r="1066" spans="1:15" x14ac:dyDescent="0.25">
      <c r="A1066" s="4" t="s">
        <v>1079</v>
      </c>
      <c r="B1066" s="2" t="s">
        <v>3388</v>
      </c>
      <c r="C1066" s="2" t="s">
        <v>3870</v>
      </c>
      <c r="D1066" s="2" t="s">
        <v>3880</v>
      </c>
      <c r="E1066" s="3">
        <v>45251</v>
      </c>
      <c r="F1066" s="3">
        <v>45835</v>
      </c>
      <c r="G1066" s="2" t="s">
        <v>3885</v>
      </c>
      <c r="H1066" s="2">
        <v>299240</v>
      </c>
      <c r="I1066" s="2">
        <v>615639</v>
      </c>
      <c r="J1066" s="2" t="s">
        <v>3888</v>
      </c>
      <c r="K1066" s="2" t="s">
        <v>3896</v>
      </c>
      <c r="L1066" s="2">
        <v>2024</v>
      </c>
      <c r="M1066" s="2">
        <v>-316399</v>
      </c>
      <c r="N1066" s="2">
        <f xml:space="preserve"> (Table1[[#This Row],[Variance (USD)]] / Table1[[#This Row],[Actual Spending (USD)]]) * 100</f>
        <v>-51.39359267362854</v>
      </c>
      <c r="O1066" s="5" t="s">
        <v>3898</v>
      </c>
    </row>
    <row r="1067" spans="1:15" x14ac:dyDescent="0.25">
      <c r="A1067" s="4" t="s">
        <v>1080</v>
      </c>
      <c r="B1067" s="2" t="s">
        <v>3412</v>
      </c>
      <c r="C1067" s="2" t="s">
        <v>3870</v>
      </c>
      <c r="D1067" s="2" t="s">
        <v>3883</v>
      </c>
      <c r="E1067" s="3">
        <v>45657</v>
      </c>
      <c r="F1067" s="3">
        <v>45860</v>
      </c>
      <c r="G1067" s="2" t="s">
        <v>3887</v>
      </c>
      <c r="H1067" s="2">
        <v>378019</v>
      </c>
      <c r="I1067" s="2">
        <v>908340</v>
      </c>
      <c r="J1067" s="2" t="s">
        <v>3891</v>
      </c>
      <c r="K1067" s="2" t="s">
        <v>3893</v>
      </c>
      <c r="L1067" s="2">
        <v>2024</v>
      </c>
      <c r="M1067" s="2">
        <v>-530321</v>
      </c>
      <c r="N1067" s="2">
        <f xml:space="preserve"> (Table1[[#This Row],[Variance (USD)]] / Table1[[#This Row],[Actual Spending (USD)]]) * 100</f>
        <v>-58.383534799744588</v>
      </c>
      <c r="O1067" s="5" t="s">
        <v>3900</v>
      </c>
    </row>
    <row r="1068" spans="1:15" x14ac:dyDescent="0.25">
      <c r="A1068" s="4" t="s">
        <v>1081</v>
      </c>
      <c r="B1068" s="2" t="s">
        <v>3578</v>
      </c>
      <c r="C1068" s="2" t="s">
        <v>3868</v>
      </c>
      <c r="D1068" s="2" t="s">
        <v>3880</v>
      </c>
      <c r="E1068" s="3">
        <v>45643</v>
      </c>
      <c r="F1068" s="3">
        <v>45457</v>
      </c>
      <c r="G1068" s="2" t="s">
        <v>3886</v>
      </c>
      <c r="H1068" s="2">
        <v>738280</v>
      </c>
      <c r="I1068" s="2">
        <v>606115</v>
      </c>
      <c r="J1068" s="2" t="s">
        <v>3888</v>
      </c>
      <c r="K1068" s="2" t="s">
        <v>3896</v>
      </c>
      <c r="L1068" s="2">
        <v>2023</v>
      </c>
      <c r="M1068" s="2">
        <v>132165</v>
      </c>
      <c r="N1068" s="2">
        <f xml:space="preserve"> (Table1[[#This Row],[Variance (USD)]] / Table1[[#This Row],[Actual Spending (USD)]]) * 100</f>
        <v>21.805267977199048</v>
      </c>
      <c r="O1068" s="5" t="s">
        <v>3899</v>
      </c>
    </row>
    <row r="1069" spans="1:15" x14ac:dyDescent="0.25">
      <c r="A1069" s="4" t="s">
        <v>1082</v>
      </c>
      <c r="B1069" s="2" t="s">
        <v>3228</v>
      </c>
      <c r="C1069" s="2" t="s">
        <v>3875</v>
      </c>
      <c r="D1069" s="2" t="s">
        <v>3883</v>
      </c>
      <c r="E1069" s="3">
        <v>45649</v>
      </c>
      <c r="F1069" s="3">
        <v>45991</v>
      </c>
      <c r="G1069" s="2" t="s">
        <v>3884</v>
      </c>
      <c r="H1069" s="2">
        <v>498052</v>
      </c>
      <c r="I1069" s="2">
        <v>98772</v>
      </c>
      <c r="J1069" s="2" t="s">
        <v>3889</v>
      </c>
      <c r="K1069" s="2" t="s">
        <v>3894</v>
      </c>
      <c r="L1069" s="2">
        <v>2024</v>
      </c>
      <c r="M1069" s="2">
        <v>399280</v>
      </c>
      <c r="N1069" s="2">
        <f xml:space="preserve"> (Table1[[#This Row],[Variance (USD)]] / Table1[[#This Row],[Actual Spending (USD)]]) * 100</f>
        <v>404.24411776616853</v>
      </c>
      <c r="O1069" s="5" t="s">
        <v>3897</v>
      </c>
    </row>
    <row r="1070" spans="1:15" x14ac:dyDescent="0.25">
      <c r="A1070" s="4" t="s">
        <v>1083</v>
      </c>
      <c r="B1070" s="2" t="s">
        <v>3624</v>
      </c>
      <c r="C1070" s="2" t="s">
        <v>3873</v>
      </c>
      <c r="D1070" s="2" t="s">
        <v>3879</v>
      </c>
      <c r="E1070" s="3">
        <v>45203</v>
      </c>
      <c r="F1070" s="3">
        <v>45633</v>
      </c>
      <c r="G1070" s="2" t="s">
        <v>3886</v>
      </c>
      <c r="H1070" s="2">
        <v>223453</v>
      </c>
      <c r="I1070" s="2">
        <v>569899</v>
      </c>
      <c r="J1070" s="2" t="s">
        <v>3892</v>
      </c>
      <c r="K1070" s="2" t="s">
        <v>3894</v>
      </c>
      <c r="L1070" s="2">
        <v>2024</v>
      </c>
      <c r="M1070" s="2">
        <v>-346446</v>
      </c>
      <c r="N1070" s="2">
        <f xml:space="preserve"> (Table1[[#This Row],[Variance (USD)]] / Table1[[#This Row],[Actual Spending (USD)]]) * 100</f>
        <v>-60.790771698143011</v>
      </c>
      <c r="O1070" s="5" t="s">
        <v>3899</v>
      </c>
    </row>
    <row r="1071" spans="1:15" x14ac:dyDescent="0.25">
      <c r="A1071" s="4" t="s">
        <v>1084</v>
      </c>
      <c r="B1071" s="2" t="s">
        <v>3080</v>
      </c>
      <c r="C1071" s="2" t="s">
        <v>3871</v>
      </c>
      <c r="D1071" s="2" t="s">
        <v>3876</v>
      </c>
      <c r="E1071" s="3">
        <v>45462</v>
      </c>
      <c r="F1071" s="3">
        <v>45773</v>
      </c>
      <c r="G1071" s="2" t="s">
        <v>3884</v>
      </c>
      <c r="H1071" s="2">
        <v>555275</v>
      </c>
      <c r="I1071" s="2">
        <v>183354</v>
      </c>
      <c r="J1071" s="2" t="s">
        <v>3892</v>
      </c>
      <c r="K1071" s="2" t="s">
        <v>3895</v>
      </c>
      <c r="L1071" s="2">
        <v>2023</v>
      </c>
      <c r="M1071" s="2">
        <v>371921</v>
      </c>
      <c r="N1071" s="2">
        <f xml:space="preserve"> (Table1[[#This Row],[Variance (USD)]] / Table1[[#This Row],[Actual Spending (USD)]]) * 100</f>
        <v>202.84313404670743</v>
      </c>
      <c r="O1071" s="5" t="s">
        <v>3897</v>
      </c>
    </row>
    <row r="1072" spans="1:15" x14ac:dyDescent="0.25">
      <c r="A1072" s="4" t="s">
        <v>1085</v>
      </c>
      <c r="B1072" s="2" t="s">
        <v>3338</v>
      </c>
      <c r="C1072" s="2" t="s">
        <v>3869</v>
      </c>
      <c r="D1072" s="2" t="s">
        <v>3880</v>
      </c>
      <c r="E1072" s="3">
        <v>45412</v>
      </c>
      <c r="F1072" s="3">
        <v>45310</v>
      </c>
      <c r="G1072" s="2" t="s">
        <v>3885</v>
      </c>
      <c r="H1072" s="2">
        <v>426430</v>
      </c>
      <c r="I1072" s="2">
        <v>857435</v>
      </c>
      <c r="J1072" s="2" t="s">
        <v>3891</v>
      </c>
      <c r="K1072" s="2" t="s">
        <v>3894</v>
      </c>
      <c r="L1072" s="2">
        <v>2023</v>
      </c>
      <c r="M1072" s="2">
        <v>-431005</v>
      </c>
      <c r="N1072" s="2">
        <f xml:space="preserve"> (Table1[[#This Row],[Variance (USD)]] / Table1[[#This Row],[Actual Spending (USD)]]) * 100</f>
        <v>-50.266784071095771</v>
      </c>
      <c r="O1072" s="5" t="s">
        <v>3898</v>
      </c>
    </row>
    <row r="1073" spans="1:15" x14ac:dyDescent="0.25">
      <c r="A1073" s="4" t="s">
        <v>1086</v>
      </c>
      <c r="B1073" s="2" t="s">
        <v>3608</v>
      </c>
      <c r="C1073" s="2" t="s">
        <v>3872</v>
      </c>
      <c r="D1073" s="2" t="s">
        <v>3883</v>
      </c>
      <c r="E1073" s="3">
        <v>45442</v>
      </c>
      <c r="F1073" s="3">
        <v>45919</v>
      </c>
      <c r="G1073" s="2" t="s">
        <v>3885</v>
      </c>
      <c r="H1073" s="2">
        <v>935162</v>
      </c>
      <c r="I1073" s="2">
        <v>766725</v>
      </c>
      <c r="J1073" s="2" t="s">
        <v>3889</v>
      </c>
      <c r="K1073" s="2" t="s">
        <v>3895</v>
      </c>
      <c r="L1073" s="2">
        <v>2025</v>
      </c>
      <c r="M1073" s="2">
        <v>168437</v>
      </c>
      <c r="N1073" s="2">
        <f xml:space="preserve"> (Table1[[#This Row],[Variance (USD)]] / Table1[[#This Row],[Actual Spending (USD)]]) * 100</f>
        <v>21.968371971697806</v>
      </c>
      <c r="O1073" s="5" t="s">
        <v>3898</v>
      </c>
    </row>
    <row r="1074" spans="1:15" x14ac:dyDescent="0.25">
      <c r="A1074" s="4" t="s">
        <v>1087</v>
      </c>
      <c r="B1074" s="2" t="s">
        <v>3584</v>
      </c>
      <c r="C1074" s="2" t="s">
        <v>3874</v>
      </c>
      <c r="D1074" s="2" t="s">
        <v>3881</v>
      </c>
      <c r="E1074" s="3">
        <v>45078</v>
      </c>
      <c r="F1074" s="3">
        <v>45475</v>
      </c>
      <c r="G1074" s="2" t="s">
        <v>3886</v>
      </c>
      <c r="H1074" s="2">
        <v>368442</v>
      </c>
      <c r="I1074" s="2">
        <v>172412</v>
      </c>
      <c r="J1074" s="2" t="s">
        <v>3890</v>
      </c>
      <c r="K1074" s="2" t="s">
        <v>3896</v>
      </c>
      <c r="L1074" s="2">
        <v>2025</v>
      </c>
      <c r="M1074" s="2">
        <v>196030</v>
      </c>
      <c r="N1074" s="2">
        <f xml:space="preserve"> (Table1[[#This Row],[Variance (USD)]] / Table1[[#This Row],[Actual Spending (USD)]]) * 100</f>
        <v>113.69858246525763</v>
      </c>
      <c r="O1074" s="5" t="s">
        <v>3899</v>
      </c>
    </row>
    <row r="1075" spans="1:15" x14ac:dyDescent="0.25">
      <c r="A1075" s="4" t="s">
        <v>1088</v>
      </c>
      <c r="B1075" s="2" t="s">
        <v>3103</v>
      </c>
      <c r="C1075" s="2" t="s">
        <v>3869</v>
      </c>
      <c r="D1075" s="2" t="s">
        <v>3878</v>
      </c>
      <c r="E1075" s="3">
        <v>45409</v>
      </c>
      <c r="F1075" s="3">
        <v>45836</v>
      </c>
      <c r="G1075" s="2" t="s">
        <v>3884</v>
      </c>
      <c r="H1075" s="2">
        <v>992013</v>
      </c>
      <c r="I1075" s="2">
        <v>388773</v>
      </c>
      <c r="J1075" s="2" t="s">
        <v>3889</v>
      </c>
      <c r="K1075" s="2" t="s">
        <v>3895</v>
      </c>
      <c r="L1075" s="2">
        <v>2023</v>
      </c>
      <c r="M1075" s="2">
        <v>603240</v>
      </c>
      <c r="N1075" s="2">
        <f xml:space="preserve"> (Table1[[#This Row],[Variance (USD)]] / Table1[[#This Row],[Actual Spending (USD)]]) * 100</f>
        <v>155.16509634156691</v>
      </c>
      <c r="O1075" s="5" t="s">
        <v>3897</v>
      </c>
    </row>
    <row r="1076" spans="1:15" x14ac:dyDescent="0.25">
      <c r="A1076" s="4" t="s">
        <v>1089</v>
      </c>
      <c r="B1076" s="2" t="s">
        <v>3131</v>
      </c>
      <c r="C1076" s="2" t="s">
        <v>3875</v>
      </c>
      <c r="D1076" s="2" t="s">
        <v>3878</v>
      </c>
      <c r="E1076" s="3">
        <v>45185</v>
      </c>
      <c r="F1076" s="3">
        <v>45301</v>
      </c>
      <c r="G1076" s="2" t="s">
        <v>3884</v>
      </c>
      <c r="H1076" s="2">
        <v>831798</v>
      </c>
      <c r="I1076" s="2">
        <v>1161611</v>
      </c>
      <c r="J1076" s="2" t="s">
        <v>3889</v>
      </c>
      <c r="K1076" s="2" t="s">
        <v>3893</v>
      </c>
      <c r="L1076" s="2">
        <v>2025</v>
      </c>
      <c r="M1076" s="2">
        <v>-329813</v>
      </c>
      <c r="N1076" s="2">
        <f xml:space="preserve"> (Table1[[#This Row],[Variance (USD)]] / Table1[[#This Row],[Actual Spending (USD)]]) * 100</f>
        <v>-28.392723553754223</v>
      </c>
      <c r="O1076" s="5" t="s">
        <v>3897</v>
      </c>
    </row>
    <row r="1077" spans="1:15" x14ac:dyDescent="0.25">
      <c r="A1077" s="4" t="s">
        <v>1090</v>
      </c>
      <c r="B1077" s="2" t="s">
        <v>3625</v>
      </c>
      <c r="C1077" s="2" t="s">
        <v>3872</v>
      </c>
      <c r="D1077" s="2" t="s">
        <v>3880</v>
      </c>
      <c r="E1077" s="3">
        <v>45250</v>
      </c>
      <c r="F1077" s="3">
        <v>45883</v>
      </c>
      <c r="G1077" s="2" t="s">
        <v>3884</v>
      </c>
      <c r="H1077" s="2">
        <v>695323</v>
      </c>
      <c r="I1077" s="2">
        <v>834597</v>
      </c>
      <c r="J1077" s="2" t="s">
        <v>3890</v>
      </c>
      <c r="K1077" s="2" t="s">
        <v>3895</v>
      </c>
      <c r="L1077" s="2">
        <v>2024</v>
      </c>
      <c r="M1077" s="2">
        <v>-139274</v>
      </c>
      <c r="N1077" s="2">
        <f xml:space="preserve"> (Table1[[#This Row],[Variance (USD)]] / Table1[[#This Row],[Actual Spending (USD)]]) * 100</f>
        <v>-16.687574961328639</v>
      </c>
      <c r="O1077" s="5" t="s">
        <v>3897</v>
      </c>
    </row>
    <row r="1078" spans="1:15" x14ac:dyDescent="0.25">
      <c r="A1078" s="4" t="s">
        <v>1091</v>
      </c>
      <c r="B1078" s="2" t="s">
        <v>3626</v>
      </c>
      <c r="C1078" s="2" t="s">
        <v>3871</v>
      </c>
      <c r="D1078" s="2" t="s">
        <v>3876</v>
      </c>
      <c r="E1078" s="3">
        <v>45094</v>
      </c>
      <c r="F1078" s="3">
        <v>45483</v>
      </c>
      <c r="G1078" s="2" t="s">
        <v>3885</v>
      </c>
      <c r="H1078" s="2">
        <v>223167</v>
      </c>
      <c r="I1078" s="2">
        <v>1133091</v>
      </c>
      <c r="J1078" s="2" t="s">
        <v>3890</v>
      </c>
      <c r="K1078" s="2" t="s">
        <v>3893</v>
      </c>
      <c r="L1078" s="2">
        <v>2023</v>
      </c>
      <c r="M1078" s="2">
        <v>-909924</v>
      </c>
      <c r="N1078" s="2">
        <f xml:space="preserve"> (Table1[[#This Row],[Variance (USD)]] / Table1[[#This Row],[Actual Spending (USD)]]) * 100</f>
        <v>-80.304582774022563</v>
      </c>
      <c r="O1078" s="5" t="s">
        <v>3898</v>
      </c>
    </row>
    <row r="1079" spans="1:15" x14ac:dyDescent="0.25">
      <c r="A1079" s="4" t="s">
        <v>1092</v>
      </c>
      <c r="B1079" s="2" t="s">
        <v>3603</v>
      </c>
      <c r="C1079" s="2" t="s">
        <v>3868</v>
      </c>
      <c r="D1079" s="2" t="s">
        <v>3881</v>
      </c>
      <c r="E1079" s="3">
        <v>45614</v>
      </c>
      <c r="F1079" s="3">
        <v>45611</v>
      </c>
      <c r="G1079" s="2" t="s">
        <v>3884</v>
      </c>
      <c r="H1079" s="2">
        <v>494740</v>
      </c>
      <c r="I1079" s="2">
        <v>139446</v>
      </c>
      <c r="J1079" s="2" t="s">
        <v>3889</v>
      </c>
      <c r="K1079" s="2" t="s">
        <v>3896</v>
      </c>
      <c r="L1079" s="2">
        <v>2025</v>
      </c>
      <c r="M1079" s="2">
        <v>355294</v>
      </c>
      <c r="N1079" s="2">
        <f xml:space="preserve"> (Table1[[#This Row],[Variance (USD)]] / Table1[[#This Row],[Actual Spending (USD)]]) * 100</f>
        <v>254.78966768498199</v>
      </c>
      <c r="O1079" s="5" t="s">
        <v>3897</v>
      </c>
    </row>
    <row r="1080" spans="1:15" x14ac:dyDescent="0.25">
      <c r="A1080" s="4" t="s">
        <v>1093</v>
      </c>
      <c r="B1080" s="2" t="s">
        <v>3395</v>
      </c>
      <c r="C1080" s="2" t="s">
        <v>3869</v>
      </c>
      <c r="D1080" s="2" t="s">
        <v>3880</v>
      </c>
      <c r="E1080" s="3">
        <v>45236</v>
      </c>
      <c r="F1080" s="3">
        <v>45993</v>
      </c>
      <c r="G1080" s="2" t="s">
        <v>3884</v>
      </c>
      <c r="H1080" s="2">
        <v>566030</v>
      </c>
      <c r="I1080" s="2">
        <v>89789</v>
      </c>
      <c r="J1080" s="2" t="s">
        <v>3888</v>
      </c>
      <c r="K1080" s="2" t="s">
        <v>3895</v>
      </c>
      <c r="L1080" s="2">
        <v>2023</v>
      </c>
      <c r="M1080" s="2">
        <v>476241</v>
      </c>
      <c r="N1080" s="2">
        <f xml:space="preserve"> (Table1[[#This Row],[Variance (USD)]] / Table1[[#This Row],[Actual Spending (USD)]]) * 100</f>
        <v>530.40016037599264</v>
      </c>
      <c r="O1080" s="5" t="s">
        <v>3897</v>
      </c>
    </row>
    <row r="1081" spans="1:15" x14ac:dyDescent="0.25">
      <c r="A1081" s="4" t="s">
        <v>1094</v>
      </c>
      <c r="B1081" s="2" t="s">
        <v>3627</v>
      </c>
      <c r="C1081" s="2" t="s">
        <v>3875</v>
      </c>
      <c r="D1081" s="2" t="s">
        <v>3879</v>
      </c>
      <c r="E1081" s="3">
        <v>45405</v>
      </c>
      <c r="F1081" s="3">
        <v>45871</v>
      </c>
      <c r="G1081" s="2" t="s">
        <v>3884</v>
      </c>
      <c r="H1081" s="2">
        <v>421969</v>
      </c>
      <c r="I1081" s="2">
        <v>737262</v>
      </c>
      <c r="J1081" s="2" t="s">
        <v>3888</v>
      </c>
      <c r="K1081" s="2" t="s">
        <v>3894</v>
      </c>
      <c r="L1081" s="2">
        <v>2025</v>
      </c>
      <c r="M1081" s="2">
        <v>-315293</v>
      </c>
      <c r="N1081" s="2">
        <f xml:space="preserve"> (Table1[[#This Row],[Variance (USD)]] / Table1[[#This Row],[Actual Spending (USD)]]) * 100</f>
        <v>-42.76539412040767</v>
      </c>
      <c r="O1081" s="5" t="s">
        <v>3897</v>
      </c>
    </row>
    <row r="1082" spans="1:15" x14ac:dyDescent="0.25">
      <c r="A1082" s="4" t="s">
        <v>1095</v>
      </c>
      <c r="B1082" s="2" t="s">
        <v>3628</v>
      </c>
      <c r="C1082" s="2" t="s">
        <v>3871</v>
      </c>
      <c r="D1082" s="2" t="s">
        <v>3883</v>
      </c>
      <c r="E1082" s="3">
        <v>44982</v>
      </c>
      <c r="F1082" s="3">
        <v>45766</v>
      </c>
      <c r="G1082" s="2" t="s">
        <v>3885</v>
      </c>
      <c r="H1082" s="2">
        <v>165637</v>
      </c>
      <c r="I1082" s="2">
        <v>62191</v>
      </c>
      <c r="J1082" s="2" t="s">
        <v>3889</v>
      </c>
      <c r="K1082" s="2" t="s">
        <v>3893</v>
      </c>
      <c r="L1082" s="2">
        <v>2023</v>
      </c>
      <c r="M1082" s="2">
        <v>103446</v>
      </c>
      <c r="N1082" s="2">
        <f xml:space="preserve"> (Table1[[#This Row],[Variance (USD)]] / Table1[[#This Row],[Actual Spending (USD)]]) * 100</f>
        <v>166.33596501101445</v>
      </c>
      <c r="O1082" s="5" t="s">
        <v>3898</v>
      </c>
    </row>
    <row r="1083" spans="1:15" x14ac:dyDescent="0.25">
      <c r="A1083" s="4" t="s">
        <v>1096</v>
      </c>
      <c r="B1083" s="2" t="s">
        <v>3573</v>
      </c>
      <c r="C1083" s="2" t="s">
        <v>3870</v>
      </c>
      <c r="D1083" s="2" t="s">
        <v>3882</v>
      </c>
      <c r="E1083" s="3">
        <v>45546</v>
      </c>
      <c r="F1083" s="3">
        <v>45928</v>
      </c>
      <c r="G1083" s="2" t="s">
        <v>3884</v>
      </c>
      <c r="H1083" s="2">
        <v>311046</v>
      </c>
      <c r="I1083" s="2">
        <v>613776</v>
      </c>
      <c r="J1083" s="2" t="s">
        <v>3888</v>
      </c>
      <c r="K1083" s="2" t="s">
        <v>3896</v>
      </c>
      <c r="L1083" s="2">
        <v>2024</v>
      </c>
      <c r="M1083" s="2">
        <v>-302730</v>
      </c>
      <c r="N1083" s="2">
        <f xml:space="preserve"> (Table1[[#This Row],[Variance (USD)]] / Table1[[#This Row],[Actual Spending (USD)]]) * 100</f>
        <v>-49.322554156565261</v>
      </c>
      <c r="O1083" s="5" t="s">
        <v>3897</v>
      </c>
    </row>
    <row r="1084" spans="1:15" x14ac:dyDescent="0.25">
      <c r="A1084" s="4" t="s">
        <v>1097</v>
      </c>
      <c r="B1084" s="2" t="s">
        <v>3629</v>
      </c>
      <c r="C1084" s="2" t="s">
        <v>3870</v>
      </c>
      <c r="D1084" s="2" t="s">
        <v>3879</v>
      </c>
      <c r="E1084" s="3">
        <v>45399</v>
      </c>
      <c r="F1084" s="3">
        <v>45718</v>
      </c>
      <c r="G1084" s="2" t="s">
        <v>3885</v>
      </c>
      <c r="H1084" s="2">
        <v>572222</v>
      </c>
      <c r="I1084" s="2">
        <v>734960</v>
      </c>
      <c r="J1084" s="2" t="s">
        <v>3890</v>
      </c>
      <c r="K1084" s="2" t="s">
        <v>3894</v>
      </c>
      <c r="L1084" s="2">
        <v>2025</v>
      </c>
      <c r="M1084" s="2">
        <v>-162738</v>
      </c>
      <c r="N1084" s="2">
        <f xml:space="preserve"> (Table1[[#This Row],[Variance (USD)]] / Table1[[#This Row],[Actual Spending (USD)]]) * 100</f>
        <v>-22.142429519973877</v>
      </c>
      <c r="O1084" s="5" t="s">
        <v>3898</v>
      </c>
    </row>
    <row r="1085" spans="1:15" x14ac:dyDescent="0.25">
      <c r="A1085" s="4" t="s">
        <v>1098</v>
      </c>
      <c r="B1085" s="2" t="s">
        <v>3394</v>
      </c>
      <c r="C1085" s="2" t="s">
        <v>3871</v>
      </c>
      <c r="D1085" s="2" t="s">
        <v>3878</v>
      </c>
      <c r="E1085" s="3">
        <v>45222</v>
      </c>
      <c r="F1085" s="3">
        <v>45350</v>
      </c>
      <c r="G1085" s="2" t="s">
        <v>3885</v>
      </c>
      <c r="H1085" s="2">
        <v>909050</v>
      </c>
      <c r="I1085" s="2">
        <v>903889</v>
      </c>
      <c r="J1085" s="2" t="s">
        <v>3890</v>
      </c>
      <c r="K1085" s="2" t="s">
        <v>3893</v>
      </c>
      <c r="L1085" s="2">
        <v>2023</v>
      </c>
      <c r="M1085" s="2">
        <v>5161</v>
      </c>
      <c r="N1085" s="2">
        <f xml:space="preserve"> (Table1[[#This Row],[Variance (USD)]] / Table1[[#This Row],[Actual Spending (USD)]]) * 100</f>
        <v>0.57097718857072055</v>
      </c>
      <c r="O1085" s="5" t="s">
        <v>3898</v>
      </c>
    </row>
    <row r="1086" spans="1:15" x14ac:dyDescent="0.25">
      <c r="A1086" s="4" t="s">
        <v>1099</v>
      </c>
      <c r="B1086" s="2" t="s">
        <v>3019</v>
      </c>
      <c r="C1086" s="2" t="s">
        <v>3871</v>
      </c>
      <c r="D1086" s="2" t="s">
        <v>3883</v>
      </c>
      <c r="E1086" s="3">
        <v>45387</v>
      </c>
      <c r="F1086" s="3">
        <v>45727</v>
      </c>
      <c r="G1086" s="2" t="s">
        <v>3885</v>
      </c>
      <c r="H1086" s="2">
        <v>75532</v>
      </c>
      <c r="I1086" s="2">
        <v>918908</v>
      </c>
      <c r="J1086" s="2" t="s">
        <v>3888</v>
      </c>
      <c r="K1086" s="2" t="s">
        <v>3896</v>
      </c>
      <c r="L1086" s="2">
        <v>2024</v>
      </c>
      <c r="M1086" s="2">
        <v>-843376</v>
      </c>
      <c r="N1086" s="2">
        <f xml:space="preserve"> (Table1[[#This Row],[Variance (USD)]] / Table1[[#This Row],[Actual Spending (USD)]]) * 100</f>
        <v>-91.780243506422849</v>
      </c>
      <c r="O1086" s="5" t="s">
        <v>3898</v>
      </c>
    </row>
    <row r="1087" spans="1:15" x14ac:dyDescent="0.25">
      <c r="A1087" s="4" t="s">
        <v>1100</v>
      </c>
      <c r="B1087" s="2" t="s">
        <v>3402</v>
      </c>
      <c r="C1087" s="2" t="s">
        <v>3871</v>
      </c>
      <c r="D1087" s="2" t="s">
        <v>3880</v>
      </c>
      <c r="E1087" s="3">
        <v>45250</v>
      </c>
      <c r="F1087" s="3">
        <v>45388</v>
      </c>
      <c r="G1087" s="2" t="s">
        <v>3884</v>
      </c>
      <c r="H1087" s="2">
        <v>158197</v>
      </c>
      <c r="I1087" s="2">
        <v>534703</v>
      </c>
      <c r="J1087" s="2" t="s">
        <v>3890</v>
      </c>
      <c r="K1087" s="2" t="s">
        <v>3896</v>
      </c>
      <c r="L1087" s="2">
        <v>2025</v>
      </c>
      <c r="M1087" s="2">
        <v>-376506</v>
      </c>
      <c r="N1087" s="2">
        <f xml:space="preserve"> (Table1[[#This Row],[Variance (USD)]] / Table1[[#This Row],[Actual Spending (USD)]]) * 100</f>
        <v>-70.414042935985023</v>
      </c>
      <c r="O1087" s="5" t="s">
        <v>3897</v>
      </c>
    </row>
    <row r="1088" spans="1:15" x14ac:dyDescent="0.25">
      <c r="A1088" s="4" t="s">
        <v>1101</v>
      </c>
      <c r="B1088" s="2" t="s">
        <v>3156</v>
      </c>
      <c r="C1088" s="2" t="s">
        <v>3872</v>
      </c>
      <c r="D1088" s="2" t="s">
        <v>3879</v>
      </c>
      <c r="E1088" s="3">
        <v>45067</v>
      </c>
      <c r="F1088" s="3">
        <v>45787</v>
      </c>
      <c r="G1088" s="2" t="s">
        <v>3884</v>
      </c>
      <c r="H1088" s="2">
        <v>180860</v>
      </c>
      <c r="I1088" s="2">
        <v>960340</v>
      </c>
      <c r="J1088" s="2" t="s">
        <v>3892</v>
      </c>
      <c r="K1088" s="2" t="s">
        <v>3894</v>
      </c>
      <c r="L1088" s="2">
        <v>2025</v>
      </c>
      <c r="M1088" s="2">
        <v>-779480</v>
      </c>
      <c r="N1088" s="2">
        <f xml:space="preserve"> (Table1[[#This Row],[Variance (USD)]] / Table1[[#This Row],[Actual Spending (USD)]]) * 100</f>
        <v>-81.167086656809047</v>
      </c>
      <c r="O1088" s="5" t="s">
        <v>3897</v>
      </c>
    </row>
    <row r="1089" spans="1:15" x14ac:dyDescent="0.25">
      <c r="A1089" s="4" t="s">
        <v>1102</v>
      </c>
      <c r="B1089" s="2" t="s">
        <v>3630</v>
      </c>
      <c r="C1089" s="2" t="s">
        <v>3871</v>
      </c>
      <c r="D1089" s="2" t="s">
        <v>3877</v>
      </c>
      <c r="E1089" s="3">
        <v>45593</v>
      </c>
      <c r="F1089" s="3">
        <v>45952</v>
      </c>
      <c r="G1089" s="2" t="s">
        <v>3884</v>
      </c>
      <c r="H1089" s="2">
        <v>110285</v>
      </c>
      <c r="I1089" s="2">
        <v>568028</v>
      </c>
      <c r="J1089" s="2" t="s">
        <v>3890</v>
      </c>
      <c r="K1089" s="2" t="s">
        <v>3896</v>
      </c>
      <c r="L1089" s="2">
        <v>2023</v>
      </c>
      <c r="M1089" s="2">
        <v>-457743</v>
      </c>
      <c r="N1089" s="2">
        <f xml:space="preserve"> (Table1[[#This Row],[Variance (USD)]] / Table1[[#This Row],[Actual Spending (USD)]]) * 100</f>
        <v>-80.584583858542175</v>
      </c>
      <c r="O1089" s="5" t="s">
        <v>3897</v>
      </c>
    </row>
    <row r="1090" spans="1:15" x14ac:dyDescent="0.25">
      <c r="A1090" s="4" t="s">
        <v>1103</v>
      </c>
      <c r="B1090" s="2" t="s">
        <v>3631</v>
      </c>
      <c r="C1090" s="2" t="s">
        <v>3869</v>
      </c>
      <c r="D1090" s="2" t="s">
        <v>3882</v>
      </c>
      <c r="E1090" s="3">
        <v>45188</v>
      </c>
      <c r="F1090" s="3">
        <v>45569</v>
      </c>
      <c r="G1090" s="2" t="s">
        <v>3884</v>
      </c>
      <c r="H1090" s="2">
        <v>855298</v>
      </c>
      <c r="I1090" s="2">
        <v>241965</v>
      </c>
      <c r="J1090" s="2" t="s">
        <v>3889</v>
      </c>
      <c r="K1090" s="2" t="s">
        <v>3895</v>
      </c>
      <c r="L1090" s="2">
        <v>2024</v>
      </c>
      <c r="M1090" s="2">
        <v>613333</v>
      </c>
      <c r="N1090" s="2">
        <f xml:space="preserve"> (Table1[[#This Row],[Variance (USD)]] / Table1[[#This Row],[Actual Spending (USD)]]) * 100</f>
        <v>253.48004876738369</v>
      </c>
      <c r="O1090" s="5" t="s">
        <v>3897</v>
      </c>
    </row>
    <row r="1091" spans="1:15" x14ac:dyDescent="0.25">
      <c r="A1091" s="4" t="s">
        <v>1104</v>
      </c>
      <c r="B1091" s="2" t="s">
        <v>3632</v>
      </c>
      <c r="C1091" s="2" t="s">
        <v>3875</v>
      </c>
      <c r="D1091" s="2" t="s">
        <v>3876</v>
      </c>
      <c r="E1091" s="3">
        <v>45346</v>
      </c>
      <c r="F1091" s="3">
        <v>45556</v>
      </c>
      <c r="G1091" s="2" t="s">
        <v>3884</v>
      </c>
      <c r="H1091" s="2">
        <v>712953</v>
      </c>
      <c r="I1091" s="2">
        <v>1192493</v>
      </c>
      <c r="J1091" s="2" t="s">
        <v>3891</v>
      </c>
      <c r="K1091" s="2" t="s">
        <v>3896</v>
      </c>
      <c r="L1091" s="2">
        <v>2023</v>
      </c>
      <c r="M1091" s="2">
        <v>-479540</v>
      </c>
      <c r="N1091" s="2">
        <f xml:space="preserve"> (Table1[[#This Row],[Variance (USD)]] / Table1[[#This Row],[Actual Spending (USD)]]) * 100</f>
        <v>-40.213233956090313</v>
      </c>
      <c r="O1091" s="5" t="s">
        <v>3897</v>
      </c>
    </row>
    <row r="1092" spans="1:15" x14ac:dyDescent="0.25">
      <c r="A1092" s="4" t="s">
        <v>1105</v>
      </c>
      <c r="B1092" s="2" t="s">
        <v>3527</v>
      </c>
      <c r="C1092" s="2" t="s">
        <v>3872</v>
      </c>
      <c r="D1092" s="2" t="s">
        <v>3881</v>
      </c>
      <c r="E1092" s="3">
        <v>45167</v>
      </c>
      <c r="F1092" s="3">
        <v>45300</v>
      </c>
      <c r="G1092" s="2" t="s">
        <v>3886</v>
      </c>
      <c r="H1092" s="2">
        <v>321639</v>
      </c>
      <c r="I1092" s="2">
        <v>977759</v>
      </c>
      <c r="J1092" s="2" t="s">
        <v>3888</v>
      </c>
      <c r="K1092" s="2" t="s">
        <v>3893</v>
      </c>
      <c r="L1092" s="2">
        <v>2025</v>
      </c>
      <c r="M1092" s="2">
        <v>-656120</v>
      </c>
      <c r="N1092" s="2">
        <f xml:space="preserve"> (Table1[[#This Row],[Variance (USD)]] / Table1[[#This Row],[Actual Spending (USD)]]) * 100</f>
        <v>-67.104470529036291</v>
      </c>
      <c r="O1092" s="5" t="s">
        <v>3899</v>
      </c>
    </row>
    <row r="1093" spans="1:15" x14ac:dyDescent="0.25">
      <c r="A1093" s="4" t="s">
        <v>1106</v>
      </c>
      <c r="B1093" s="2" t="s">
        <v>3633</v>
      </c>
      <c r="C1093" s="2" t="s">
        <v>3871</v>
      </c>
      <c r="D1093" s="2" t="s">
        <v>3881</v>
      </c>
      <c r="E1093" s="3">
        <v>45281</v>
      </c>
      <c r="F1093" s="3">
        <v>45748</v>
      </c>
      <c r="G1093" s="2" t="s">
        <v>3884</v>
      </c>
      <c r="H1093" s="2">
        <v>296130</v>
      </c>
      <c r="I1093" s="2">
        <v>579509</v>
      </c>
      <c r="J1093" s="2" t="s">
        <v>3888</v>
      </c>
      <c r="K1093" s="2" t="s">
        <v>3893</v>
      </c>
      <c r="L1093" s="2">
        <v>2023</v>
      </c>
      <c r="M1093" s="2">
        <v>-283379</v>
      </c>
      <c r="N1093" s="2">
        <f xml:space="preserve"> (Table1[[#This Row],[Variance (USD)]] / Table1[[#This Row],[Actual Spending (USD)]]) * 100</f>
        <v>-48.899844523553561</v>
      </c>
      <c r="O1093" s="5" t="s">
        <v>3897</v>
      </c>
    </row>
    <row r="1094" spans="1:15" x14ac:dyDescent="0.25">
      <c r="A1094" s="4" t="s">
        <v>1107</v>
      </c>
      <c r="B1094" s="2" t="s">
        <v>3556</v>
      </c>
      <c r="C1094" s="2" t="s">
        <v>3873</v>
      </c>
      <c r="D1094" s="2" t="s">
        <v>3876</v>
      </c>
      <c r="E1094" s="3">
        <v>45515</v>
      </c>
      <c r="F1094" s="3">
        <v>45564</v>
      </c>
      <c r="G1094" s="2" t="s">
        <v>3885</v>
      </c>
      <c r="H1094" s="2">
        <v>319981</v>
      </c>
      <c r="I1094" s="2">
        <v>93265</v>
      </c>
      <c r="J1094" s="2" t="s">
        <v>3890</v>
      </c>
      <c r="K1094" s="2" t="s">
        <v>3893</v>
      </c>
      <c r="L1094" s="2">
        <v>2023</v>
      </c>
      <c r="M1094" s="2">
        <v>226716</v>
      </c>
      <c r="N1094" s="2">
        <f xml:space="preserve"> (Table1[[#This Row],[Variance (USD)]] / Table1[[#This Row],[Actual Spending (USD)]]) * 100</f>
        <v>243.08797512464483</v>
      </c>
      <c r="O1094" s="5" t="s">
        <v>3898</v>
      </c>
    </row>
    <row r="1095" spans="1:15" x14ac:dyDescent="0.25">
      <c r="A1095" s="4" t="s">
        <v>1108</v>
      </c>
      <c r="B1095" s="2" t="s">
        <v>3238</v>
      </c>
      <c r="C1095" s="2" t="s">
        <v>3874</v>
      </c>
      <c r="D1095" s="2" t="s">
        <v>3877</v>
      </c>
      <c r="E1095" s="3">
        <v>45106</v>
      </c>
      <c r="F1095" s="3">
        <v>45299</v>
      </c>
      <c r="G1095" s="2" t="s">
        <v>3884</v>
      </c>
      <c r="H1095" s="2">
        <v>782068</v>
      </c>
      <c r="I1095" s="2">
        <v>555007</v>
      </c>
      <c r="J1095" s="2" t="s">
        <v>3890</v>
      </c>
      <c r="K1095" s="2" t="s">
        <v>3895</v>
      </c>
      <c r="L1095" s="2">
        <v>2024</v>
      </c>
      <c r="M1095" s="2">
        <v>227061</v>
      </c>
      <c r="N1095" s="2">
        <f xml:space="preserve"> (Table1[[#This Row],[Variance (USD)]] / Table1[[#This Row],[Actual Spending (USD)]]) * 100</f>
        <v>40.911375892556315</v>
      </c>
      <c r="O1095" s="5" t="s">
        <v>3897</v>
      </c>
    </row>
    <row r="1096" spans="1:15" x14ac:dyDescent="0.25">
      <c r="A1096" s="4" t="s">
        <v>1109</v>
      </c>
      <c r="B1096" s="2" t="s">
        <v>3366</v>
      </c>
      <c r="C1096" s="2" t="s">
        <v>3873</v>
      </c>
      <c r="D1096" s="2" t="s">
        <v>3878</v>
      </c>
      <c r="E1096" s="3">
        <v>44992</v>
      </c>
      <c r="F1096" s="3">
        <v>45499</v>
      </c>
      <c r="G1096" s="2" t="s">
        <v>3886</v>
      </c>
      <c r="H1096" s="2">
        <v>986184</v>
      </c>
      <c r="I1096" s="2">
        <v>244514</v>
      </c>
      <c r="J1096" s="2" t="s">
        <v>3891</v>
      </c>
      <c r="K1096" s="2" t="s">
        <v>3894</v>
      </c>
      <c r="L1096" s="2">
        <v>2024</v>
      </c>
      <c r="M1096" s="2">
        <v>741670</v>
      </c>
      <c r="N1096" s="2">
        <f xml:space="preserve"> (Table1[[#This Row],[Variance (USD)]] / Table1[[#This Row],[Actual Spending (USD)]]) * 100</f>
        <v>303.32414503872991</v>
      </c>
      <c r="O1096" s="5" t="s">
        <v>3899</v>
      </c>
    </row>
    <row r="1097" spans="1:15" x14ac:dyDescent="0.25">
      <c r="A1097" s="4" t="s">
        <v>1110</v>
      </c>
      <c r="B1097" s="2" t="s">
        <v>3049</v>
      </c>
      <c r="C1097" s="2" t="s">
        <v>3875</v>
      </c>
      <c r="D1097" s="2" t="s">
        <v>3883</v>
      </c>
      <c r="E1097" s="3">
        <v>45274</v>
      </c>
      <c r="F1097" s="3">
        <v>45928</v>
      </c>
      <c r="G1097" s="2" t="s">
        <v>3886</v>
      </c>
      <c r="H1097" s="2">
        <v>564938</v>
      </c>
      <c r="I1097" s="2">
        <v>162141</v>
      </c>
      <c r="J1097" s="2" t="s">
        <v>3891</v>
      </c>
      <c r="K1097" s="2" t="s">
        <v>3895</v>
      </c>
      <c r="L1097" s="2">
        <v>2025</v>
      </c>
      <c r="M1097" s="2">
        <v>402797</v>
      </c>
      <c r="N1097" s="2">
        <f xml:space="preserve"> (Table1[[#This Row],[Variance (USD)]] / Table1[[#This Row],[Actual Spending (USD)]]) * 100</f>
        <v>248.42390265262949</v>
      </c>
      <c r="O1097" s="5" t="s">
        <v>3899</v>
      </c>
    </row>
    <row r="1098" spans="1:15" x14ac:dyDescent="0.25">
      <c r="A1098" s="4" t="s">
        <v>1111</v>
      </c>
      <c r="B1098" s="2" t="s">
        <v>3229</v>
      </c>
      <c r="C1098" s="2" t="s">
        <v>3870</v>
      </c>
      <c r="D1098" s="2" t="s">
        <v>3876</v>
      </c>
      <c r="E1098" s="3">
        <v>45097</v>
      </c>
      <c r="F1098" s="3">
        <v>45414</v>
      </c>
      <c r="G1098" s="2" t="s">
        <v>3886</v>
      </c>
      <c r="H1098" s="2">
        <v>308750</v>
      </c>
      <c r="I1098" s="2">
        <v>609002</v>
      </c>
      <c r="J1098" s="2" t="s">
        <v>3889</v>
      </c>
      <c r="K1098" s="2" t="s">
        <v>3895</v>
      </c>
      <c r="L1098" s="2">
        <v>2024</v>
      </c>
      <c r="M1098" s="2">
        <v>-300252</v>
      </c>
      <c r="N1098" s="2">
        <f xml:space="preserve"> (Table1[[#This Row],[Variance (USD)]] / Table1[[#This Row],[Actual Spending (USD)]]) * 100</f>
        <v>-49.30230114186817</v>
      </c>
      <c r="O1098" s="5" t="s">
        <v>3899</v>
      </c>
    </row>
    <row r="1099" spans="1:15" x14ac:dyDescent="0.25">
      <c r="A1099" s="4" t="s">
        <v>1112</v>
      </c>
      <c r="B1099" s="2" t="s">
        <v>3634</v>
      </c>
      <c r="C1099" s="2" t="s">
        <v>3868</v>
      </c>
      <c r="D1099" s="2" t="s">
        <v>3877</v>
      </c>
      <c r="E1099" s="3">
        <v>45400</v>
      </c>
      <c r="F1099" s="3">
        <v>45324</v>
      </c>
      <c r="G1099" s="2" t="s">
        <v>3885</v>
      </c>
      <c r="H1099" s="2">
        <v>565046</v>
      </c>
      <c r="I1099" s="2">
        <v>1151861</v>
      </c>
      <c r="J1099" s="2" t="s">
        <v>3892</v>
      </c>
      <c r="K1099" s="2" t="s">
        <v>3895</v>
      </c>
      <c r="L1099" s="2">
        <v>2023</v>
      </c>
      <c r="M1099" s="2">
        <v>-586815</v>
      </c>
      <c r="N1099" s="2">
        <f xml:space="preserve"> (Table1[[#This Row],[Variance (USD)]] / Table1[[#This Row],[Actual Spending (USD)]]) * 100</f>
        <v>-50.944949086738767</v>
      </c>
      <c r="O1099" s="5" t="s">
        <v>3898</v>
      </c>
    </row>
    <row r="1100" spans="1:15" x14ac:dyDescent="0.25">
      <c r="A1100" s="4" t="s">
        <v>1113</v>
      </c>
      <c r="B1100" s="2" t="s">
        <v>3596</v>
      </c>
      <c r="C1100" s="2" t="s">
        <v>3868</v>
      </c>
      <c r="D1100" s="2" t="s">
        <v>3880</v>
      </c>
      <c r="E1100" s="3">
        <v>45460</v>
      </c>
      <c r="F1100" s="3">
        <v>45804</v>
      </c>
      <c r="G1100" s="2" t="s">
        <v>3886</v>
      </c>
      <c r="H1100" s="2">
        <v>342490</v>
      </c>
      <c r="I1100" s="2">
        <v>305079</v>
      </c>
      <c r="J1100" s="2" t="s">
        <v>3889</v>
      </c>
      <c r="K1100" s="2" t="s">
        <v>3896</v>
      </c>
      <c r="L1100" s="2">
        <v>2025</v>
      </c>
      <c r="M1100" s="2">
        <v>37411</v>
      </c>
      <c r="N1100" s="2">
        <f xml:space="preserve"> (Table1[[#This Row],[Variance (USD)]] / Table1[[#This Row],[Actual Spending (USD)]]) * 100</f>
        <v>12.262725392439336</v>
      </c>
      <c r="O1100" s="5" t="s">
        <v>3899</v>
      </c>
    </row>
    <row r="1101" spans="1:15" x14ac:dyDescent="0.25">
      <c r="A1101" s="4" t="s">
        <v>1114</v>
      </c>
      <c r="B1101" s="2" t="s">
        <v>3357</v>
      </c>
      <c r="C1101" s="2" t="s">
        <v>3874</v>
      </c>
      <c r="D1101" s="2" t="s">
        <v>3882</v>
      </c>
      <c r="E1101" s="3">
        <v>45293</v>
      </c>
      <c r="F1101" s="3">
        <v>45495</v>
      </c>
      <c r="G1101" s="2" t="s">
        <v>3885</v>
      </c>
      <c r="H1101" s="2">
        <v>158621</v>
      </c>
      <c r="I1101" s="2">
        <v>935794</v>
      </c>
      <c r="J1101" s="2" t="s">
        <v>3888</v>
      </c>
      <c r="K1101" s="2" t="s">
        <v>3894</v>
      </c>
      <c r="L1101" s="2">
        <v>2024</v>
      </c>
      <c r="M1101" s="2">
        <v>-777173</v>
      </c>
      <c r="N1101" s="2">
        <f xml:space="preserve"> (Table1[[#This Row],[Variance (USD)]] / Table1[[#This Row],[Actual Spending (USD)]]) * 100</f>
        <v>-83.049581424971734</v>
      </c>
      <c r="O1101" s="5" t="s">
        <v>3898</v>
      </c>
    </row>
    <row r="1102" spans="1:15" x14ac:dyDescent="0.25">
      <c r="A1102" s="4" t="s">
        <v>1115</v>
      </c>
      <c r="B1102" s="2" t="s">
        <v>3629</v>
      </c>
      <c r="C1102" s="2" t="s">
        <v>3870</v>
      </c>
      <c r="D1102" s="2" t="s">
        <v>3881</v>
      </c>
      <c r="E1102" s="3">
        <v>45033</v>
      </c>
      <c r="F1102" s="3">
        <v>45809</v>
      </c>
      <c r="G1102" s="2" t="s">
        <v>3884</v>
      </c>
      <c r="H1102" s="2">
        <v>335556</v>
      </c>
      <c r="I1102" s="2">
        <v>598323</v>
      </c>
      <c r="J1102" s="2" t="s">
        <v>3890</v>
      </c>
      <c r="K1102" s="2" t="s">
        <v>3896</v>
      </c>
      <c r="L1102" s="2">
        <v>2023</v>
      </c>
      <c r="M1102" s="2">
        <v>-262767</v>
      </c>
      <c r="N1102" s="2">
        <f xml:space="preserve"> (Table1[[#This Row],[Variance (USD)]] / Table1[[#This Row],[Actual Spending (USD)]]) * 100</f>
        <v>-43.917248710144854</v>
      </c>
      <c r="O1102" s="5" t="s">
        <v>3897</v>
      </c>
    </row>
    <row r="1103" spans="1:15" x14ac:dyDescent="0.25">
      <c r="A1103" s="4" t="s">
        <v>1116</v>
      </c>
      <c r="B1103" s="2" t="s">
        <v>3164</v>
      </c>
      <c r="C1103" s="2" t="s">
        <v>3872</v>
      </c>
      <c r="D1103" s="2" t="s">
        <v>3882</v>
      </c>
      <c r="E1103" s="3">
        <v>45365</v>
      </c>
      <c r="F1103" s="3">
        <v>45808</v>
      </c>
      <c r="G1103" s="2" t="s">
        <v>3884</v>
      </c>
      <c r="H1103" s="2">
        <v>531615</v>
      </c>
      <c r="I1103" s="2">
        <v>418831</v>
      </c>
      <c r="J1103" s="2" t="s">
        <v>3889</v>
      </c>
      <c r="K1103" s="2" t="s">
        <v>3895</v>
      </c>
      <c r="L1103" s="2">
        <v>2023</v>
      </c>
      <c r="M1103" s="2">
        <v>112784</v>
      </c>
      <c r="N1103" s="2">
        <f xml:space="preserve"> (Table1[[#This Row],[Variance (USD)]] / Table1[[#This Row],[Actual Spending (USD)]]) * 100</f>
        <v>26.928283723029097</v>
      </c>
      <c r="O1103" s="5" t="s">
        <v>3897</v>
      </c>
    </row>
    <row r="1104" spans="1:15" x14ac:dyDescent="0.25">
      <c r="A1104" s="4" t="s">
        <v>1117</v>
      </c>
      <c r="B1104" s="2" t="s">
        <v>3551</v>
      </c>
      <c r="C1104" s="2" t="s">
        <v>3872</v>
      </c>
      <c r="D1104" s="2" t="s">
        <v>3877</v>
      </c>
      <c r="E1104" s="3">
        <v>45153</v>
      </c>
      <c r="F1104" s="3">
        <v>45734</v>
      </c>
      <c r="G1104" s="2" t="s">
        <v>3884</v>
      </c>
      <c r="H1104" s="2">
        <v>168833</v>
      </c>
      <c r="I1104" s="2">
        <v>451153</v>
      </c>
      <c r="J1104" s="2" t="s">
        <v>3890</v>
      </c>
      <c r="K1104" s="2" t="s">
        <v>3893</v>
      </c>
      <c r="L1104" s="2">
        <v>2025</v>
      </c>
      <c r="M1104" s="2">
        <v>-282320</v>
      </c>
      <c r="N1104" s="2">
        <f xml:space="preserve"> (Table1[[#This Row],[Variance (USD)]] / Table1[[#This Row],[Actual Spending (USD)]]) * 100</f>
        <v>-62.577440469197811</v>
      </c>
      <c r="O1104" s="5" t="s">
        <v>3897</v>
      </c>
    </row>
    <row r="1105" spans="1:15" x14ac:dyDescent="0.25">
      <c r="A1105" s="4" t="s">
        <v>1118</v>
      </c>
      <c r="B1105" s="2" t="s">
        <v>3407</v>
      </c>
      <c r="C1105" s="2" t="s">
        <v>3872</v>
      </c>
      <c r="D1105" s="2" t="s">
        <v>3882</v>
      </c>
      <c r="E1105" s="3">
        <v>45370</v>
      </c>
      <c r="F1105" s="3">
        <v>45883</v>
      </c>
      <c r="G1105" s="2" t="s">
        <v>3884</v>
      </c>
      <c r="H1105" s="2">
        <v>474020</v>
      </c>
      <c r="I1105" s="2">
        <v>310684</v>
      </c>
      <c r="J1105" s="2" t="s">
        <v>3890</v>
      </c>
      <c r="K1105" s="2" t="s">
        <v>3895</v>
      </c>
      <c r="L1105" s="2">
        <v>2025</v>
      </c>
      <c r="M1105" s="2">
        <v>163336</v>
      </c>
      <c r="N1105" s="2">
        <f xml:space="preserve"> (Table1[[#This Row],[Variance (USD)]] / Table1[[#This Row],[Actual Spending (USD)]]) * 100</f>
        <v>52.57303240591726</v>
      </c>
      <c r="O1105" s="5" t="s">
        <v>3897</v>
      </c>
    </row>
    <row r="1106" spans="1:15" x14ac:dyDescent="0.25">
      <c r="A1106" s="4" t="s">
        <v>1119</v>
      </c>
      <c r="B1106" s="2" t="s">
        <v>3150</v>
      </c>
      <c r="C1106" s="2" t="s">
        <v>3868</v>
      </c>
      <c r="D1106" s="2" t="s">
        <v>3878</v>
      </c>
      <c r="E1106" s="3">
        <v>45368</v>
      </c>
      <c r="F1106" s="3">
        <v>45980</v>
      </c>
      <c r="G1106" s="2" t="s">
        <v>3884</v>
      </c>
      <c r="H1106" s="2">
        <v>115206</v>
      </c>
      <c r="I1106" s="2">
        <v>865134</v>
      </c>
      <c r="J1106" s="2" t="s">
        <v>3889</v>
      </c>
      <c r="K1106" s="2" t="s">
        <v>3894</v>
      </c>
      <c r="L1106" s="2">
        <v>2024</v>
      </c>
      <c r="M1106" s="2">
        <v>-749928</v>
      </c>
      <c r="N1106" s="2">
        <f xml:space="preserve"> (Table1[[#This Row],[Variance (USD)]] / Table1[[#This Row],[Actual Spending (USD)]]) * 100</f>
        <v>-86.683450193842802</v>
      </c>
      <c r="O1106" s="5" t="s">
        <v>3897</v>
      </c>
    </row>
    <row r="1107" spans="1:15" x14ac:dyDescent="0.25">
      <c r="A1107" s="4" t="s">
        <v>1120</v>
      </c>
      <c r="B1107" s="2" t="s">
        <v>3584</v>
      </c>
      <c r="C1107" s="2" t="s">
        <v>3873</v>
      </c>
      <c r="D1107" s="2" t="s">
        <v>3878</v>
      </c>
      <c r="E1107" s="3">
        <v>45322</v>
      </c>
      <c r="F1107" s="3">
        <v>45630</v>
      </c>
      <c r="G1107" s="2" t="s">
        <v>3884</v>
      </c>
      <c r="H1107" s="2">
        <v>60934</v>
      </c>
      <c r="I1107" s="2">
        <v>1156859</v>
      </c>
      <c r="J1107" s="2" t="s">
        <v>3889</v>
      </c>
      <c r="K1107" s="2" t="s">
        <v>3893</v>
      </c>
      <c r="L1107" s="2">
        <v>2024</v>
      </c>
      <c r="M1107" s="2">
        <v>-1095925</v>
      </c>
      <c r="N1107" s="2">
        <f xml:space="preserve"> (Table1[[#This Row],[Variance (USD)]] / Table1[[#This Row],[Actual Spending (USD)]]) * 100</f>
        <v>-94.73280667739111</v>
      </c>
      <c r="O1107" s="5" t="s">
        <v>3897</v>
      </c>
    </row>
    <row r="1108" spans="1:15" x14ac:dyDescent="0.25">
      <c r="A1108" s="4" t="s">
        <v>1121</v>
      </c>
      <c r="B1108" s="2" t="s">
        <v>3635</v>
      </c>
      <c r="C1108" s="2" t="s">
        <v>3868</v>
      </c>
      <c r="D1108" s="2" t="s">
        <v>3879</v>
      </c>
      <c r="E1108" s="3">
        <v>45654</v>
      </c>
      <c r="F1108" s="3">
        <v>45729</v>
      </c>
      <c r="G1108" s="2" t="s">
        <v>3884</v>
      </c>
      <c r="H1108" s="2">
        <v>342867</v>
      </c>
      <c r="I1108" s="2">
        <v>761401</v>
      </c>
      <c r="J1108" s="2" t="s">
        <v>3891</v>
      </c>
      <c r="K1108" s="2" t="s">
        <v>3894</v>
      </c>
      <c r="L1108" s="2">
        <v>2024</v>
      </c>
      <c r="M1108" s="2">
        <v>-418534</v>
      </c>
      <c r="N1108" s="2">
        <f xml:space="preserve"> (Table1[[#This Row],[Variance (USD)]] / Table1[[#This Row],[Actual Spending (USD)]]) * 100</f>
        <v>-54.968932270905867</v>
      </c>
      <c r="O1108" s="5" t="s">
        <v>3897</v>
      </c>
    </row>
    <row r="1109" spans="1:15" x14ac:dyDescent="0.25">
      <c r="A1109" s="4" t="s">
        <v>1122</v>
      </c>
      <c r="B1109" s="2" t="s">
        <v>3042</v>
      </c>
      <c r="C1109" s="2" t="s">
        <v>3869</v>
      </c>
      <c r="D1109" s="2" t="s">
        <v>3876</v>
      </c>
      <c r="E1109" s="3">
        <v>45507</v>
      </c>
      <c r="F1109" s="3">
        <v>45736</v>
      </c>
      <c r="G1109" s="2" t="s">
        <v>3884</v>
      </c>
      <c r="H1109" s="2">
        <v>964400</v>
      </c>
      <c r="I1109" s="2">
        <v>984411</v>
      </c>
      <c r="J1109" s="2" t="s">
        <v>3892</v>
      </c>
      <c r="K1109" s="2" t="s">
        <v>3895</v>
      </c>
      <c r="L1109" s="2">
        <v>2024</v>
      </c>
      <c r="M1109" s="2">
        <v>-20011</v>
      </c>
      <c r="N1109" s="2">
        <f xml:space="preserve"> (Table1[[#This Row],[Variance (USD)]] / Table1[[#This Row],[Actual Spending (USD)]]) * 100</f>
        <v>-2.0327891500602902</v>
      </c>
      <c r="O1109" s="5" t="s">
        <v>3897</v>
      </c>
    </row>
    <row r="1110" spans="1:15" x14ac:dyDescent="0.25">
      <c r="A1110" s="4" t="s">
        <v>1123</v>
      </c>
      <c r="B1110" s="2" t="s">
        <v>3325</v>
      </c>
      <c r="C1110" s="2" t="s">
        <v>3871</v>
      </c>
      <c r="D1110" s="2" t="s">
        <v>3879</v>
      </c>
      <c r="E1110" s="3">
        <v>45010</v>
      </c>
      <c r="F1110" s="3">
        <v>45427</v>
      </c>
      <c r="G1110" s="2" t="s">
        <v>3884</v>
      </c>
      <c r="H1110" s="2">
        <v>463621</v>
      </c>
      <c r="I1110" s="2">
        <v>176293</v>
      </c>
      <c r="J1110" s="2" t="s">
        <v>3891</v>
      </c>
      <c r="K1110" s="2" t="s">
        <v>3894</v>
      </c>
      <c r="L1110" s="2">
        <v>2025</v>
      </c>
      <c r="M1110" s="2">
        <v>287328</v>
      </c>
      <c r="N1110" s="2">
        <f xml:space="preserve"> (Table1[[#This Row],[Variance (USD)]] / Table1[[#This Row],[Actual Spending (USD)]]) * 100</f>
        <v>162.98321544247361</v>
      </c>
      <c r="O1110" s="5" t="s">
        <v>3897</v>
      </c>
    </row>
    <row r="1111" spans="1:15" x14ac:dyDescent="0.25">
      <c r="A1111" s="4" t="s">
        <v>1124</v>
      </c>
      <c r="B1111" s="2" t="s">
        <v>3636</v>
      </c>
      <c r="C1111" s="2" t="s">
        <v>3872</v>
      </c>
      <c r="D1111" s="2" t="s">
        <v>3882</v>
      </c>
      <c r="E1111" s="3">
        <v>45541</v>
      </c>
      <c r="F1111" s="3">
        <v>45678</v>
      </c>
      <c r="G1111" s="2" t="s">
        <v>3885</v>
      </c>
      <c r="H1111" s="2">
        <v>724108</v>
      </c>
      <c r="I1111" s="2">
        <v>561375</v>
      </c>
      <c r="J1111" s="2" t="s">
        <v>3892</v>
      </c>
      <c r="K1111" s="2" t="s">
        <v>3896</v>
      </c>
      <c r="L1111" s="2">
        <v>2023</v>
      </c>
      <c r="M1111" s="2">
        <v>162733</v>
      </c>
      <c r="N1111" s="2">
        <f xml:space="preserve"> (Table1[[#This Row],[Variance (USD)]] / Table1[[#This Row],[Actual Spending (USD)]]) * 100</f>
        <v>28.988287686484078</v>
      </c>
      <c r="O1111" s="5" t="s">
        <v>3898</v>
      </c>
    </row>
    <row r="1112" spans="1:15" x14ac:dyDescent="0.25">
      <c r="A1112" s="4" t="s">
        <v>1125</v>
      </c>
      <c r="B1112" s="2" t="s">
        <v>3551</v>
      </c>
      <c r="C1112" s="2" t="s">
        <v>3873</v>
      </c>
      <c r="D1112" s="2" t="s">
        <v>3881</v>
      </c>
      <c r="E1112" s="3">
        <v>45477</v>
      </c>
      <c r="F1112" s="3">
        <v>45316</v>
      </c>
      <c r="G1112" s="2" t="s">
        <v>3884</v>
      </c>
      <c r="H1112" s="2">
        <v>776126</v>
      </c>
      <c r="I1112" s="2">
        <v>456616</v>
      </c>
      <c r="J1112" s="2" t="s">
        <v>3889</v>
      </c>
      <c r="K1112" s="2" t="s">
        <v>3893</v>
      </c>
      <c r="L1112" s="2">
        <v>2023</v>
      </c>
      <c r="M1112" s="2">
        <v>319510</v>
      </c>
      <c r="N1112" s="2">
        <f xml:space="preserve"> (Table1[[#This Row],[Variance (USD)]] / Table1[[#This Row],[Actual Spending (USD)]]) * 100</f>
        <v>69.97345690908773</v>
      </c>
      <c r="O1112" s="5" t="s">
        <v>3897</v>
      </c>
    </row>
    <row r="1113" spans="1:15" x14ac:dyDescent="0.25">
      <c r="A1113" s="4" t="s">
        <v>1126</v>
      </c>
      <c r="B1113" s="2" t="s">
        <v>3196</v>
      </c>
      <c r="C1113" s="2" t="s">
        <v>3875</v>
      </c>
      <c r="D1113" s="2" t="s">
        <v>3877</v>
      </c>
      <c r="E1113" s="3">
        <v>44939</v>
      </c>
      <c r="F1113" s="3">
        <v>45797</v>
      </c>
      <c r="G1113" s="2" t="s">
        <v>3886</v>
      </c>
      <c r="H1113" s="2">
        <v>751773</v>
      </c>
      <c r="I1113" s="2">
        <v>145310</v>
      </c>
      <c r="J1113" s="2" t="s">
        <v>3892</v>
      </c>
      <c r="K1113" s="2" t="s">
        <v>3894</v>
      </c>
      <c r="L1113" s="2">
        <v>2024</v>
      </c>
      <c r="M1113" s="2">
        <v>606463</v>
      </c>
      <c r="N1113" s="2">
        <f xml:space="preserve"> (Table1[[#This Row],[Variance (USD)]] / Table1[[#This Row],[Actual Spending (USD)]]) * 100</f>
        <v>417.35806207418625</v>
      </c>
      <c r="O1113" s="5" t="s">
        <v>3899</v>
      </c>
    </row>
    <row r="1114" spans="1:15" x14ac:dyDescent="0.25">
      <c r="A1114" s="4" t="s">
        <v>1127</v>
      </c>
      <c r="B1114" s="2" t="s">
        <v>3637</v>
      </c>
      <c r="C1114" s="2" t="s">
        <v>3874</v>
      </c>
      <c r="D1114" s="2" t="s">
        <v>3883</v>
      </c>
      <c r="E1114" s="3">
        <v>45619</v>
      </c>
      <c r="F1114" s="3">
        <v>45616</v>
      </c>
      <c r="G1114" s="2" t="s">
        <v>3884</v>
      </c>
      <c r="H1114" s="2">
        <v>989858</v>
      </c>
      <c r="I1114" s="2">
        <v>177816</v>
      </c>
      <c r="J1114" s="2" t="s">
        <v>3888</v>
      </c>
      <c r="K1114" s="2" t="s">
        <v>3893</v>
      </c>
      <c r="L1114" s="2">
        <v>2025</v>
      </c>
      <c r="M1114" s="2">
        <v>812042</v>
      </c>
      <c r="N1114" s="2">
        <f xml:space="preserve"> (Table1[[#This Row],[Variance (USD)]] / Table1[[#This Row],[Actual Spending (USD)]]) * 100</f>
        <v>456.67543978044722</v>
      </c>
      <c r="O1114" s="5" t="s">
        <v>3897</v>
      </c>
    </row>
    <row r="1115" spans="1:15" x14ac:dyDescent="0.25">
      <c r="A1115" s="4" t="s">
        <v>1128</v>
      </c>
      <c r="B1115" s="2" t="s">
        <v>3318</v>
      </c>
      <c r="C1115" s="2" t="s">
        <v>3875</v>
      </c>
      <c r="D1115" s="2" t="s">
        <v>3882</v>
      </c>
      <c r="E1115" s="3">
        <v>45419</v>
      </c>
      <c r="F1115" s="3">
        <v>45986</v>
      </c>
      <c r="G1115" s="2" t="s">
        <v>3885</v>
      </c>
      <c r="H1115" s="2">
        <v>958420</v>
      </c>
      <c r="I1115" s="2">
        <v>499311</v>
      </c>
      <c r="J1115" s="2" t="s">
        <v>3891</v>
      </c>
      <c r="K1115" s="2" t="s">
        <v>3893</v>
      </c>
      <c r="L1115" s="2">
        <v>2024</v>
      </c>
      <c r="M1115" s="2">
        <v>459109</v>
      </c>
      <c r="N1115" s="2">
        <f xml:space="preserve"> (Table1[[#This Row],[Variance (USD)]] / Table1[[#This Row],[Actual Spending (USD)]]) * 100</f>
        <v>91.948505039945033</v>
      </c>
      <c r="O1115" s="5" t="s">
        <v>3898</v>
      </c>
    </row>
    <row r="1116" spans="1:15" x14ac:dyDescent="0.25">
      <c r="A1116" s="4" t="s">
        <v>1129</v>
      </c>
      <c r="B1116" s="2" t="s">
        <v>3638</v>
      </c>
      <c r="C1116" s="2" t="s">
        <v>3871</v>
      </c>
      <c r="D1116" s="2" t="s">
        <v>3883</v>
      </c>
      <c r="E1116" s="3">
        <v>45194</v>
      </c>
      <c r="F1116" s="3">
        <v>45971</v>
      </c>
      <c r="G1116" s="2" t="s">
        <v>3885</v>
      </c>
      <c r="H1116" s="2">
        <v>531891</v>
      </c>
      <c r="I1116" s="2">
        <v>216589</v>
      </c>
      <c r="J1116" s="2" t="s">
        <v>3891</v>
      </c>
      <c r="K1116" s="2" t="s">
        <v>3895</v>
      </c>
      <c r="L1116" s="2">
        <v>2024</v>
      </c>
      <c r="M1116" s="2">
        <v>315302</v>
      </c>
      <c r="N1116" s="2">
        <f xml:space="preserve"> (Table1[[#This Row],[Variance (USD)]] / Table1[[#This Row],[Actual Spending (USD)]]) * 100</f>
        <v>145.5761834626874</v>
      </c>
      <c r="O1116" s="5" t="s">
        <v>3898</v>
      </c>
    </row>
    <row r="1117" spans="1:15" x14ac:dyDescent="0.25">
      <c r="A1117" s="4" t="s">
        <v>1130</v>
      </c>
      <c r="B1117" s="2" t="s">
        <v>3639</v>
      </c>
      <c r="C1117" s="2" t="s">
        <v>3873</v>
      </c>
      <c r="D1117" s="2" t="s">
        <v>3878</v>
      </c>
      <c r="E1117" s="3">
        <v>45451</v>
      </c>
      <c r="F1117" s="3">
        <v>45629</v>
      </c>
      <c r="G1117" s="2" t="s">
        <v>3886</v>
      </c>
      <c r="H1117" s="2">
        <v>291630</v>
      </c>
      <c r="I1117" s="2">
        <v>128231</v>
      </c>
      <c r="J1117" s="2" t="s">
        <v>3891</v>
      </c>
      <c r="K1117" s="2" t="s">
        <v>3895</v>
      </c>
      <c r="L1117" s="2">
        <v>2025</v>
      </c>
      <c r="M1117" s="2">
        <v>163399</v>
      </c>
      <c r="N1117" s="2">
        <f xml:space="preserve"> (Table1[[#This Row],[Variance (USD)]] / Table1[[#This Row],[Actual Spending (USD)]]) * 100</f>
        <v>127.42550553298344</v>
      </c>
      <c r="O1117" s="5" t="s">
        <v>3899</v>
      </c>
    </row>
    <row r="1118" spans="1:15" x14ac:dyDescent="0.25">
      <c r="A1118" s="4" t="s">
        <v>1131</v>
      </c>
      <c r="B1118" s="2" t="s">
        <v>3640</v>
      </c>
      <c r="C1118" s="2" t="s">
        <v>3868</v>
      </c>
      <c r="D1118" s="2" t="s">
        <v>3883</v>
      </c>
      <c r="E1118" s="3">
        <v>45046</v>
      </c>
      <c r="F1118" s="3">
        <v>45981</v>
      </c>
      <c r="G1118" s="2" t="s">
        <v>3886</v>
      </c>
      <c r="H1118" s="2">
        <v>984892</v>
      </c>
      <c r="I1118" s="2">
        <v>734225</v>
      </c>
      <c r="J1118" s="2" t="s">
        <v>3890</v>
      </c>
      <c r="K1118" s="2" t="s">
        <v>3893</v>
      </c>
      <c r="L1118" s="2">
        <v>2023</v>
      </c>
      <c r="M1118" s="2">
        <v>250667</v>
      </c>
      <c r="N1118" s="2">
        <f xml:space="preserve"> (Table1[[#This Row],[Variance (USD)]] / Table1[[#This Row],[Actual Spending (USD)]]) * 100</f>
        <v>34.140352071912559</v>
      </c>
      <c r="O1118" s="5" t="s">
        <v>3899</v>
      </c>
    </row>
    <row r="1119" spans="1:15" x14ac:dyDescent="0.25">
      <c r="A1119" s="4" t="s">
        <v>1132</v>
      </c>
      <c r="B1119" s="2" t="s">
        <v>3321</v>
      </c>
      <c r="C1119" s="2" t="s">
        <v>3868</v>
      </c>
      <c r="D1119" s="2" t="s">
        <v>3883</v>
      </c>
      <c r="E1119" s="3">
        <v>45279</v>
      </c>
      <c r="F1119" s="3">
        <v>45386</v>
      </c>
      <c r="G1119" s="2" t="s">
        <v>3884</v>
      </c>
      <c r="H1119" s="2">
        <v>548577</v>
      </c>
      <c r="I1119" s="2">
        <v>497153</v>
      </c>
      <c r="J1119" s="2" t="s">
        <v>3890</v>
      </c>
      <c r="K1119" s="2" t="s">
        <v>3894</v>
      </c>
      <c r="L1119" s="2">
        <v>2023</v>
      </c>
      <c r="M1119" s="2">
        <v>51424</v>
      </c>
      <c r="N1119" s="2">
        <f xml:space="preserve"> (Table1[[#This Row],[Variance (USD)]] / Table1[[#This Row],[Actual Spending (USD)]]) * 100</f>
        <v>10.343697010779378</v>
      </c>
      <c r="O1119" s="5" t="s">
        <v>3897</v>
      </c>
    </row>
    <row r="1120" spans="1:15" x14ac:dyDescent="0.25">
      <c r="A1120" s="4" t="s">
        <v>1133</v>
      </c>
      <c r="B1120" s="2" t="s">
        <v>3641</v>
      </c>
      <c r="C1120" s="2" t="s">
        <v>3869</v>
      </c>
      <c r="D1120" s="2" t="s">
        <v>3881</v>
      </c>
      <c r="E1120" s="3">
        <v>44983</v>
      </c>
      <c r="F1120" s="3">
        <v>45836</v>
      </c>
      <c r="G1120" s="2" t="s">
        <v>3887</v>
      </c>
      <c r="H1120" s="2">
        <v>610811</v>
      </c>
      <c r="I1120" s="2">
        <v>762555</v>
      </c>
      <c r="J1120" s="2" t="s">
        <v>3889</v>
      </c>
      <c r="K1120" s="2" t="s">
        <v>3893</v>
      </c>
      <c r="L1120" s="2">
        <v>2024</v>
      </c>
      <c r="M1120" s="2">
        <v>-151744</v>
      </c>
      <c r="N1120" s="2">
        <f xml:space="preserve"> (Table1[[#This Row],[Variance (USD)]] / Table1[[#This Row],[Actual Spending (USD)]]) * 100</f>
        <v>-19.899417091226208</v>
      </c>
      <c r="O1120" s="5" t="s">
        <v>3900</v>
      </c>
    </row>
    <row r="1121" spans="1:15" x14ac:dyDescent="0.25">
      <c r="A1121" s="4" t="s">
        <v>1134</v>
      </c>
      <c r="B1121" s="2" t="s">
        <v>3413</v>
      </c>
      <c r="C1121" s="2" t="s">
        <v>3869</v>
      </c>
      <c r="D1121" s="2" t="s">
        <v>3883</v>
      </c>
      <c r="E1121" s="3">
        <v>44966</v>
      </c>
      <c r="F1121" s="3">
        <v>45914</v>
      </c>
      <c r="G1121" s="2" t="s">
        <v>3885</v>
      </c>
      <c r="H1121" s="2">
        <v>937582</v>
      </c>
      <c r="I1121" s="2">
        <v>530642</v>
      </c>
      <c r="J1121" s="2" t="s">
        <v>3889</v>
      </c>
      <c r="K1121" s="2" t="s">
        <v>3895</v>
      </c>
      <c r="L1121" s="2">
        <v>2025</v>
      </c>
      <c r="M1121" s="2">
        <v>406940</v>
      </c>
      <c r="N1121" s="2">
        <f xml:space="preserve"> (Table1[[#This Row],[Variance (USD)]] / Table1[[#This Row],[Actual Spending (USD)]]) * 100</f>
        <v>76.688238021114046</v>
      </c>
      <c r="O1121" s="5" t="s">
        <v>3898</v>
      </c>
    </row>
    <row r="1122" spans="1:15" x14ac:dyDescent="0.25">
      <c r="A1122" s="4" t="s">
        <v>1135</v>
      </c>
      <c r="B1122" s="2" t="s">
        <v>3539</v>
      </c>
      <c r="C1122" s="2" t="s">
        <v>3868</v>
      </c>
      <c r="D1122" s="2" t="s">
        <v>3882</v>
      </c>
      <c r="E1122" s="3">
        <v>45262</v>
      </c>
      <c r="F1122" s="3">
        <v>45437</v>
      </c>
      <c r="G1122" s="2" t="s">
        <v>3885</v>
      </c>
      <c r="H1122" s="2">
        <v>433094</v>
      </c>
      <c r="I1122" s="2">
        <v>568182</v>
      </c>
      <c r="J1122" s="2" t="s">
        <v>3890</v>
      </c>
      <c r="K1122" s="2" t="s">
        <v>3894</v>
      </c>
      <c r="L1122" s="2">
        <v>2023</v>
      </c>
      <c r="M1122" s="2">
        <v>-135088</v>
      </c>
      <c r="N1122" s="2">
        <f xml:space="preserve"> (Table1[[#This Row],[Variance (USD)]] / Table1[[#This Row],[Actual Spending (USD)]]) * 100</f>
        <v>-23.775480391846273</v>
      </c>
      <c r="O1122" s="5" t="s">
        <v>3898</v>
      </c>
    </row>
    <row r="1123" spans="1:15" x14ac:dyDescent="0.25">
      <c r="A1123" s="4" t="s">
        <v>1136</v>
      </c>
      <c r="B1123" s="2" t="s">
        <v>3073</v>
      </c>
      <c r="C1123" s="2" t="s">
        <v>3875</v>
      </c>
      <c r="D1123" s="2" t="s">
        <v>3877</v>
      </c>
      <c r="E1123" s="3">
        <v>45566</v>
      </c>
      <c r="F1123" s="3">
        <v>45522</v>
      </c>
      <c r="G1123" s="2" t="s">
        <v>3886</v>
      </c>
      <c r="H1123" s="2">
        <v>216804</v>
      </c>
      <c r="I1123" s="2">
        <v>583560</v>
      </c>
      <c r="J1123" s="2" t="s">
        <v>3891</v>
      </c>
      <c r="K1123" s="2" t="s">
        <v>3893</v>
      </c>
      <c r="L1123" s="2">
        <v>2023</v>
      </c>
      <c r="M1123" s="2">
        <v>-366756</v>
      </c>
      <c r="N1123" s="2">
        <f xml:space="preserve"> (Table1[[#This Row],[Variance (USD)]] / Table1[[#This Row],[Actual Spending (USD)]]) * 100</f>
        <v>-62.848036191651246</v>
      </c>
      <c r="O1123" s="5" t="s">
        <v>3899</v>
      </c>
    </row>
    <row r="1124" spans="1:15" x14ac:dyDescent="0.25">
      <c r="A1124" s="4" t="s">
        <v>1137</v>
      </c>
      <c r="B1124" s="2" t="s">
        <v>3206</v>
      </c>
      <c r="C1124" s="2" t="s">
        <v>3874</v>
      </c>
      <c r="D1124" s="2" t="s">
        <v>3883</v>
      </c>
      <c r="E1124" s="3">
        <v>45099</v>
      </c>
      <c r="F1124" s="3">
        <v>45786</v>
      </c>
      <c r="G1124" s="2" t="s">
        <v>3884</v>
      </c>
      <c r="H1124" s="2">
        <v>615934</v>
      </c>
      <c r="I1124" s="2">
        <v>251120</v>
      </c>
      <c r="J1124" s="2" t="s">
        <v>3890</v>
      </c>
      <c r="K1124" s="2" t="s">
        <v>3895</v>
      </c>
      <c r="L1124" s="2">
        <v>2025</v>
      </c>
      <c r="M1124" s="2">
        <v>364814</v>
      </c>
      <c r="N1124" s="2">
        <f xml:space="preserve"> (Table1[[#This Row],[Variance (USD)]] / Table1[[#This Row],[Actual Spending (USD)]]) * 100</f>
        <v>145.27476903472441</v>
      </c>
      <c r="O1124" s="5" t="s">
        <v>3897</v>
      </c>
    </row>
    <row r="1125" spans="1:15" x14ac:dyDescent="0.25">
      <c r="A1125" s="4" t="s">
        <v>1138</v>
      </c>
      <c r="B1125" s="2" t="s">
        <v>3041</v>
      </c>
      <c r="C1125" s="2" t="s">
        <v>3872</v>
      </c>
      <c r="D1125" s="2" t="s">
        <v>3880</v>
      </c>
      <c r="E1125" s="3">
        <v>45473</v>
      </c>
      <c r="F1125" s="3">
        <v>45329</v>
      </c>
      <c r="G1125" s="2" t="s">
        <v>3885</v>
      </c>
      <c r="H1125" s="2">
        <v>726381</v>
      </c>
      <c r="I1125" s="2">
        <v>1112221</v>
      </c>
      <c r="J1125" s="2" t="s">
        <v>3892</v>
      </c>
      <c r="K1125" s="2" t="s">
        <v>3893</v>
      </c>
      <c r="L1125" s="2">
        <v>2025</v>
      </c>
      <c r="M1125" s="2">
        <v>-385840</v>
      </c>
      <c r="N1125" s="2">
        <f xml:space="preserve"> (Table1[[#This Row],[Variance (USD)]] / Table1[[#This Row],[Actual Spending (USD)]]) * 100</f>
        <v>-34.690947212829101</v>
      </c>
      <c r="O1125" s="5" t="s">
        <v>3898</v>
      </c>
    </row>
    <row r="1126" spans="1:15" x14ac:dyDescent="0.25">
      <c r="A1126" s="4" t="s">
        <v>1139</v>
      </c>
      <c r="B1126" s="2" t="s">
        <v>3166</v>
      </c>
      <c r="C1126" s="2" t="s">
        <v>3875</v>
      </c>
      <c r="D1126" s="2" t="s">
        <v>3883</v>
      </c>
      <c r="E1126" s="3">
        <v>45185</v>
      </c>
      <c r="F1126" s="3">
        <v>45716</v>
      </c>
      <c r="G1126" s="2" t="s">
        <v>3884</v>
      </c>
      <c r="H1126" s="2">
        <v>274310</v>
      </c>
      <c r="I1126" s="2">
        <v>51179</v>
      </c>
      <c r="J1126" s="2" t="s">
        <v>3891</v>
      </c>
      <c r="K1126" s="2" t="s">
        <v>3893</v>
      </c>
      <c r="L1126" s="2">
        <v>2023</v>
      </c>
      <c r="M1126" s="2">
        <v>223131</v>
      </c>
      <c r="N1126" s="2">
        <f xml:space="preserve"> (Table1[[#This Row],[Variance (USD)]] / Table1[[#This Row],[Actual Spending (USD)]]) * 100</f>
        <v>435.98155493464111</v>
      </c>
      <c r="O1126" s="5" t="s">
        <v>3897</v>
      </c>
    </row>
    <row r="1127" spans="1:15" x14ac:dyDescent="0.25">
      <c r="A1127" s="4" t="s">
        <v>1140</v>
      </c>
      <c r="B1127" s="2" t="s">
        <v>3318</v>
      </c>
      <c r="C1127" s="2" t="s">
        <v>3874</v>
      </c>
      <c r="D1127" s="2" t="s">
        <v>3883</v>
      </c>
      <c r="E1127" s="3">
        <v>45443</v>
      </c>
      <c r="F1127" s="3">
        <v>45938</v>
      </c>
      <c r="G1127" s="2" t="s">
        <v>3886</v>
      </c>
      <c r="H1127" s="2">
        <v>292024</v>
      </c>
      <c r="I1127" s="2">
        <v>564979</v>
      </c>
      <c r="J1127" s="2" t="s">
        <v>3890</v>
      </c>
      <c r="K1127" s="2" t="s">
        <v>3893</v>
      </c>
      <c r="L1127" s="2">
        <v>2024</v>
      </c>
      <c r="M1127" s="2">
        <v>-272955</v>
      </c>
      <c r="N1127" s="2">
        <f xml:space="preserve"> (Table1[[#This Row],[Variance (USD)]] / Table1[[#This Row],[Actual Spending (USD)]]) * 100</f>
        <v>-48.312415151713608</v>
      </c>
      <c r="O1127" s="5" t="s">
        <v>3899</v>
      </c>
    </row>
    <row r="1128" spans="1:15" x14ac:dyDescent="0.25">
      <c r="A1128" s="4" t="s">
        <v>1141</v>
      </c>
      <c r="B1128" s="2" t="s">
        <v>3130</v>
      </c>
      <c r="C1128" s="2" t="s">
        <v>3869</v>
      </c>
      <c r="D1128" s="2" t="s">
        <v>3879</v>
      </c>
      <c r="E1128" s="3">
        <v>45656</v>
      </c>
      <c r="F1128" s="3">
        <v>45728</v>
      </c>
      <c r="G1128" s="2" t="s">
        <v>3884</v>
      </c>
      <c r="H1128" s="2">
        <v>307476</v>
      </c>
      <c r="I1128" s="2">
        <v>683724</v>
      </c>
      <c r="J1128" s="2" t="s">
        <v>3889</v>
      </c>
      <c r="K1128" s="2" t="s">
        <v>3894</v>
      </c>
      <c r="L1128" s="2">
        <v>2024</v>
      </c>
      <c r="M1128" s="2">
        <v>-376248</v>
      </c>
      <c r="N1128" s="2">
        <f xml:space="preserve"> (Table1[[#This Row],[Variance (USD)]] / Table1[[#This Row],[Actual Spending (USD)]]) * 100</f>
        <v>-55.029222317777347</v>
      </c>
      <c r="O1128" s="5" t="s">
        <v>3897</v>
      </c>
    </row>
    <row r="1129" spans="1:15" x14ac:dyDescent="0.25">
      <c r="A1129" s="4" t="s">
        <v>1142</v>
      </c>
      <c r="B1129" s="2" t="s">
        <v>3043</v>
      </c>
      <c r="C1129" s="2" t="s">
        <v>3871</v>
      </c>
      <c r="D1129" s="2" t="s">
        <v>3877</v>
      </c>
      <c r="E1129" s="3">
        <v>45449</v>
      </c>
      <c r="F1129" s="3">
        <v>45659</v>
      </c>
      <c r="G1129" s="2" t="s">
        <v>3885</v>
      </c>
      <c r="H1129" s="2">
        <v>889208</v>
      </c>
      <c r="I1129" s="2">
        <v>337455</v>
      </c>
      <c r="J1129" s="2" t="s">
        <v>3890</v>
      </c>
      <c r="K1129" s="2" t="s">
        <v>3895</v>
      </c>
      <c r="L1129" s="2">
        <v>2023</v>
      </c>
      <c r="M1129" s="2">
        <v>551753</v>
      </c>
      <c r="N1129" s="2">
        <f xml:space="preserve"> (Table1[[#This Row],[Variance (USD)]] / Table1[[#This Row],[Actual Spending (USD)]]) * 100</f>
        <v>163.50417092649388</v>
      </c>
      <c r="O1129" s="5" t="s">
        <v>3898</v>
      </c>
    </row>
    <row r="1130" spans="1:15" x14ac:dyDescent="0.25">
      <c r="A1130" s="4" t="s">
        <v>1143</v>
      </c>
      <c r="B1130" s="2" t="s">
        <v>3642</v>
      </c>
      <c r="C1130" s="2" t="s">
        <v>3874</v>
      </c>
      <c r="D1130" s="2" t="s">
        <v>3882</v>
      </c>
      <c r="E1130" s="3">
        <v>45043</v>
      </c>
      <c r="F1130" s="3">
        <v>45636</v>
      </c>
      <c r="G1130" s="2" t="s">
        <v>3884</v>
      </c>
      <c r="H1130" s="2">
        <v>331260</v>
      </c>
      <c r="I1130" s="2">
        <v>841399</v>
      </c>
      <c r="J1130" s="2" t="s">
        <v>3888</v>
      </c>
      <c r="K1130" s="2" t="s">
        <v>3895</v>
      </c>
      <c r="L1130" s="2">
        <v>2024</v>
      </c>
      <c r="M1130" s="2">
        <v>-510139</v>
      </c>
      <c r="N1130" s="2">
        <f xml:space="preserve"> (Table1[[#This Row],[Variance (USD)]] / Table1[[#This Row],[Actual Spending (USD)]]) * 100</f>
        <v>-60.629855752146135</v>
      </c>
      <c r="O1130" s="5" t="s">
        <v>3897</v>
      </c>
    </row>
    <row r="1131" spans="1:15" x14ac:dyDescent="0.25">
      <c r="A1131" s="4" t="s">
        <v>1144</v>
      </c>
      <c r="B1131" s="2" t="s">
        <v>3068</v>
      </c>
      <c r="C1131" s="2" t="s">
        <v>3868</v>
      </c>
      <c r="D1131" s="2" t="s">
        <v>3878</v>
      </c>
      <c r="E1131" s="3">
        <v>45110</v>
      </c>
      <c r="F1131" s="3">
        <v>45451</v>
      </c>
      <c r="G1131" s="2" t="s">
        <v>3884</v>
      </c>
      <c r="H1131" s="2">
        <v>162858</v>
      </c>
      <c r="I1131" s="2">
        <v>582766</v>
      </c>
      <c r="J1131" s="2" t="s">
        <v>3890</v>
      </c>
      <c r="K1131" s="2" t="s">
        <v>3896</v>
      </c>
      <c r="L1131" s="2">
        <v>2024</v>
      </c>
      <c r="M1131" s="2">
        <v>-419908</v>
      </c>
      <c r="N1131" s="2">
        <f xml:space="preserve"> (Table1[[#This Row],[Variance (USD)]] / Table1[[#This Row],[Actual Spending (USD)]]) * 100</f>
        <v>-72.054306531266405</v>
      </c>
      <c r="O1131" s="5" t="s">
        <v>3897</v>
      </c>
    </row>
    <row r="1132" spans="1:15" x14ac:dyDescent="0.25">
      <c r="A1132" s="4" t="s">
        <v>1145</v>
      </c>
      <c r="B1132" s="2" t="s">
        <v>3150</v>
      </c>
      <c r="C1132" s="2" t="s">
        <v>3869</v>
      </c>
      <c r="D1132" s="2" t="s">
        <v>3879</v>
      </c>
      <c r="E1132" s="3">
        <v>45042</v>
      </c>
      <c r="F1132" s="3">
        <v>45841</v>
      </c>
      <c r="G1132" s="2" t="s">
        <v>3886</v>
      </c>
      <c r="H1132" s="2">
        <v>793631</v>
      </c>
      <c r="I1132" s="2">
        <v>1018128</v>
      </c>
      <c r="J1132" s="2" t="s">
        <v>3891</v>
      </c>
      <c r="K1132" s="2" t="s">
        <v>3893</v>
      </c>
      <c r="L1132" s="2">
        <v>2025</v>
      </c>
      <c r="M1132" s="2">
        <v>-224497</v>
      </c>
      <c r="N1132" s="2">
        <f xml:space="preserve"> (Table1[[#This Row],[Variance (USD)]] / Table1[[#This Row],[Actual Spending (USD)]]) * 100</f>
        <v>-22.049977998837083</v>
      </c>
      <c r="O1132" s="5" t="s">
        <v>3899</v>
      </c>
    </row>
    <row r="1133" spans="1:15" x14ac:dyDescent="0.25">
      <c r="A1133" s="4" t="s">
        <v>1146</v>
      </c>
      <c r="B1133" s="2" t="s">
        <v>3531</v>
      </c>
      <c r="C1133" s="2" t="s">
        <v>3869</v>
      </c>
      <c r="D1133" s="2" t="s">
        <v>3882</v>
      </c>
      <c r="E1133" s="3">
        <v>45088</v>
      </c>
      <c r="F1133" s="3">
        <v>45953</v>
      </c>
      <c r="G1133" s="2" t="s">
        <v>3886</v>
      </c>
      <c r="H1133" s="2">
        <v>543213</v>
      </c>
      <c r="I1133" s="2">
        <v>332476</v>
      </c>
      <c r="J1133" s="2" t="s">
        <v>3890</v>
      </c>
      <c r="K1133" s="2" t="s">
        <v>3893</v>
      </c>
      <c r="L1133" s="2">
        <v>2025</v>
      </c>
      <c r="M1133" s="2">
        <v>210737</v>
      </c>
      <c r="N1133" s="2">
        <f xml:space="preserve"> (Table1[[#This Row],[Variance (USD)]] / Table1[[#This Row],[Actual Spending (USD)]]) * 100</f>
        <v>63.384123966842722</v>
      </c>
      <c r="O1133" s="5" t="s">
        <v>3899</v>
      </c>
    </row>
    <row r="1134" spans="1:15" x14ac:dyDescent="0.25">
      <c r="A1134" s="4" t="s">
        <v>1147</v>
      </c>
      <c r="B1134" s="2" t="s">
        <v>3363</v>
      </c>
      <c r="C1134" s="2" t="s">
        <v>3872</v>
      </c>
      <c r="D1134" s="2" t="s">
        <v>3876</v>
      </c>
      <c r="E1134" s="3">
        <v>45505</v>
      </c>
      <c r="F1134" s="3">
        <v>45832</v>
      </c>
      <c r="G1134" s="2" t="s">
        <v>3886</v>
      </c>
      <c r="H1134" s="2">
        <v>126620</v>
      </c>
      <c r="I1134" s="2">
        <v>954570</v>
      </c>
      <c r="J1134" s="2" t="s">
        <v>3889</v>
      </c>
      <c r="K1134" s="2" t="s">
        <v>3896</v>
      </c>
      <c r="L1134" s="2">
        <v>2025</v>
      </c>
      <c r="M1134" s="2">
        <v>-827950</v>
      </c>
      <c r="N1134" s="2">
        <f xml:space="preserve"> (Table1[[#This Row],[Variance (USD)]] / Table1[[#This Row],[Actual Spending (USD)]]) * 100</f>
        <v>-86.735388709052245</v>
      </c>
      <c r="O1134" s="5" t="s">
        <v>3899</v>
      </c>
    </row>
    <row r="1135" spans="1:15" x14ac:dyDescent="0.25">
      <c r="A1135" s="4" t="s">
        <v>1148</v>
      </c>
      <c r="B1135" s="2" t="s">
        <v>3484</v>
      </c>
      <c r="C1135" s="2" t="s">
        <v>3868</v>
      </c>
      <c r="D1135" s="2" t="s">
        <v>3877</v>
      </c>
      <c r="E1135" s="3">
        <v>45638</v>
      </c>
      <c r="F1135" s="3">
        <v>45435</v>
      </c>
      <c r="G1135" s="2" t="s">
        <v>3884</v>
      </c>
      <c r="H1135" s="2">
        <v>471972</v>
      </c>
      <c r="I1135" s="2">
        <v>75900</v>
      </c>
      <c r="J1135" s="2" t="s">
        <v>3892</v>
      </c>
      <c r="K1135" s="2" t="s">
        <v>3893</v>
      </c>
      <c r="L1135" s="2">
        <v>2024</v>
      </c>
      <c r="M1135" s="2">
        <v>396072</v>
      </c>
      <c r="N1135" s="2">
        <f xml:space="preserve"> (Table1[[#This Row],[Variance (USD)]] / Table1[[#This Row],[Actual Spending (USD)]]) * 100</f>
        <v>521.83399209486163</v>
      </c>
      <c r="O1135" s="5" t="s">
        <v>3897</v>
      </c>
    </row>
    <row r="1136" spans="1:15" x14ac:dyDescent="0.25">
      <c r="A1136" s="4" t="s">
        <v>1149</v>
      </c>
      <c r="B1136" s="2" t="s">
        <v>3149</v>
      </c>
      <c r="C1136" s="2" t="s">
        <v>3872</v>
      </c>
      <c r="D1136" s="2" t="s">
        <v>3880</v>
      </c>
      <c r="E1136" s="3">
        <v>45469</v>
      </c>
      <c r="F1136" s="3">
        <v>45879</v>
      </c>
      <c r="G1136" s="2" t="s">
        <v>3884</v>
      </c>
      <c r="H1136" s="2">
        <v>132604</v>
      </c>
      <c r="I1136" s="2">
        <v>251141</v>
      </c>
      <c r="J1136" s="2" t="s">
        <v>3888</v>
      </c>
      <c r="K1136" s="2" t="s">
        <v>3894</v>
      </c>
      <c r="L1136" s="2">
        <v>2025</v>
      </c>
      <c r="M1136" s="2">
        <v>-118537</v>
      </c>
      <c r="N1136" s="2">
        <f xml:space="preserve"> (Table1[[#This Row],[Variance (USD)]] / Table1[[#This Row],[Actual Spending (USD)]]) * 100</f>
        <v>-47.199382020458621</v>
      </c>
      <c r="O1136" s="5" t="s">
        <v>3897</v>
      </c>
    </row>
    <row r="1137" spans="1:15" x14ac:dyDescent="0.25">
      <c r="A1137" s="4" t="s">
        <v>1150</v>
      </c>
      <c r="B1137" s="2" t="s">
        <v>3198</v>
      </c>
      <c r="C1137" s="2" t="s">
        <v>3868</v>
      </c>
      <c r="D1137" s="2" t="s">
        <v>3877</v>
      </c>
      <c r="E1137" s="3">
        <v>45513</v>
      </c>
      <c r="F1137" s="3">
        <v>45948</v>
      </c>
      <c r="G1137" s="2" t="s">
        <v>3886</v>
      </c>
      <c r="H1137" s="2">
        <v>668740</v>
      </c>
      <c r="I1137" s="2">
        <v>156861</v>
      </c>
      <c r="J1137" s="2" t="s">
        <v>3891</v>
      </c>
      <c r="K1137" s="2" t="s">
        <v>3896</v>
      </c>
      <c r="L1137" s="2">
        <v>2025</v>
      </c>
      <c r="M1137" s="2">
        <v>511879</v>
      </c>
      <c r="N1137" s="2">
        <f xml:space="preserve"> (Table1[[#This Row],[Variance (USD)]] / Table1[[#This Row],[Actual Spending (USD)]]) * 100</f>
        <v>326.32649288223331</v>
      </c>
      <c r="O1137" s="5" t="s">
        <v>3899</v>
      </c>
    </row>
    <row r="1138" spans="1:15" x14ac:dyDescent="0.25">
      <c r="A1138" s="4" t="s">
        <v>1151</v>
      </c>
      <c r="B1138" s="2" t="s">
        <v>3407</v>
      </c>
      <c r="C1138" s="2" t="s">
        <v>3872</v>
      </c>
      <c r="D1138" s="2" t="s">
        <v>3876</v>
      </c>
      <c r="E1138" s="3">
        <v>45163</v>
      </c>
      <c r="F1138" s="3">
        <v>45867</v>
      </c>
      <c r="G1138" s="2" t="s">
        <v>3887</v>
      </c>
      <c r="H1138" s="2">
        <v>970423</v>
      </c>
      <c r="I1138" s="2">
        <v>595386</v>
      </c>
      <c r="J1138" s="2" t="s">
        <v>3889</v>
      </c>
      <c r="K1138" s="2" t="s">
        <v>3895</v>
      </c>
      <c r="L1138" s="2">
        <v>2023</v>
      </c>
      <c r="M1138" s="2">
        <v>375037</v>
      </c>
      <c r="N1138" s="2">
        <f xml:space="preserve"> (Table1[[#This Row],[Variance (USD)]] / Table1[[#This Row],[Actual Spending (USD)]]) * 100</f>
        <v>62.990564104631289</v>
      </c>
      <c r="O1138" s="5" t="s">
        <v>3900</v>
      </c>
    </row>
    <row r="1139" spans="1:15" x14ac:dyDescent="0.25">
      <c r="A1139" s="4" t="s">
        <v>1152</v>
      </c>
      <c r="B1139" s="2" t="s">
        <v>3533</v>
      </c>
      <c r="C1139" s="2" t="s">
        <v>3874</v>
      </c>
      <c r="D1139" s="2" t="s">
        <v>3876</v>
      </c>
      <c r="E1139" s="3">
        <v>44992</v>
      </c>
      <c r="F1139" s="3">
        <v>45636</v>
      </c>
      <c r="G1139" s="2" t="s">
        <v>3885</v>
      </c>
      <c r="H1139" s="2">
        <v>859982</v>
      </c>
      <c r="I1139" s="2">
        <v>562582</v>
      </c>
      <c r="J1139" s="2" t="s">
        <v>3888</v>
      </c>
      <c r="K1139" s="2" t="s">
        <v>3893</v>
      </c>
      <c r="L1139" s="2">
        <v>2025</v>
      </c>
      <c r="M1139" s="2">
        <v>297400</v>
      </c>
      <c r="N1139" s="2">
        <f xml:space="preserve"> (Table1[[#This Row],[Variance (USD)]] / Table1[[#This Row],[Actual Spending (USD)]]) * 100</f>
        <v>52.86340480143339</v>
      </c>
      <c r="O1139" s="5" t="s">
        <v>3898</v>
      </c>
    </row>
    <row r="1140" spans="1:15" x14ac:dyDescent="0.25">
      <c r="A1140" s="4" t="s">
        <v>1153</v>
      </c>
      <c r="B1140" s="2" t="s">
        <v>3643</v>
      </c>
      <c r="C1140" s="2" t="s">
        <v>3875</v>
      </c>
      <c r="D1140" s="2" t="s">
        <v>3876</v>
      </c>
      <c r="E1140" s="3">
        <v>44996</v>
      </c>
      <c r="F1140" s="3">
        <v>45560</v>
      </c>
      <c r="G1140" s="2" t="s">
        <v>3884</v>
      </c>
      <c r="H1140" s="2">
        <v>217596</v>
      </c>
      <c r="I1140" s="2">
        <v>747940</v>
      </c>
      <c r="J1140" s="2" t="s">
        <v>3890</v>
      </c>
      <c r="K1140" s="2" t="s">
        <v>3895</v>
      </c>
      <c r="L1140" s="2">
        <v>2023</v>
      </c>
      <c r="M1140" s="2">
        <v>-530344</v>
      </c>
      <c r="N1140" s="2">
        <f xml:space="preserve"> (Table1[[#This Row],[Variance (USD)]] / Table1[[#This Row],[Actual Spending (USD)]]) * 100</f>
        <v>-70.90729202877236</v>
      </c>
      <c r="O1140" s="5" t="s">
        <v>3897</v>
      </c>
    </row>
    <row r="1141" spans="1:15" x14ac:dyDescent="0.25">
      <c r="A1141" s="4" t="s">
        <v>1154</v>
      </c>
      <c r="B1141" s="2" t="s">
        <v>3644</v>
      </c>
      <c r="C1141" s="2" t="s">
        <v>3871</v>
      </c>
      <c r="D1141" s="2" t="s">
        <v>3881</v>
      </c>
      <c r="E1141" s="3">
        <v>45373</v>
      </c>
      <c r="F1141" s="3">
        <v>45987</v>
      </c>
      <c r="G1141" s="2" t="s">
        <v>3885</v>
      </c>
      <c r="H1141" s="2">
        <v>497822</v>
      </c>
      <c r="I1141" s="2">
        <v>199173</v>
      </c>
      <c r="J1141" s="2" t="s">
        <v>3888</v>
      </c>
      <c r="K1141" s="2" t="s">
        <v>3893</v>
      </c>
      <c r="L1141" s="2">
        <v>2024</v>
      </c>
      <c r="M1141" s="2">
        <v>298649</v>
      </c>
      <c r="N1141" s="2">
        <f xml:space="preserve"> (Table1[[#This Row],[Variance (USD)]] / Table1[[#This Row],[Actual Spending (USD)]]) * 100</f>
        <v>149.94452059265063</v>
      </c>
      <c r="O1141" s="5" t="s">
        <v>3898</v>
      </c>
    </row>
    <row r="1142" spans="1:15" x14ac:dyDescent="0.25">
      <c r="A1142" s="4" t="s">
        <v>1155</v>
      </c>
      <c r="B1142" s="2" t="s">
        <v>3562</v>
      </c>
      <c r="C1142" s="2" t="s">
        <v>3871</v>
      </c>
      <c r="D1142" s="2" t="s">
        <v>3878</v>
      </c>
      <c r="E1142" s="3">
        <v>45342</v>
      </c>
      <c r="F1142" s="3">
        <v>45559</v>
      </c>
      <c r="G1142" s="2" t="s">
        <v>3884</v>
      </c>
      <c r="H1142" s="2">
        <v>774179</v>
      </c>
      <c r="I1142" s="2">
        <v>857058</v>
      </c>
      <c r="J1142" s="2" t="s">
        <v>3892</v>
      </c>
      <c r="K1142" s="2" t="s">
        <v>3896</v>
      </c>
      <c r="L1142" s="2">
        <v>2025</v>
      </c>
      <c r="M1142" s="2">
        <v>-82879</v>
      </c>
      <c r="N1142" s="2">
        <f xml:space="preserve"> (Table1[[#This Row],[Variance (USD)]] / Table1[[#This Row],[Actual Spending (USD)]]) * 100</f>
        <v>-9.6701740138940426</v>
      </c>
      <c r="O1142" s="5" t="s">
        <v>3897</v>
      </c>
    </row>
    <row r="1143" spans="1:15" x14ac:dyDescent="0.25">
      <c r="A1143" s="4" t="s">
        <v>1156</v>
      </c>
      <c r="B1143" s="2" t="s">
        <v>3194</v>
      </c>
      <c r="C1143" s="2" t="s">
        <v>3868</v>
      </c>
      <c r="D1143" s="2" t="s">
        <v>3883</v>
      </c>
      <c r="E1143" s="3">
        <v>45458</v>
      </c>
      <c r="F1143" s="3">
        <v>45460</v>
      </c>
      <c r="G1143" s="2" t="s">
        <v>3884</v>
      </c>
      <c r="H1143" s="2">
        <v>644515</v>
      </c>
      <c r="I1143" s="2">
        <v>574991</v>
      </c>
      <c r="J1143" s="2" t="s">
        <v>3888</v>
      </c>
      <c r="K1143" s="2" t="s">
        <v>3895</v>
      </c>
      <c r="L1143" s="2">
        <v>2023</v>
      </c>
      <c r="M1143" s="2">
        <v>69524</v>
      </c>
      <c r="N1143" s="2">
        <f xml:space="preserve"> (Table1[[#This Row],[Variance (USD)]] / Table1[[#This Row],[Actual Spending (USD)]]) * 100</f>
        <v>12.091319690221239</v>
      </c>
      <c r="O1143" s="5" t="s">
        <v>3897</v>
      </c>
    </row>
    <row r="1144" spans="1:15" x14ac:dyDescent="0.25">
      <c r="A1144" s="4" t="s">
        <v>1157</v>
      </c>
      <c r="B1144" s="2" t="s">
        <v>3645</v>
      </c>
      <c r="C1144" s="2" t="s">
        <v>3873</v>
      </c>
      <c r="D1144" s="2" t="s">
        <v>3877</v>
      </c>
      <c r="E1144" s="3">
        <v>45367</v>
      </c>
      <c r="F1144" s="3">
        <v>45324</v>
      </c>
      <c r="G1144" s="2" t="s">
        <v>3884</v>
      </c>
      <c r="H1144" s="2">
        <v>335356</v>
      </c>
      <c r="I1144" s="2">
        <v>920125</v>
      </c>
      <c r="J1144" s="2" t="s">
        <v>3888</v>
      </c>
      <c r="K1144" s="2" t="s">
        <v>3893</v>
      </c>
      <c r="L1144" s="2">
        <v>2023</v>
      </c>
      <c r="M1144" s="2">
        <v>-584769</v>
      </c>
      <c r="N1144" s="2">
        <f xml:space="preserve"> (Table1[[#This Row],[Variance (USD)]] / Table1[[#This Row],[Actual Spending (USD)]]) * 100</f>
        <v>-63.55321287868496</v>
      </c>
      <c r="O1144" s="5" t="s">
        <v>3897</v>
      </c>
    </row>
    <row r="1145" spans="1:15" x14ac:dyDescent="0.25">
      <c r="A1145" s="4" t="s">
        <v>1158</v>
      </c>
      <c r="B1145" s="2" t="s">
        <v>3496</v>
      </c>
      <c r="C1145" s="2" t="s">
        <v>3870</v>
      </c>
      <c r="D1145" s="2" t="s">
        <v>3882</v>
      </c>
      <c r="E1145" s="3">
        <v>45390</v>
      </c>
      <c r="F1145" s="3">
        <v>45668</v>
      </c>
      <c r="G1145" s="2" t="s">
        <v>3884</v>
      </c>
      <c r="H1145" s="2">
        <v>352262</v>
      </c>
      <c r="I1145" s="2">
        <v>484633</v>
      </c>
      <c r="J1145" s="2" t="s">
        <v>3890</v>
      </c>
      <c r="K1145" s="2" t="s">
        <v>3894</v>
      </c>
      <c r="L1145" s="2">
        <v>2023</v>
      </c>
      <c r="M1145" s="2">
        <v>-132371</v>
      </c>
      <c r="N1145" s="2">
        <f xml:space="preserve"> (Table1[[#This Row],[Variance (USD)]] / Table1[[#This Row],[Actual Spending (USD)]]) * 100</f>
        <v>-27.313657963861317</v>
      </c>
      <c r="O1145" s="5" t="s">
        <v>3897</v>
      </c>
    </row>
    <row r="1146" spans="1:15" x14ac:dyDescent="0.25">
      <c r="A1146" s="4" t="s">
        <v>1159</v>
      </c>
      <c r="B1146" s="2" t="s">
        <v>3313</v>
      </c>
      <c r="C1146" s="2" t="s">
        <v>3869</v>
      </c>
      <c r="D1146" s="2" t="s">
        <v>3881</v>
      </c>
      <c r="E1146" s="3">
        <v>45322</v>
      </c>
      <c r="F1146" s="3">
        <v>45505</v>
      </c>
      <c r="G1146" s="2" t="s">
        <v>3886</v>
      </c>
      <c r="H1146" s="2">
        <v>865034</v>
      </c>
      <c r="I1146" s="2">
        <v>744588</v>
      </c>
      <c r="J1146" s="2" t="s">
        <v>3890</v>
      </c>
      <c r="K1146" s="2" t="s">
        <v>3896</v>
      </c>
      <c r="L1146" s="2">
        <v>2024</v>
      </c>
      <c r="M1146" s="2">
        <v>120446</v>
      </c>
      <c r="N1146" s="2">
        <f xml:space="preserve"> (Table1[[#This Row],[Variance (USD)]] / Table1[[#This Row],[Actual Spending (USD)]]) * 100</f>
        <v>16.176194083170827</v>
      </c>
      <c r="O1146" s="5" t="s">
        <v>3899</v>
      </c>
    </row>
    <row r="1147" spans="1:15" x14ac:dyDescent="0.25">
      <c r="A1147" s="4" t="s">
        <v>1160</v>
      </c>
      <c r="B1147" s="2" t="s">
        <v>3475</v>
      </c>
      <c r="C1147" s="2" t="s">
        <v>3869</v>
      </c>
      <c r="D1147" s="2" t="s">
        <v>3882</v>
      </c>
      <c r="E1147" s="3">
        <v>45637</v>
      </c>
      <c r="F1147" s="3">
        <v>45853</v>
      </c>
      <c r="G1147" s="2" t="s">
        <v>3884</v>
      </c>
      <c r="H1147" s="2">
        <v>591828</v>
      </c>
      <c r="I1147" s="2">
        <v>565916</v>
      </c>
      <c r="J1147" s="2" t="s">
        <v>3891</v>
      </c>
      <c r="K1147" s="2" t="s">
        <v>3893</v>
      </c>
      <c r="L1147" s="2">
        <v>2025</v>
      </c>
      <c r="M1147" s="2">
        <v>25912</v>
      </c>
      <c r="N1147" s="2">
        <f xml:space="preserve"> (Table1[[#This Row],[Variance (USD)]] / Table1[[#This Row],[Actual Spending (USD)]]) * 100</f>
        <v>4.5787714077707644</v>
      </c>
      <c r="O1147" s="5" t="s">
        <v>3897</v>
      </c>
    </row>
    <row r="1148" spans="1:15" x14ac:dyDescent="0.25">
      <c r="A1148" s="4" t="s">
        <v>1161</v>
      </c>
      <c r="B1148" s="2" t="s">
        <v>3646</v>
      </c>
      <c r="C1148" s="2" t="s">
        <v>3868</v>
      </c>
      <c r="D1148" s="2" t="s">
        <v>3883</v>
      </c>
      <c r="E1148" s="3">
        <v>45477</v>
      </c>
      <c r="F1148" s="3">
        <v>45731</v>
      </c>
      <c r="G1148" s="2" t="s">
        <v>3884</v>
      </c>
      <c r="H1148" s="2">
        <v>216901</v>
      </c>
      <c r="I1148" s="2">
        <v>657943</v>
      </c>
      <c r="J1148" s="2" t="s">
        <v>3890</v>
      </c>
      <c r="K1148" s="2" t="s">
        <v>3893</v>
      </c>
      <c r="L1148" s="2">
        <v>2024</v>
      </c>
      <c r="M1148" s="2">
        <v>-441042</v>
      </c>
      <c r="N1148" s="2">
        <f xml:space="preserve"> (Table1[[#This Row],[Variance (USD)]] / Table1[[#This Row],[Actual Spending (USD)]]) * 100</f>
        <v>-67.033466424903068</v>
      </c>
      <c r="O1148" s="5" t="s">
        <v>3897</v>
      </c>
    </row>
    <row r="1149" spans="1:15" x14ac:dyDescent="0.25">
      <c r="A1149" s="4" t="s">
        <v>1162</v>
      </c>
      <c r="B1149" s="2" t="s">
        <v>3228</v>
      </c>
      <c r="C1149" s="2" t="s">
        <v>3874</v>
      </c>
      <c r="D1149" s="2" t="s">
        <v>3883</v>
      </c>
      <c r="E1149" s="3">
        <v>45583</v>
      </c>
      <c r="F1149" s="3">
        <v>45783</v>
      </c>
      <c r="G1149" s="2" t="s">
        <v>3884</v>
      </c>
      <c r="H1149" s="2">
        <v>237381</v>
      </c>
      <c r="I1149" s="2">
        <v>298662</v>
      </c>
      <c r="J1149" s="2" t="s">
        <v>3888</v>
      </c>
      <c r="K1149" s="2" t="s">
        <v>3893</v>
      </c>
      <c r="L1149" s="2">
        <v>2023</v>
      </c>
      <c r="M1149" s="2">
        <v>-61281</v>
      </c>
      <c r="N1149" s="2">
        <f xml:space="preserve"> (Table1[[#This Row],[Variance (USD)]] / Table1[[#This Row],[Actual Spending (USD)]]) * 100</f>
        <v>-20.51851256604456</v>
      </c>
      <c r="O1149" s="5" t="s">
        <v>3897</v>
      </c>
    </row>
    <row r="1150" spans="1:15" x14ac:dyDescent="0.25">
      <c r="A1150" s="4" t="s">
        <v>1163</v>
      </c>
      <c r="B1150" s="2" t="s">
        <v>3501</v>
      </c>
      <c r="C1150" s="2" t="s">
        <v>3872</v>
      </c>
      <c r="D1150" s="2" t="s">
        <v>3880</v>
      </c>
      <c r="E1150" s="3">
        <v>45483</v>
      </c>
      <c r="F1150" s="3">
        <v>45684</v>
      </c>
      <c r="G1150" s="2" t="s">
        <v>3884</v>
      </c>
      <c r="H1150" s="2">
        <v>770763</v>
      </c>
      <c r="I1150" s="2">
        <v>199563</v>
      </c>
      <c r="J1150" s="2" t="s">
        <v>3892</v>
      </c>
      <c r="K1150" s="2" t="s">
        <v>3896</v>
      </c>
      <c r="L1150" s="2">
        <v>2024</v>
      </c>
      <c r="M1150" s="2">
        <v>571200</v>
      </c>
      <c r="N1150" s="2">
        <f xml:space="preserve"> (Table1[[#This Row],[Variance (USD)]] / Table1[[#This Row],[Actual Spending (USD)]]) * 100</f>
        <v>286.2254025044723</v>
      </c>
      <c r="O1150" s="5" t="s">
        <v>3897</v>
      </c>
    </row>
    <row r="1151" spans="1:15" x14ac:dyDescent="0.25">
      <c r="A1151" s="4" t="s">
        <v>1164</v>
      </c>
      <c r="B1151" s="2" t="s">
        <v>3571</v>
      </c>
      <c r="C1151" s="2" t="s">
        <v>3873</v>
      </c>
      <c r="D1151" s="2" t="s">
        <v>3876</v>
      </c>
      <c r="E1151" s="3">
        <v>45321</v>
      </c>
      <c r="F1151" s="3">
        <v>45780</v>
      </c>
      <c r="G1151" s="2" t="s">
        <v>3886</v>
      </c>
      <c r="H1151" s="2">
        <v>907887</v>
      </c>
      <c r="I1151" s="2">
        <v>493054</v>
      </c>
      <c r="J1151" s="2" t="s">
        <v>3890</v>
      </c>
      <c r="K1151" s="2" t="s">
        <v>3893</v>
      </c>
      <c r="L1151" s="2">
        <v>2024</v>
      </c>
      <c r="M1151" s="2">
        <v>414833</v>
      </c>
      <c r="N1151" s="2">
        <f xml:space="preserve"> (Table1[[#This Row],[Variance (USD)]] / Table1[[#This Row],[Actual Spending (USD)]]) * 100</f>
        <v>84.135409103262532</v>
      </c>
      <c r="O1151" s="5" t="s">
        <v>3899</v>
      </c>
    </row>
    <row r="1152" spans="1:15" x14ac:dyDescent="0.25">
      <c r="A1152" s="4" t="s">
        <v>1165</v>
      </c>
      <c r="B1152" s="2" t="s">
        <v>3611</v>
      </c>
      <c r="C1152" s="2" t="s">
        <v>3875</v>
      </c>
      <c r="D1152" s="2" t="s">
        <v>3878</v>
      </c>
      <c r="E1152" s="3">
        <v>45252</v>
      </c>
      <c r="F1152" s="3">
        <v>46013</v>
      </c>
      <c r="G1152" s="2" t="s">
        <v>3884</v>
      </c>
      <c r="H1152" s="2">
        <v>596565</v>
      </c>
      <c r="I1152" s="2">
        <v>326455</v>
      </c>
      <c r="J1152" s="2" t="s">
        <v>3891</v>
      </c>
      <c r="K1152" s="2" t="s">
        <v>3893</v>
      </c>
      <c r="L1152" s="2">
        <v>2023</v>
      </c>
      <c r="M1152" s="2">
        <v>270110</v>
      </c>
      <c r="N1152" s="2">
        <f xml:space="preserve"> (Table1[[#This Row],[Variance (USD)]] / Table1[[#This Row],[Actual Spending (USD)]]) * 100</f>
        <v>82.740347061616461</v>
      </c>
      <c r="O1152" s="5" t="s">
        <v>3897</v>
      </c>
    </row>
    <row r="1153" spans="1:15" x14ac:dyDescent="0.25">
      <c r="A1153" s="4" t="s">
        <v>1166</v>
      </c>
      <c r="B1153" s="2" t="s">
        <v>3647</v>
      </c>
      <c r="C1153" s="2" t="s">
        <v>3872</v>
      </c>
      <c r="D1153" s="2" t="s">
        <v>3880</v>
      </c>
      <c r="E1153" s="3">
        <v>45017</v>
      </c>
      <c r="F1153" s="3">
        <v>45320</v>
      </c>
      <c r="G1153" s="2" t="s">
        <v>3884</v>
      </c>
      <c r="H1153" s="2">
        <v>693421</v>
      </c>
      <c r="I1153" s="2">
        <v>260842</v>
      </c>
      <c r="J1153" s="2" t="s">
        <v>3891</v>
      </c>
      <c r="K1153" s="2" t="s">
        <v>3895</v>
      </c>
      <c r="L1153" s="2">
        <v>2025</v>
      </c>
      <c r="M1153" s="2">
        <v>432579</v>
      </c>
      <c r="N1153" s="2">
        <f xml:space="preserve"> (Table1[[#This Row],[Variance (USD)]] / Table1[[#This Row],[Actual Spending (USD)]]) * 100</f>
        <v>165.8394737043881</v>
      </c>
      <c r="O1153" s="5" t="s">
        <v>3897</v>
      </c>
    </row>
    <row r="1154" spans="1:15" x14ac:dyDescent="0.25">
      <c r="A1154" s="4" t="s">
        <v>1167</v>
      </c>
      <c r="B1154" s="2" t="s">
        <v>3611</v>
      </c>
      <c r="C1154" s="2" t="s">
        <v>3872</v>
      </c>
      <c r="D1154" s="2" t="s">
        <v>3879</v>
      </c>
      <c r="E1154" s="3">
        <v>44996</v>
      </c>
      <c r="F1154" s="3">
        <v>45330</v>
      </c>
      <c r="G1154" s="2" t="s">
        <v>3886</v>
      </c>
      <c r="H1154" s="2">
        <v>502889</v>
      </c>
      <c r="I1154" s="2">
        <v>265612</v>
      </c>
      <c r="J1154" s="2" t="s">
        <v>3888</v>
      </c>
      <c r="K1154" s="2" t="s">
        <v>3895</v>
      </c>
      <c r="L1154" s="2">
        <v>2025</v>
      </c>
      <c r="M1154" s="2">
        <v>237277</v>
      </c>
      <c r="N1154" s="2">
        <f xml:space="preserve"> (Table1[[#This Row],[Variance (USD)]] / Table1[[#This Row],[Actual Spending (USD)]]) * 100</f>
        <v>89.332183786877096</v>
      </c>
      <c r="O1154" s="5" t="s">
        <v>3899</v>
      </c>
    </row>
    <row r="1155" spans="1:15" x14ac:dyDescent="0.25">
      <c r="A1155" s="4" t="s">
        <v>1168</v>
      </c>
      <c r="B1155" s="2" t="s">
        <v>3319</v>
      </c>
      <c r="C1155" s="2" t="s">
        <v>3868</v>
      </c>
      <c r="D1155" s="2" t="s">
        <v>3881</v>
      </c>
      <c r="E1155" s="3">
        <v>45092</v>
      </c>
      <c r="F1155" s="3">
        <v>45903</v>
      </c>
      <c r="G1155" s="2" t="s">
        <v>3886</v>
      </c>
      <c r="H1155" s="2">
        <v>302196</v>
      </c>
      <c r="I1155" s="2">
        <v>273095</v>
      </c>
      <c r="J1155" s="2" t="s">
        <v>3890</v>
      </c>
      <c r="K1155" s="2" t="s">
        <v>3896</v>
      </c>
      <c r="L1155" s="2">
        <v>2024</v>
      </c>
      <c r="M1155" s="2">
        <v>29101</v>
      </c>
      <c r="N1155" s="2">
        <f xml:space="preserve"> (Table1[[#This Row],[Variance (USD)]] / Table1[[#This Row],[Actual Spending (USD)]]) * 100</f>
        <v>10.655998828246581</v>
      </c>
      <c r="O1155" s="5" t="s">
        <v>3899</v>
      </c>
    </row>
    <row r="1156" spans="1:15" x14ac:dyDescent="0.25">
      <c r="A1156" s="4" t="s">
        <v>1169</v>
      </c>
      <c r="B1156" s="2" t="s">
        <v>3588</v>
      </c>
      <c r="C1156" s="2" t="s">
        <v>3868</v>
      </c>
      <c r="D1156" s="2" t="s">
        <v>3881</v>
      </c>
      <c r="E1156" s="3">
        <v>45568</v>
      </c>
      <c r="F1156" s="3">
        <v>45464</v>
      </c>
      <c r="G1156" s="2" t="s">
        <v>3886</v>
      </c>
      <c r="H1156" s="2">
        <v>985180</v>
      </c>
      <c r="I1156" s="2">
        <v>866765</v>
      </c>
      <c r="J1156" s="2" t="s">
        <v>3890</v>
      </c>
      <c r="K1156" s="2" t="s">
        <v>3896</v>
      </c>
      <c r="L1156" s="2">
        <v>2025</v>
      </c>
      <c r="M1156" s="2">
        <v>118415</v>
      </c>
      <c r="N1156" s="2">
        <f xml:space="preserve"> (Table1[[#This Row],[Variance (USD)]] / Table1[[#This Row],[Actual Spending (USD)]]) * 100</f>
        <v>13.661719151096319</v>
      </c>
      <c r="O1156" s="5" t="s">
        <v>3899</v>
      </c>
    </row>
    <row r="1157" spans="1:15" x14ac:dyDescent="0.25">
      <c r="A1157" s="4" t="s">
        <v>1170</v>
      </c>
      <c r="B1157" s="2" t="s">
        <v>3640</v>
      </c>
      <c r="C1157" s="2" t="s">
        <v>3874</v>
      </c>
      <c r="D1157" s="2" t="s">
        <v>3878</v>
      </c>
      <c r="E1157" s="3">
        <v>45140</v>
      </c>
      <c r="F1157" s="3">
        <v>45308</v>
      </c>
      <c r="G1157" s="2" t="s">
        <v>3884</v>
      </c>
      <c r="H1157" s="2">
        <v>486060</v>
      </c>
      <c r="I1157" s="2">
        <v>736658</v>
      </c>
      <c r="J1157" s="2" t="s">
        <v>3891</v>
      </c>
      <c r="K1157" s="2" t="s">
        <v>3894</v>
      </c>
      <c r="L1157" s="2">
        <v>2023</v>
      </c>
      <c r="M1157" s="2">
        <v>-250598</v>
      </c>
      <c r="N1157" s="2">
        <f xml:space="preserve"> (Table1[[#This Row],[Variance (USD)]] / Table1[[#This Row],[Actual Spending (USD)]]) * 100</f>
        <v>-34.018228268748864</v>
      </c>
      <c r="O1157" s="5" t="s">
        <v>3897</v>
      </c>
    </row>
    <row r="1158" spans="1:15" x14ac:dyDescent="0.25">
      <c r="A1158" s="4" t="s">
        <v>1171</v>
      </c>
      <c r="B1158" s="2" t="s">
        <v>3089</v>
      </c>
      <c r="C1158" s="2" t="s">
        <v>3869</v>
      </c>
      <c r="D1158" s="2" t="s">
        <v>3883</v>
      </c>
      <c r="E1158" s="3">
        <v>45527</v>
      </c>
      <c r="F1158" s="3">
        <v>45347</v>
      </c>
      <c r="G1158" s="2" t="s">
        <v>3885</v>
      </c>
      <c r="H1158" s="2">
        <v>846184</v>
      </c>
      <c r="I1158" s="2">
        <v>376336</v>
      </c>
      <c r="J1158" s="2" t="s">
        <v>3890</v>
      </c>
      <c r="K1158" s="2" t="s">
        <v>3893</v>
      </c>
      <c r="L1158" s="2">
        <v>2025</v>
      </c>
      <c r="M1158" s="2">
        <v>469848</v>
      </c>
      <c r="N1158" s="2">
        <f xml:space="preserve"> (Table1[[#This Row],[Variance (USD)]] / Table1[[#This Row],[Actual Spending (USD)]]) * 100</f>
        <v>124.84800816291823</v>
      </c>
      <c r="O1158" s="5" t="s">
        <v>3898</v>
      </c>
    </row>
    <row r="1159" spans="1:15" x14ac:dyDescent="0.25">
      <c r="A1159" s="4" t="s">
        <v>1172</v>
      </c>
      <c r="B1159" s="2" t="s">
        <v>3480</v>
      </c>
      <c r="C1159" s="2" t="s">
        <v>3868</v>
      </c>
      <c r="D1159" s="2" t="s">
        <v>3882</v>
      </c>
      <c r="E1159" s="3">
        <v>45261</v>
      </c>
      <c r="F1159" s="3">
        <v>45517</v>
      </c>
      <c r="G1159" s="2" t="s">
        <v>3885</v>
      </c>
      <c r="H1159" s="2">
        <v>262620</v>
      </c>
      <c r="I1159" s="2">
        <v>596099</v>
      </c>
      <c r="J1159" s="2" t="s">
        <v>3888</v>
      </c>
      <c r="K1159" s="2" t="s">
        <v>3895</v>
      </c>
      <c r="L1159" s="2">
        <v>2024</v>
      </c>
      <c r="M1159" s="2">
        <v>-333479</v>
      </c>
      <c r="N1159" s="2">
        <f xml:space="preserve"> (Table1[[#This Row],[Variance (USD)]] / Table1[[#This Row],[Actual Spending (USD)]]) * 100</f>
        <v>-55.943559710719192</v>
      </c>
      <c r="O1159" s="5" t="s">
        <v>3898</v>
      </c>
    </row>
    <row r="1160" spans="1:15" x14ac:dyDescent="0.25">
      <c r="A1160" s="4" t="s">
        <v>1173</v>
      </c>
      <c r="B1160" s="2" t="s">
        <v>3050</v>
      </c>
      <c r="C1160" s="2" t="s">
        <v>3868</v>
      </c>
      <c r="D1160" s="2" t="s">
        <v>3881</v>
      </c>
      <c r="E1160" s="3">
        <v>45295</v>
      </c>
      <c r="F1160" s="3">
        <v>45849</v>
      </c>
      <c r="G1160" s="2" t="s">
        <v>3885</v>
      </c>
      <c r="H1160" s="2">
        <v>517927</v>
      </c>
      <c r="I1160" s="2">
        <v>624360</v>
      </c>
      <c r="J1160" s="2" t="s">
        <v>3892</v>
      </c>
      <c r="K1160" s="2" t="s">
        <v>3895</v>
      </c>
      <c r="L1160" s="2">
        <v>2023</v>
      </c>
      <c r="M1160" s="2">
        <v>-106433</v>
      </c>
      <c r="N1160" s="2">
        <f xml:space="preserve"> (Table1[[#This Row],[Variance (USD)]] / Table1[[#This Row],[Actual Spending (USD)]]) * 100</f>
        <v>-17.046735857518097</v>
      </c>
      <c r="O1160" s="5" t="s">
        <v>3898</v>
      </c>
    </row>
    <row r="1161" spans="1:15" x14ac:dyDescent="0.25">
      <c r="A1161" s="4" t="s">
        <v>1174</v>
      </c>
      <c r="B1161" s="2" t="s">
        <v>3648</v>
      </c>
      <c r="C1161" s="2" t="s">
        <v>3868</v>
      </c>
      <c r="D1161" s="2" t="s">
        <v>3878</v>
      </c>
      <c r="E1161" s="3">
        <v>45510</v>
      </c>
      <c r="F1161" s="3">
        <v>45358</v>
      </c>
      <c r="G1161" s="2" t="s">
        <v>3886</v>
      </c>
      <c r="H1161" s="2">
        <v>483886</v>
      </c>
      <c r="I1161" s="2">
        <v>669695</v>
      </c>
      <c r="J1161" s="2" t="s">
        <v>3888</v>
      </c>
      <c r="K1161" s="2" t="s">
        <v>3893</v>
      </c>
      <c r="L1161" s="2">
        <v>2023</v>
      </c>
      <c r="M1161" s="2">
        <v>-185809</v>
      </c>
      <c r="N1161" s="2">
        <f xml:space="preserve"> (Table1[[#This Row],[Variance (USD)]] / Table1[[#This Row],[Actual Spending (USD)]]) * 100</f>
        <v>-27.745316897990875</v>
      </c>
      <c r="O1161" s="5" t="s">
        <v>3899</v>
      </c>
    </row>
    <row r="1162" spans="1:15" x14ac:dyDescent="0.25">
      <c r="A1162" s="4" t="s">
        <v>1175</v>
      </c>
      <c r="B1162" s="2" t="s">
        <v>3179</v>
      </c>
      <c r="C1162" s="2" t="s">
        <v>3874</v>
      </c>
      <c r="D1162" s="2" t="s">
        <v>3881</v>
      </c>
      <c r="E1162" s="3">
        <v>45603</v>
      </c>
      <c r="F1162" s="3">
        <v>45488</v>
      </c>
      <c r="G1162" s="2" t="s">
        <v>3884</v>
      </c>
      <c r="H1162" s="2">
        <v>248675</v>
      </c>
      <c r="I1162" s="2">
        <v>280440</v>
      </c>
      <c r="J1162" s="2" t="s">
        <v>3890</v>
      </c>
      <c r="K1162" s="2" t="s">
        <v>3893</v>
      </c>
      <c r="L1162" s="2">
        <v>2023</v>
      </c>
      <c r="M1162" s="2">
        <v>-31765</v>
      </c>
      <c r="N1162" s="2">
        <f xml:space="preserve"> (Table1[[#This Row],[Variance (USD)]] / Table1[[#This Row],[Actual Spending (USD)]]) * 100</f>
        <v>-11.326843531593211</v>
      </c>
      <c r="O1162" s="5" t="s">
        <v>3897</v>
      </c>
    </row>
    <row r="1163" spans="1:15" x14ac:dyDescent="0.25">
      <c r="A1163" s="4" t="s">
        <v>1176</v>
      </c>
      <c r="B1163" s="2" t="s">
        <v>3649</v>
      </c>
      <c r="C1163" s="2" t="s">
        <v>3869</v>
      </c>
      <c r="D1163" s="2" t="s">
        <v>3881</v>
      </c>
      <c r="E1163" s="3">
        <v>44975</v>
      </c>
      <c r="F1163" s="3">
        <v>45945</v>
      </c>
      <c r="G1163" s="2" t="s">
        <v>3887</v>
      </c>
      <c r="H1163" s="2">
        <v>736838</v>
      </c>
      <c r="I1163" s="2">
        <v>1121550</v>
      </c>
      <c r="J1163" s="2" t="s">
        <v>3888</v>
      </c>
      <c r="K1163" s="2" t="s">
        <v>3896</v>
      </c>
      <c r="L1163" s="2">
        <v>2024</v>
      </c>
      <c r="M1163" s="2">
        <v>-384712</v>
      </c>
      <c r="N1163" s="2">
        <f xml:space="preserve"> (Table1[[#This Row],[Variance (USD)]] / Table1[[#This Row],[Actual Spending (USD)]]) * 100</f>
        <v>-34.301814453212067</v>
      </c>
      <c r="O1163" s="5" t="s">
        <v>3900</v>
      </c>
    </row>
    <row r="1164" spans="1:15" x14ac:dyDescent="0.25">
      <c r="A1164" s="4" t="s">
        <v>1177</v>
      </c>
      <c r="B1164" s="2" t="s">
        <v>3167</v>
      </c>
      <c r="C1164" s="2" t="s">
        <v>3875</v>
      </c>
      <c r="D1164" s="2" t="s">
        <v>3876</v>
      </c>
      <c r="E1164" s="3">
        <v>44978</v>
      </c>
      <c r="F1164" s="3">
        <v>45314</v>
      </c>
      <c r="G1164" s="2" t="s">
        <v>3884</v>
      </c>
      <c r="H1164" s="2">
        <v>469655</v>
      </c>
      <c r="I1164" s="2">
        <v>705216</v>
      </c>
      <c r="J1164" s="2" t="s">
        <v>3889</v>
      </c>
      <c r="K1164" s="2" t="s">
        <v>3894</v>
      </c>
      <c r="L1164" s="2">
        <v>2024</v>
      </c>
      <c r="M1164" s="2">
        <v>-235561</v>
      </c>
      <c r="N1164" s="2">
        <f xml:space="preserve"> (Table1[[#This Row],[Variance (USD)]] / Table1[[#This Row],[Actual Spending (USD)]]) * 100</f>
        <v>-33.40267379072511</v>
      </c>
      <c r="O1164" s="5" t="s">
        <v>3897</v>
      </c>
    </row>
    <row r="1165" spans="1:15" x14ac:dyDescent="0.25">
      <c r="A1165" s="4" t="s">
        <v>1178</v>
      </c>
      <c r="B1165" s="2" t="s">
        <v>3339</v>
      </c>
      <c r="C1165" s="2" t="s">
        <v>3875</v>
      </c>
      <c r="D1165" s="2" t="s">
        <v>3879</v>
      </c>
      <c r="E1165" s="3">
        <v>45215</v>
      </c>
      <c r="F1165" s="3">
        <v>45897</v>
      </c>
      <c r="G1165" s="2" t="s">
        <v>3884</v>
      </c>
      <c r="H1165" s="2">
        <v>821784</v>
      </c>
      <c r="I1165" s="2">
        <v>992334</v>
      </c>
      <c r="J1165" s="2" t="s">
        <v>3889</v>
      </c>
      <c r="K1165" s="2" t="s">
        <v>3894</v>
      </c>
      <c r="L1165" s="2">
        <v>2025</v>
      </c>
      <c r="M1165" s="2">
        <v>-170550</v>
      </c>
      <c r="N1165" s="2">
        <f xml:space="preserve"> (Table1[[#This Row],[Variance (USD)]] / Table1[[#This Row],[Actual Spending (USD)]]) * 100</f>
        <v>-17.186753653507793</v>
      </c>
      <c r="O1165" s="5" t="s">
        <v>3897</v>
      </c>
    </row>
    <row r="1166" spans="1:15" x14ac:dyDescent="0.25">
      <c r="A1166" s="4" t="s">
        <v>1179</v>
      </c>
      <c r="B1166" s="2" t="s">
        <v>3229</v>
      </c>
      <c r="C1166" s="2" t="s">
        <v>3870</v>
      </c>
      <c r="D1166" s="2" t="s">
        <v>3876</v>
      </c>
      <c r="E1166" s="3">
        <v>45552</v>
      </c>
      <c r="F1166" s="3">
        <v>45528</v>
      </c>
      <c r="G1166" s="2" t="s">
        <v>3884</v>
      </c>
      <c r="H1166" s="2">
        <v>961764</v>
      </c>
      <c r="I1166" s="2">
        <v>391007</v>
      </c>
      <c r="J1166" s="2" t="s">
        <v>3890</v>
      </c>
      <c r="K1166" s="2" t="s">
        <v>3896</v>
      </c>
      <c r="L1166" s="2">
        <v>2024</v>
      </c>
      <c r="M1166" s="2">
        <v>570757</v>
      </c>
      <c r="N1166" s="2">
        <f xml:space="preserve"> (Table1[[#This Row],[Variance (USD)]] / Table1[[#This Row],[Actual Spending (USD)]]) * 100</f>
        <v>145.9710439966548</v>
      </c>
      <c r="O1166" s="5" t="s">
        <v>3897</v>
      </c>
    </row>
    <row r="1167" spans="1:15" x14ac:dyDescent="0.25">
      <c r="A1167" s="4" t="s">
        <v>1180</v>
      </c>
      <c r="B1167" s="2" t="s">
        <v>3575</v>
      </c>
      <c r="C1167" s="2" t="s">
        <v>3870</v>
      </c>
      <c r="D1167" s="2" t="s">
        <v>3879</v>
      </c>
      <c r="E1167" s="3">
        <v>45165</v>
      </c>
      <c r="F1167" s="3">
        <v>45857</v>
      </c>
      <c r="G1167" s="2" t="s">
        <v>3884</v>
      </c>
      <c r="H1167" s="2">
        <v>473026</v>
      </c>
      <c r="I1167" s="2">
        <v>916469</v>
      </c>
      <c r="J1167" s="2" t="s">
        <v>3890</v>
      </c>
      <c r="K1167" s="2" t="s">
        <v>3896</v>
      </c>
      <c r="L1167" s="2">
        <v>2023</v>
      </c>
      <c r="M1167" s="2">
        <v>-443443</v>
      </c>
      <c r="N1167" s="2">
        <f xml:space="preserve"> (Table1[[#This Row],[Variance (USD)]] / Table1[[#This Row],[Actual Spending (USD)]]) * 100</f>
        <v>-48.386033788376913</v>
      </c>
      <c r="O1167" s="5" t="s">
        <v>3897</v>
      </c>
    </row>
    <row r="1168" spans="1:15" x14ac:dyDescent="0.25">
      <c r="A1168" s="4" t="s">
        <v>1181</v>
      </c>
      <c r="B1168" s="2" t="s">
        <v>3650</v>
      </c>
      <c r="C1168" s="2" t="s">
        <v>3868</v>
      </c>
      <c r="D1168" s="2" t="s">
        <v>3881</v>
      </c>
      <c r="E1168" s="3">
        <v>45059</v>
      </c>
      <c r="F1168" s="3">
        <v>45429</v>
      </c>
      <c r="G1168" s="2" t="s">
        <v>3887</v>
      </c>
      <c r="H1168" s="2">
        <v>854734</v>
      </c>
      <c r="I1168" s="2">
        <v>1145654</v>
      </c>
      <c r="J1168" s="2" t="s">
        <v>3892</v>
      </c>
      <c r="K1168" s="2" t="s">
        <v>3895</v>
      </c>
      <c r="L1168" s="2">
        <v>2024</v>
      </c>
      <c r="M1168" s="2">
        <v>-290920</v>
      </c>
      <c r="N1168" s="2">
        <f xml:space="preserve"> (Table1[[#This Row],[Variance (USD)]] / Table1[[#This Row],[Actual Spending (USD)]]) * 100</f>
        <v>-25.39335610926161</v>
      </c>
      <c r="O1168" s="5" t="s">
        <v>3900</v>
      </c>
    </row>
    <row r="1169" spans="1:15" x14ac:dyDescent="0.25">
      <c r="A1169" s="4" t="s">
        <v>1182</v>
      </c>
      <c r="B1169" s="2" t="s">
        <v>3597</v>
      </c>
      <c r="C1169" s="2" t="s">
        <v>3870</v>
      </c>
      <c r="D1169" s="2" t="s">
        <v>3880</v>
      </c>
      <c r="E1169" s="3">
        <v>45092</v>
      </c>
      <c r="F1169" s="3">
        <v>45764</v>
      </c>
      <c r="G1169" s="2" t="s">
        <v>3886</v>
      </c>
      <c r="H1169" s="2">
        <v>378380</v>
      </c>
      <c r="I1169" s="2">
        <v>924199</v>
      </c>
      <c r="J1169" s="2" t="s">
        <v>3888</v>
      </c>
      <c r="K1169" s="2" t="s">
        <v>3896</v>
      </c>
      <c r="L1169" s="2">
        <v>2024</v>
      </c>
      <c r="M1169" s="2">
        <v>-545819</v>
      </c>
      <c r="N1169" s="2">
        <f xml:space="preserve"> (Table1[[#This Row],[Variance (USD)]] / Table1[[#This Row],[Actual Spending (USD)]]) * 100</f>
        <v>-59.058601015582148</v>
      </c>
      <c r="O1169" s="5" t="s">
        <v>3899</v>
      </c>
    </row>
    <row r="1170" spans="1:15" x14ac:dyDescent="0.25">
      <c r="A1170" s="4" t="s">
        <v>1183</v>
      </c>
      <c r="B1170" s="2" t="s">
        <v>3651</v>
      </c>
      <c r="C1170" s="2" t="s">
        <v>3869</v>
      </c>
      <c r="D1170" s="2" t="s">
        <v>3882</v>
      </c>
      <c r="E1170" s="3">
        <v>45300</v>
      </c>
      <c r="F1170" s="3">
        <v>45844</v>
      </c>
      <c r="G1170" s="2" t="s">
        <v>3886</v>
      </c>
      <c r="H1170" s="2">
        <v>114467</v>
      </c>
      <c r="I1170" s="2">
        <v>622239</v>
      </c>
      <c r="J1170" s="2" t="s">
        <v>3892</v>
      </c>
      <c r="K1170" s="2" t="s">
        <v>3894</v>
      </c>
      <c r="L1170" s="2">
        <v>2025</v>
      </c>
      <c r="M1170" s="2">
        <v>-507772</v>
      </c>
      <c r="N1170" s="2">
        <f xml:space="preserve"> (Table1[[#This Row],[Variance (USD)]] / Table1[[#This Row],[Actual Spending (USD)]]) * 100</f>
        <v>-81.604013891768275</v>
      </c>
      <c r="O1170" s="5" t="s">
        <v>3899</v>
      </c>
    </row>
    <row r="1171" spans="1:15" x14ac:dyDescent="0.25">
      <c r="A1171" s="4" t="s">
        <v>1184</v>
      </c>
      <c r="B1171" s="2" t="s">
        <v>3652</v>
      </c>
      <c r="C1171" s="2" t="s">
        <v>3874</v>
      </c>
      <c r="D1171" s="2" t="s">
        <v>3883</v>
      </c>
      <c r="E1171" s="3">
        <v>45299</v>
      </c>
      <c r="F1171" s="3">
        <v>45901</v>
      </c>
      <c r="G1171" s="2" t="s">
        <v>3886</v>
      </c>
      <c r="H1171" s="2">
        <v>414494</v>
      </c>
      <c r="I1171" s="2">
        <v>925719</v>
      </c>
      <c r="J1171" s="2" t="s">
        <v>3890</v>
      </c>
      <c r="K1171" s="2" t="s">
        <v>3895</v>
      </c>
      <c r="L1171" s="2">
        <v>2023</v>
      </c>
      <c r="M1171" s="2">
        <v>-511225</v>
      </c>
      <c r="N1171" s="2">
        <f xml:space="preserve"> (Table1[[#This Row],[Variance (USD)]] / Table1[[#This Row],[Actual Spending (USD)]]) * 100</f>
        <v>-55.224641602905422</v>
      </c>
      <c r="O1171" s="5" t="s">
        <v>3899</v>
      </c>
    </row>
    <row r="1172" spans="1:15" x14ac:dyDescent="0.25">
      <c r="A1172" s="4" t="s">
        <v>1185</v>
      </c>
      <c r="B1172" s="2" t="s">
        <v>3393</v>
      </c>
      <c r="C1172" s="2" t="s">
        <v>3875</v>
      </c>
      <c r="D1172" s="2" t="s">
        <v>3881</v>
      </c>
      <c r="E1172" s="3">
        <v>45404</v>
      </c>
      <c r="F1172" s="3">
        <v>45986</v>
      </c>
      <c r="G1172" s="2" t="s">
        <v>3884</v>
      </c>
      <c r="H1172" s="2">
        <v>492762</v>
      </c>
      <c r="I1172" s="2">
        <v>173977</v>
      </c>
      <c r="J1172" s="2" t="s">
        <v>3890</v>
      </c>
      <c r="K1172" s="2" t="s">
        <v>3894</v>
      </c>
      <c r="L1172" s="2">
        <v>2025</v>
      </c>
      <c r="M1172" s="2">
        <v>318785</v>
      </c>
      <c r="N1172" s="2">
        <f xml:space="preserve"> (Table1[[#This Row],[Variance (USD)]] / Table1[[#This Row],[Actual Spending (USD)]]) * 100</f>
        <v>183.2339906999201</v>
      </c>
      <c r="O1172" s="5" t="s">
        <v>3897</v>
      </c>
    </row>
    <row r="1173" spans="1:15" x14ac:dyDescent="0.25">
      <c r="A1173" s="4" t="s">
        <v>1186</v>
      </c>
      <c r="B1173" s="2" t="s">
        <v>3406</v>
      </c>
      <c r="C1173" s="2" t="s">
        <v>3872</v>
      </c>
      <c r="D1173" s="2" t="s">
        <v>3879</v>
      </c>
      <c r="E1173" s="3">
        <v>45405</v>
      </c>
      <c r="F1173" s="3">
        <v>45931</v>
      </c>
      <c r="G1173" s="2" t="s">
        <v>3884</v>
      </c>
      <c r="H1173" s="2">
        <v>830196</v>
      </c>
      <c r="I1173" s="2">
        <v>1182267</v>
      </c>
      <c r="J1173" s="2" t="s">
        <v>3891</v>
      </c>
      <c r="K1173" s="2" t="s">
        <v>3893</v>
      </c>
      <c r="L1173" s="2">
        <v>2025</v>
      </c>
      <c r="M1173" s="2">
        <v>-352071</v>
      </c>
      <c r="N1173" s="2">
        <f xml:space="preserve"> (Table1[[#This Row],[Variance (USD)]] / Table1[[#This Row],[Actual Spending (USD)]]) * 100</f>
        <v>-29.779313809824686</v>
      </c>
      <c r="O1173" s="5" t="s">
        <v>3897</v>
      </c>
    </row>
    <row r="1174" spans="1:15" x14ac:dyDescent="0.25">
      <c r="A1174" s="4" t="s">
        <v>1187</v>
      </c>
      <c r="B1174" s="2" t="s">
        <v>3211</v>
      </c>
      <c r="C1174" s="2" t="s">
        <v>3875</v>
      </c>
      <c r="D1174" s="2" t="s">
        <v>3879</v>
      </c>
      <c r="E1174" s="3">
        <v>45576</v>
      </c>
      <c r="F1174" s="3">
        <v>45520</v>
      </c>
      <c r="G1174" s="2" t="s">
        <v>3886</v>
      </c>
      <c r="H1174" s="2">
        <v>839480</v>
      </c>
      <c r="I1174" s="2">
        <v>248171</v>
      </c>
      <c r="J1174" s="2" t="s">
        <v>3892</v>
      </c>
      <c r="K1174" s="2" t="s">
        <v>3894</v>
      </c>
      <c r="L1174" s="2">
        <v>2025</v>
      </c>
      <c r="M1174" s="2">
        <v>591309</v>
      </c>
      <c r="N1174" s="2">
        <f xml:space="preserve"> (Table1[[#This Row],[Variance (USD)]] / Table1[[#This Row],[Actual Spending (USD)]]) * 100</f>
        <v>238.26675961333112</v>
      </c>
      <c r="O1174" s="5" t="s">
        <v>3899</v>
      </c>
    </row>
    <row r="1175" spans="1:15" x14ac:dyDescent="0.25">
      <c r="A1175" s="4" t="s">
        <v>1188</v>
      </c>
      <c r="B1175" s="2" t="s">
        <v>3145</v>
      </c>
      <c r="C1175" s="2" t="s">
        <v>3875</v>
      </c>
      <c r="D1175" s="2" t="s">
        <v>3879</v>
      </c>
      <c r="E1175" s="3">
        <v>45517</v>
      </c>
      <c r="F1175" s="3">
        <v>45608</v>
      </c>
      <c r="G1175" s="2" t="s">
        <v>3886</v>
      </c>
      <c r="H1175" s="2">
        <v>823500</v>
      </c>
      <c r="I1175" s="2">
        <v>602723</v>
      </c>
      <c r="J1175" s="2" t="s">
        <v>3890</v>
      </c>
      <c r="K1175" s="2" t="s">
        <v>3895</v>
      </c>
      <c r="L1175" s="2">
        <v>2023</v>
      </c>
      <c r="M1175" s="2">
        <v>220777</v>
      </c>
      <c r="N1175" s="2">
        <f xml:space="preserve"> (Table1[[#This Row],[Variance (USD)]] / Table1[[#This Row],[Actual Spending (USD)]]) * 100</f>
        <v>36.629927844134038</v>
      </c>
      <c r="O1175" s="5" t="s">
        <v>3899</v>
      </c>
    </row>
    <row r="1176" spans="1:15" x14ac:dyDescent="0.25">
      <c r="A1176" s="4" t="s">
        <v>1189</v>
      </c>
      <c r="B1176" s="2" t="s">
        <v>3580</v>
      </c>
      <c r="C1176" s="2" t="s">
        <v>3869</v>
      </c>
      <c r="D1176" s="2" t="s">
        <v>3881</v>
      </c>
      <c r="E1176" s="3">
        <v>45608</v>
      </c>
      <c r="F1176" s="3">
        <v>45889</v>
      </c>
      <c r="G1176" s="2" t="s">
        <v>3884</v>
      </c>
      <c r="H1176" s="2">
        <v>633194</v>
      </c>
      <c r="I1176" s="2">
        <v>303390</v>
      </c>
      <c r="J1176" s="2" t="s">
        <v>3889</v>
      </c>
      <c r="K1176" s="2" t="s">
        <v>3894</v>
      </c>
      <c r="L1176" s="2">
        <v>2025</v>
      </c>
      <c r="M1176" s="2">
        <v>329804</v>
      </c>
      <c r="N1176" s="2">
        <f xml:space="preserve"> (Table1[[#This Row],[Variance (USD)]] / Table1[[#This Row],[Actual Spending (USD)]]) * 100</f>
        <v>108.70628563894658</v>
      </c>
      <c r="O1176" s="5" t="s">
        <v>3897</v>
      </c>
    </row>
    <row r="1177" spans="1:15" x14ac:dyDescent="0.25">
      <c r="A1177" s="4" t="s">
        <v>1190</v>
      </c>
      <c r="B1177" s="2" t="s">
        <v>3035</v>
      </c>
      <c r="C1177" s="2" t="s">
        <v>3870</v>
      </c>
      <c r="D1177" s="2" t="s">
        <v>3878</v>
      </c>
      <c r="E1177" s="3">
        <v>45561</v>
      </c>
      <c r="F1177" s="3">
        <v>46012</v>
      </c>
      <c r="G1177" s="2" t="s">
        <v>3886</v>
      </c>
      <c r="H1177" s="2">
        <v>388781</v>
      </c>
      <c r="I1177" s="2">
        <v>294602</v>
      </c>
      <c r="J1177" s="2" t="s">
        <v>3891</v>
      </c>
      <c r="K1177" s="2" t="s">
        <v>3895</v>
      </c>
      <c r="L1177" s="2">
        <v>2023</v>
      </c>
      <c r="M1177" s="2">
        <v>94179</v>
      </c>
      <c r="N1177" s="2">
        <f xml:space="preserve"> (Table1[[#This Row],[Variance (USD)]] / Table1[[#This Row],[Actual Spending (USD)]]) * 100</f>
        <v>31.968214743959649</v>
      </c>
      <c r="O1177" s="5" t="s">
        <v>3899</v>
      </c>
    </row>
    <row r="1178" spans="1:15" x14ac:dyDescent="0.25">
      <c r="A1178" s="4" t="s">
        <v>1191</v>
      </c>
      <c r="B1178" s="2" t="s">
        <v>3044</v>
      </c>
      <c r="C1178" s="2" t="s">
        <v>3872</v>
      </c>
      <c r="D1178" s="2" t="s">
        <v>3880</v>
      </c>
      <c r="E1178" s="3">
        <v>45614</v>
      </c>
      <c r="F1178" s="3">
        <v>46018</v>
      </c>
      <c r="G1178" s="2" t="s">
        <v>3884</v>
      </c>
      <c r="H1178" s="2">
        <v>341922</v>
      </c>
      <c r="I1178" s="2">
        <v>1084604</v>
      </c>
      <c r="J1178" s="2" t="s">
        <v>3888</v>
      </c>
      <c r="K1178" s="2" t="s">
        <v>3895</v>
      </c>
      <c r="L1178" s="2">
        <v>2025</v>
      </c>
      <c r="M1178" s="2">
        <v>-742682</v>
      </c>
      <c r="N1178" s="2">
        <f xml:space="preserve"> (Table1[[#This Row],[Variance (USD)]] / Table1[[#This Row],[Actual Spending (USD)]]) * 100</f>
        <v>-68.474945694465447</v>
      </c>
      <c r="O1178" s="5" t="s">
        <v>3897</v>
      </c>
    </row>
    <row r="1179" spans="1:15" x14ac:dyDescent="0.25">
      <c r="A1179" s="4" t="s">
        <v>1192</v>
      </c>
      <c r="B1179" s="2" t="s">
        <v>3218</v>
      </c>
      <c r="C1179" s="2" t="s">
        <v>3869</v>
      </c>
      <c r="D1179" s="2" t="s">
        <v>3878</v>
      </c>
      <c r="E1179" s="3">
        <v>45226</v>
      </c>
      <c r="F1179" s="3">
        <v>45903</v>
      </c>
      <c r="G1179" s="2" t="s">
        <v>3884</v>
      </c>
      <c r="H1179" s="2">
        <v>208497</v>
      </c>
      <c r="I1179" s="2">
        <v>1197823</v>
      </c>
      <c r="J1179" s="2" t="s">
        <v>3891</v>
      </c>
      <c r="K1179" s="2" t="s">
        <v>3896</v>
      </c>
      <c r="L1179" s="2">
        <v>2025</v>
      </c>
      <c r="M1179" s="2">
        <v>-989326</v>
      </c>
      <c r="N1179" s="2">
        <f xml:space="preserve"> (Table1[[#This Row],[Variance (USD)]] / Table1[[#This Row],[Actual Spending (USD)]]) * 100</f>
        <v>-82.593672019989597</v>
      </c>
      <c r="O1179" s="5" t="s">
        <v>3897</v>
      </c>
    </row>
    <row r="1180" spans="1:15" x14ac:dyDescent="0.25">
      <c r="A1180" s="4" t="s">
        <v>1193</v>
      </c>
      <c r="B1180" s="2" t="s">
        <v>3653</v>
      </c>
      <c r="C1180" s="2" t="s">
        <v>3868</v>
      </c>
      <c r="D1180" s="2" t="s">
        <v>3883</v>
      </c>
      <c r="E1180" s="3">
        <v>45008</v>
      </c>
      <c r="F1180" s="3">
        <v>45852</v>
      </c>
      <c r="G1180" s="2" t="s">
        <v>3884</v>
      </c>
      <c r="H1180" s="2">
        <v>812405</v>
      </c>
      <c r="I1180" s="2">
        <v>344045</v>
      </c>
      <c r="J1180" s="2" t="s">
        <v>3888</v>
      </c>
      <c r="K1180" s="2" t="s">
        <v>3894</v>
      </c>
      <c r="L1180" s="2">
        <v>2023</v>
      </c>
      <c r="M1180" s="2">
        <v>468360</v>
      </c>
      <c r="N1180" s="2">
        <f xml:space="preserve"> (Table1[[#This Row],[Variance (USD)]] / Table1[[#This Row],[Actual Spending (USD)]]) * 100</f>
        <v>136.13335464837448</v>
      </c>
      <c r="O1180" s="5" t="s">
        <v>3897</v>
      </c>
    </row>
    <row r="1181" spans="1:15" x14ac:dyDescent="0.25">
      <c r="A1181" s="4" t="s">
        <v>1194</v>
      </c>
      <c r="B1181" s="2" t="s">
        <v>3157</v>
      </c>
      <c r="C1181" s="2" t="s">
        <v>3874</v>
      </c>
      <c r="D1181" s="2" t="s">
        <v>3881</v>
      </c>
      <c r="E1181" s="3">
        <v>45013</v>
      </c>
      <c r="F1181" s="3">
        <v>45492</v>
      </c>
      <c r="G1181" s="2" t="s">
        <v>3884</v>
      </c>
      <c r="H1181" s="2">
        <v>788748</v>
      </c>
      <c r="I1181" s="2">
        <v>261324</v>
      </c>
      <c r="J1181" s="2" t="s">
        <v>3889</v>
      </c>
      <c r="K1181" s="2" t="s">
        <v>3896</v>
      </c>
      <c r="L1181" s="2">
        <v>2024</v>
      </c>
      <c r="M1181" s="2">
        <v>527424</v>
      </c>
      <c r="N1181" s="2">
        <f xml:space="preserve"> (Table1[[#This Row],[Variance (USD)]] / Table1[[#This Row],[Actual Spending (USD)]]) * 100</f>
        <v>201.82761629241858</v>
      </c>
      <c r="O1181" s="5" t="s">
        <v>3897</v>
      </c>
    </row>
    <row r="1182" spans="1:15" x14ac:dyDescent="0.25">
      <c r="A1182" s="4" t="s">
        <v>1195</v>
      </c>
      <c r="B1182" s="2" t="s">
        <v>3283</v>
      </c>
      <c r="C1182" s="2" t="s">
        <v>3871</v>
      </c>
      <c r="D1182" s="2" t="s">
        <v>3879</v>
      </c>
      <c r="E1182" s="3">
        <v>45151</v>
      </c>
      <c r="F1182" s="3">
        <v>45549</v>
      </c>
      <c r="G1182" s="2" t="s">
        <v>3885</v>
      </c>
      <c r="H1182" s="2">
        <v>170918</v>
      </c>
      <c r="I1182" s="2">
        <v>691666</v>
      </c>
      <c r="J1182" s="2" t="s">
        <v>3888</v>
      </c>
      <c r="K1182" s="2" t="s">
        <v>3896</v>
      </c>
      <c r="L1182" s="2">
        <v>2025</v>
      </c>
      <c r="M1182" s="2">
        <v>-520748</v>
      </c>
      <c r="N1182" s="2">
        <f xml:space="preserve"> (Table1[[#This Row],[Variance (USD)]] / Table1[[#This Row],[Actual Spending (USD)]]) * 100</f>
        <v>-75.288940037532569</v>
      </c>
      <c r="O1182" s="5" t="s">
        <v>3898</v>
      </c>
    </row>
    <row r="1183" spans="1:15" x14ac:dyDescent="0.25">
      <c r="A1183" s="4" t="s">
        <v>1196</v>
      </c>
      <c r="B1183" s="2" t="s">
        <v>3332</v>
      </c>
      <c r="C1183" s="2" t="s">
        <v>3875</v>
      </c>
      <c r="D1183" s="2" t="s">
        <v>3880</v>
      </c>
      <c r="E1183" s="3">
        <v>44942</v>
      </c>
      <c r="F1183" s="3">
        <v>45771</v>
      </c>
      <c r="G1183" s="2" t="s">
        <v>3885</v>
      </c>
      <c r="H1183" s="2">
        <v>926468</v>
      </c>
      <c r="I1183" s="2">
        <v>922987</v>
      </c>
      <c r="J1183" s="2" t="s">
        <v>3892</v>
      </c>
      <c r="K1183" s="2" t="s">
        <v>3894</v>
      </c>
      <c r="L1183" s="2">
        <v>2024</v>
      </c>
      <c r="M1183" s="2">
        <v>3481</v>
      </c>
      <c r="N1183" s="2">
        <f xml:space="preserve"> (Table1[[#This Row],[Variance (USD)]] / Table1[[#This Row],[Actual Spending (USD)]]) * 100</f>
        <v>0.37714507354924826</v>
      </c>
      <c r="O1183" s="5" t="s">
        <v>3898</v>
      </c>
    </row>
    <row r="1184" spans="1:15" x14ac:dyDescent="0.25">
      <c r="A1184" s="4" t="s">
        <v>1197</v>
      </c>
      <c r="B1184" s="2" t="s">
        <v>3394</v>
      </c>
      <c r="C1184" s="2" t="s">
        <v>3871</v>
      </c>
      <c r="D1184" s="2" t="s">
        <v>3880</v>
      </c>
      <c r="E1184" s="3">
        <v>45284</v>
      </c>
      <c r="F1184" s="3">
        <v>45469</v>
      </c>
      <c r="G1184" s="2" t="s">
        <v>3884</v>
      </c>
      <c r="H1184" s="2">
        <v>501392</v>
      </c>
      <c r="I1184" s="2">
        <v>529612</v>
      </c>
      <c r="J1184" s="2" t="s">
        <v>3888</v>
      </c>
      <c r="K1184" s="2" t="s">
        <v>3895</v>
      </c>
      <c r="L1184" s="2">
        <v>2025</v>
      </c>
      <c r="M1184" s="2">
        <v>-28220</v>
      </c>
      <c r="N1184" s="2">
        <f xml:space="preserve"> (Table1[[#This Row],[Variance (USD)]] / Table1[[#This Row],[Actual Spending (USD)]]) * 100</f>
        <v>-5.3284291141439395</v>
      </c>
      <c r="O1184" s="5" t="s">
        <v>3897</v>
      </c>
    </row>
    <row r="1185" spans="1:15" x14ac:dyDescent="0.25">
      <c r="A1185" s="4" t="s">
        <v>1198</v>
      </c>
      <c r="B1185" s="2" t="s">
        <v>3508</v>
      </c>
      <c r="C1185" s="2" t="s">
        <v>3874</v>
      </c>
      <c r="D1185" s="2" t="s">
        <v>3877</v>
      </c>
      <c r="E1185" s="3">
        <v>45089</v>
      </c>
      <c r="F1185" s="3">
        <v>45414</v>
      </c>
      <c r="G1185" s="2" t="s">
        <v>3886</v>
      </c>
      <c r="H1185" s="2">
        <v>455890</v>
      </c>
      <c r="I1185" s="2">
        <v>844110</v>
      </c>
      <c r="J1185" s="2" t="s">
        <v>3888</v>
      </c>
      <c r="K1185" s="2" t="s">
        <v>3893</v>
      </c>
      <c r="L1185" s="2">
        <v>2024</v>
      </c>
      <c r="M1185" s="2">
        <v>-388220</v>
      </c>
      <c r="N1185" s="2">
        <f xml:space="preserve"> (Table1[[#This Row],[Variance (USD)]] / Table1[[#This Row],[Actual Spending (USD)]]) * 100</f>
        <v>-45.991636161163832</v>
      </c>
      <c r="O1185" s="5" t="s">
        <v>3899</v>
      </c>
    </row>
    <row r="1186" spans="1:15" x14ac:dyDescent="0.25">
      <c r="A1186" s="4" t="s">
        <v>1199</v>
      </c>
      <c r="B1186" s="2" t="s">
        <v>3586</v>
      </c>
      <c r="C1186" s="2" t="s">
        <v>3874</v>
      </c>
      <c r="D1186" s="2" t="s">
        <v>3883</v>
      </c>
      <c r="E1186" s="3">
        <v>45536</v>
      </c>
      <c r="F1186" s="3">
        <v>45633</v>
      </c>
      <c r="G1186" s="2" t="s">
        <v>3886</v>
      </c>
      <c r="H1186" s="2">
        <v>505618</v>
      </c>
      <c r="I1186" s="2">
        <v>906876</v>
      </c>
      <c r="J1186" s="2" t="s">
        <v>3891</v>
      </c>
      <c r="K1186" s="2" t="s">
        <v>3894</v>
      </c>
      <c r="L1186" s="2">
        <v>2024</v>
      </c>
      <c r="M1186" s="2">
        <v>-401258</v>
      </c>
      <c r="N1186" s="2">
        <f xml:space="preserve"> (Table1[[#This Row],[Variance (USD)]] / Table1[[#This Row],[Actual Spending (USD)]]) * 100</f>
        <v>-44.246181396354075</v>
      </c>
      <c r="O1186" s="5" t="s">
        <v>3899</v>
      </c>
    </row>
    <row r="1187" spans="1:15" x14ac:dyDescent="0.25">
      <c r="A1187" s="4" t="s">
        <v>1200</v>
      </c>
      <c r="B1187" s="2" t="s">
        <v>3231</v>
      </c>
      <c r="C1187" s="2" t="s">
        <v>3869</v>
      </c>
      <c r="D1187" s="2" t="s">
        <v>3882</v>
      </c>
      <c r="E1187" s="3">
        <v>45594</v>
      </c>
      <c r="F1187" s="3">
        <v>45462</v>
      </c>
      <c r="G1187" s="2" t="s">
        <v>3884</v>
      </c>
      <c r="H1187" s="2">
        <v>559325</v>
      </c>
      <c r="I1187" s="2">
        <v>304507</v>
      </c>
      <c r="J1187" s="2" t="s">
        <v>3889</v>
      </c>
      <c r="K1187" s="2" t="s">
        <v>3896</v>
      </c>
      <c r="L1187" s="2">
        <v>2024</v>
      </c>
      <c r="M1187" s="2">
        <v>254818</v>
      </c>
      <c r="N1187" s="2">
        <f xml:space="preserve"> (Table1[[#This Row],[Variance (USD)]] / Table1[[#This Row],[Actual Spending (USD)]]) * 100</f>
        <v>83.682148522037252</v>
      </c>
      <c r="O1187" s="5" t="s">
        <v>3897</v>
      </c>
    </row>
    <row r="1188" spans="1:15" x14ac:dyDescent="0.25">
      <c r="A1188" s="4" t="s">
        <v>1201</v>
      </c>
      <c r="B1188" s="2" t="s">
        <v>3394</v>
      </c>
      <c r="C1188" s="2" t="s">
        <v>3869</v>
      </c>
      <c r="D1188" s="2" t="s">
        <v>3882</v>
      </c>
      <c r="E1188" s="3">
        <v>45440</v>
      </c>
      <c r="F1188" s="3">
        <v>45939</v>
      </c>
      <c r="G1188" s="2" t="s">
        <v>3884</v>
      </c>
      <c r="H1188" s="2">
        <v>270979</v>
      </c>
      <c r="I1188" s="2">
        <v>93804</v>
      </c>
      <c r="J1188" s="2" t="s">
        <v>3888</v>
      </c>
      <c r="K1188" s="2" t="s">
        <v>3896</v>
      </c>
      <c r="L1188" s="2">
        <v>2024</v>
      </c>
      <c r="M1188" s="2">
        <v>177175</v>
      </c>
      <c r="N1188" s="2">
        <f xml:space="preserve"> (Table1[[#This Row],[Variance (USD)]] / Table1[[#This Row],[Actual Spending (USD)]]) * 100</f>
        <v>188.87787301181186</v>
      </c>
      <c r="O1188" s="5" t="s">
        <v>3897</v>
      </c>
    </row>
    <row r="1189" spans="1:15" x14ac:dyDescent="0.25">
      <c r="A1189" s="4" t="s">
        <v>1202</v>
      </c>
      <c r="B1189" s="2" t="s">
        <v>3342</v>
      </c>
      <c r="C1189" s="2" t="s">
        <v>3869</v>
      </c>
      <c r="D1189" s="2" t="s">
        <v>3880</v>
      </c>
      <c r="E1189" s="3">
        <v>45276</v>
      </c>
      <c r="F1189" s="3">
        <v>45350</v>
      </c>
      <c r="G1189" s="2" t="s">
        <v>3887</v>
      </c>
      <c r="H1189" s="2">
        <v>822793</v>
      </c>
      <c r="I1189" s="2">
        <v>1193009</v>
      </c>
      <c r="J1189" s="2" t="s">
        <v>3892</v>
      </c>
      <c r="K1189" s="2" t="s">
        <v>3895</v>
      </c>
      <c r="L1189" s="2">
        <v>2024</v>
      </c>
      <c r="M1189" s="2">
        <v>-370216</v>
      </c>
      <c r="N1189" s="2">
        <f xml:space="preserve"> (Table1[[#This Row],[Variance (USD)]] / Table1[[#This Row],[Actual Spending (USD)]]) * 100</f>
        <v>-31.03212130000696</v>
      </c>
      <c r="O1189" s="5" t="s">
        <v>3900</v>
      </c>
    </row>
    <row r="1190" spans="1:15" x14ac:dyDescent="0.25">
      <c r="A1190" s="4" t="s">
        <v>1203</v>
      </c>
      <c r="B1190" s="2" t="s">
        <v>3033</v>
      </c>
      <c r="C1190" s="2" t="s">
        <v>3871</v>
      </c>
      <c r="D1190" s="2" t="s">
        <v>3881</v>
      </c>
      <c r="E1190" s="3">
        <v>45607</v>
      </c>
      <c r="F1190" s="3">
        <v>45996</v>
      </c>
      <c r="G1190" s="2" t="s">
        <v>3886</v>
      </c>
      <c r="H1190" s="2">
        <v>61957</v>
      </c>
      <c r="I1190" s="2">
        <v>78544</v>
      </c>
      <c r="J1190" s="2" t="s">
        <v>3891</v>
      </c>
      <c r="K1190" s="2" t="s">
        <v>3896</v>
      </c>
      <c r="L1190" s="2">
        <v>2023</v>
      </c>
      <c r="M1190" s="2">
        <v>-16587</v>
      </c>
      <c r="N1190" s="2">
        <f xml:space="preserve"> (Table1[[#This Row],[Variance (USD)]] / Table1[[#This Row],[Actual Spending (USD)]]) * 100</f>
        <v>-21.11809940924832</v>
      </c>
      <c r="O1190" s="5" t="s">
        <v>3899</v>
      </c>
    </row>
    <row r="1191" spans="1:15" x14ac:dyDescent="0.25">
      <c r="A1191" s="4" t="s">
        <v>1204</v>
      </c>
      <c r="B1191" s="2" t="s">
        <v>3396</v>
      </c>
      <c r="C1191" s="2" t="s">
        <v>3869</v>
      </c>
      <c r="D1191" s="2" t="s">
        <v>3879</v>
      </c>
      <c r="E1191" s="3">
        <v>45390</v>
      </c>
      <c r="F1191" s="3">
        <v>45756</v>
      </c>
      <c r="G1191" s="2" t="s">
        <v>3887</v>
      </c>
      <c r="H1191" s="2">
        <v>909076</v>
      </c>
      <c r="I1191" s="2">
        <v>1078765</v>
      </c>
      <c r="J1191" s="2" t="s">
        <v>3889</v>
      </c>
      <c r="K1191" s="2" t="s">
        <v>3893</v>
      </c>
      <c r="L1191" s="2">
        <v>2024</v>
      </c>
      <c r="M1191" s="2">
        <v>-169689</v>
      </c>
      <c r="N1191" s="2">
        <f xml:space="preserve"> (Table1[[#This Row],[Variance (USD)]] / Table1[[#This Row],[Actual Spending (USD)]]) * 100</f>
        <v>-15.729931912881861</v>
      </c>
      <c r="O1191" s="5" t="s">
        <v>3900</v>
      </c>
    </row>
    <row r="1192" spans="1:15" x14ac:dyDescent="0.25">
      <c r="A1192" s="4" t="s">
        <v>1205</v>
      </c>
      <c r="B1192" s="2" t="s">
        <v>3654</v>
      </c>
      <c r="C1192" s="2" t="s">
        <v>3874</v>
      </c>
      <c r="D1192" s="2" t="s">
        <v>3879</v>
      </c>
      <c r="E1192" s="3">
        <v>45301</v>
      </c>
      <c r="F1192" s="3">
        <v>45551</v>
      </c>
      <c r="G1192" s="2" t="s">
        <v>3884</v>
      </c>
      <c r="H1192" s="2">
        <v>949726</v>
      </c>
      <c r="I1192" s="2">
        <v>828184</v>
      </c>
      <c r="J1192" s="2" t="s">
        <v>3889</v>
      </c>
      <c r="K1192" s="2" t="s">
        <v>3896</v>
      </c>
      <c r="L1192" s="2">
        <v>2023</v>
      </c>
      <c r="M1192" s="2">
        <v>121542</v>
      </c>
      <c r="N1192" s="2">
        <f xml:space="preserve"> (Table1[[#This Row],[Variance (USD)]] / Table1[[#This Row],[Actual Spending (USD)]]) * 100</f>
        <v>14.675724235194112</v>
      </c>
      <c r="O1192" s="5" t="s">
        <v>3897</v>
      </c>
    </row>
    <row r="1193" spans="1:15" x14ac:dyDescent="0.25">
      <c r="A1193" s="4" t="s">
        <v>1206</v>
      </c>
      <c r="B1193" s="2" t="s">
        <v>3364</v>
      </c>
      <c r="C1193" s="2" t="s">
        <v>3868</v>
      </c>
      <c r="D1193" s="2" t="s">
        <v>3880</v>
      </c>
      <c r="E1193" s="3">
        <v>45018</v>
      </c>
      <c r="F1193" s="3">
        <v>45664</v>
      </c>
      <c r="G1193" s="2" t="s">
        <v>3886</v>
      </c>
      <c r="H1193" s="2">
        <v>67829</v>
      </c>
      <c r="I1193" s="2">
        <v>1086058</v>
      </c>
      <c r="J1193" s="2" t="s">
        <v>3890</v>
      </c>
      <c r="K1193" s="2" t="s">
        <v>3895</v>
      </c>
      <c r="L1193" s="2">
        <v>2025</v>
      </c>
      <c r="M1193" s="2">
        <v>-1018229</v>
      </c>
      <c r="N1193" s="2">
        <f xml:space="preserve"> (Table1[[#This Row],[Variance (USD)]] / Table1[[#This Row],[Actual Spending (USD)]]) * 100</f>
        <v>-93.754569277147255</v>
      </c>
      <c r="O1193" s="5" t="s">
        <v>3899</v>
      </c>
    </row>
    <row r="1194" spans="1:15" x14ac:dyDescent="0.25">
      <c r="A1194" s="4" t="s">
        <v>1207</v>
      </c>
      <c r="B1194" s="2" t="s">
        <v>3655</v>
      </c>
      <c r="C1194" s="2" t="s">
        <v>3869</v>
      </c>
      <c r="D1194" s="2" t="s">
        <v>3878</v>
      </c>
      <c r="E1194" s="3">
        <v>45107</v>
      </c>
      <c r="F1194" s="3">
        <v>45386</v>
      </c>
      <c r="G1194" s="2" t="s">
        <v>3884</v>
      </c>
      <c r="H1194" s="2">
        <v>317981</v>
      </c>
      <c r="I1194" s="2">
        <v>833111</v>
      </c>
      <c r="J1194" s="2" t="s">
        <v>3892</v>
      </c>
      <c r="K1194" s="2" t="s">
        <v>3894</v>
      </c>
      <c r="L1194" s="2">
        <v>2023</v>
      </c>
      <c r="M1194" s="2">
        <v>-515130</v>
      </c>
      <c r="N1194" s="2">
        <f xml:space="preserve"> (Table1[[#This Row],[Variance (USD)]] / Table1[[#This Row],[Actual Spending (USD)]]) * 100</f>
        <v>-61.832096803427149</v>
      </c>
      <c r="O1194" s="5" t="s">
        <v>3897</v>
      </c>
    </row>
    <row r="1195" spans="1:15" x14ac:dyDescent="0.25">
      <c r="A1195" s="4" t="s">
        <v>1208</v>
      </c>
      <c r="B1195" s="2" t="s">
        <v>3197</v>
      </c>
      <c r="C1195" s="2" t="s">
        <v>3873</v>
      </c>
      <c r="D1195" s="2" t="s">
        <v>3883</v>
      </c>
      <c r="E1195" s="3">
        <v>45227</v>
      </c>
      <c r="F1195" s="3">
        <v>45416</v>
      </c>
      <c r="G1195" s="2" t="s">
        <v>3884</v>
      </c>
      <c r="H1195" s="2">
        <v>507357</v>
      </c>
      <c r="I1195" s="2">
        <v>939488</v>
      </c>
      <c r="J1195" s="2" t="s">
        <v>3891</v>
      </c>
      <c r="K1195" s="2" t="s">
        <v>3895</v>
      </c>
      <c r="L1195" s="2">
        <v>2024</v>
      </c>
      <c r="M1195" s="2">
        <v>-432131</v>
      </c>
      <c r="N1195" s="2">
        <f xml:space="preserve"> (Table1[[#This Row],[Variance (USD)]] / Table1[[#This Row],[Actual Spending (USD)]]) * 100</f>
        <v>-45.996436356824141</v>
      </c>
      <c r="O1195" s="5" t="s">
        <v>3897</v>
      </c>
    </row>
    <row r="1196" spans="1:15" x14ac:dyDescent="0.25">
      <c r="A1196" s="4" t="s">
        <v>1209</v>
      </c>
      <c r="B1196" s="2" t="s">
        <v>3656</v>
      </c>
      <c r="C1196" s="2" t="s">
        <v>3870</v>
      </c>
      <c r="D1196" s="2" t="s">
        <v>3879</v>
      </c>
      <c r="E1196" s="3">
        <v>45586</v>
      </c>
      <c r="F1196" s="3">
        <v>45332</v>
      </c>
      <c r="G1196" s="2" t="s">
        <v>3884</v>
      </c>
      <c r="H1196" s="2">
        <v>196104</v>
      </c>
      <c r="I1196" s="2">
        <v>513304</v>
      </c>
      <c r="J1196" s="2" t="s">
        <v>3891</v>
      </c>
      <c r="K1196" s="2" t="s">
        <v>3896</v>
      </c>
      <c r="L1196" s="2">
        <v>2023</v>
      </c>
      <c r="M1196" s="2">
        <v>-317200</v>
      </c>
      <c r="N1196" s="2">
        <f xml:space="preserve"> (Table1[[#This Row],[Variance (USD)]] / Table1[[#This Row],[Actual Spending (USD)]]) * 100</f>
        <v>-61.795738977292217</v>
      </c>
      <c r="O1196" s="5" t="s">
        <v>3897</v>
      </c>
    </row>
    <row r="1197" spans="1:15" x14ac:dyDescent="0.25">
      <c r="A1197" s="4" t="s">
        <v>1210</v>
      </c>
      <c r="B1197" s="2" t="s">
        <v>3657</v>
      </c>
      <c r="C1197" s="2" t="s">
        <v>3871</v>
      </c>
      <c r="D1197" s="2" t="s">
        <v>3880</v>
      </c>
      <c r="E1197" s="3">
        <v>45115</v>
      </c>
      <c r="F1197" s="3">
        <v>45545</v>
      </c>
      <c r="G1197" s="2" t="s">
        <v>3884</v>
      </c>
      <c r="H1197" s="2">
        <v>149770</v>
      </c>
      <c r="I1197" s="2">
        <v>1038421</v>
      </c>
      <c r="J1197" s="2" t="s">
        <v>3892</v>
      </c>
      <c r="K1197" s="2" t="s">
        <v>3895</v>
      </c>
      <c r="L1197" s="2">
        <v>2024</v>
      </c>
      <c r="M1197" s="2">
        <v>-888651</v>
      </c>
      <c r="N1197" s="2">
        <f xml:space="preserve"> (Table1[[#This Row],[Variance (USD)]] / Table1[[#This Row],[Actual Spending (USD)]]) * 100</f>
        <v>-85.577140678010167</v>
      </c>
      <c r="O1197" s="5" t="s">
        <v>3897</v>
      </c>
    </row>
    <row r="1198" spans="1:15" x14ac:dyDescent="0.25">
      <c r="A1198" s="4" t="s">
        <v>1211</v>
      </c>
      <c r="B1198" s="2" t="s">
        <v>3548</v>
      </c>
      <c r="C1198" s="2" t="s">
        <v>3873</v>
      </c>
      <c r="D1198" s="2" t="s">
        <v>3879</v>
      </c>
      <c r="E1198" s="3">
        <v>45240</v>
      </c>
      <c r="F1198" s="3">
        <v>45298</v>
      </c>
      <c r="G1198" s="2" t="s">
        <v>3884</v>
      </c>
      <c r="H1198" s="2">
        <v>600640</v>
      </c>
      <c r="I1198" s="2">
        <v>433150</v>
      </c>
      <c r="J1198" s="2" t="s">
        <v>3889</v>
      </c>
      <c r="K1198" s="2" t="s">
        <v>3896</v>
      </c>
      <c r="L1198" s="2">
        <v>2023</v>
      </c>
      <c r="M1198" s="2">
        <v>167490</v>
      </c>
      <c r="N1198" s="2">
        <f xml:space="preserve"> (Table1[[#This Row],[Variance (USD)]] / Table1[[#This Row],[Actual Spending (USD)]]) * 100</f>
        <v>38.667897956827893</v>
      </c>
      <c r="O1198" s="5" t="s">
        <v>3897</v>
      </c>
    </row>
    <row r="1199" spans="1:15" x14ac:dyDescent="0.25">
      <c r="A1199" s="4" t="s">
        <v>1212</v>
      </c>
      <c r="B1199" s="2" t="s">
        <v>3479</v>
      </c>
      <c r="C1199" s="2" t="s">
        <v>3869</v>
      </c>
      <c r="D1199" s="2" t="s">
        <v>3882</v>
      </c>
      <c r="E1199" s="3">
        <v>45419</v>
      </c>
      <c r="F1199" s="3">
        <v>45762</v>
      </c>
      <c r="G1199" s="2" t="s">
        <v>3884</v>
      </c>
      <c r="H1199" s="2">
        <v>80215</v>
      </c>
      <c r="I1199" s="2">
        <v>769980</v>
      </c>
      <c r="J1199" s="2" t="s">
        <v>3888</v>
      </c>
      <c r="K1199" s="2" t="s">
        <v>3895</v>
      </c>
      <c r="L1199" s="2">
        <v>2025</v>
      </c>
      <c r="M1199" s="2">
        <v>-689765</v>
      </c>
      <c r="N1199" s="2">
        <f xml:space="preserve"> (Table1[[#This Row],[Variance (USD)]] / Table1[[#This Row],[Actual Spending (USD)]]) * 100</f>
        <v>-89.582196940180268</v>
      </c>
      <c r="O1199" s="5" t="s">
        <v>3897</v>
      </c>
    </row>
    <row r="1200" spans="1:15" x14ac:dyDescent="0.25">
      <c r="A1200" s="4" t="s">
        <v>1213</v>
      </c>
      <c r="B1200" s="2" t="s">
        <v>3443</v>
      </c>
      <c r="C1200" s="2" t="s">
        <v>3874</v>
      </c>
      <c r="D1200" s="2" t="s">
        <v>3880</v>
      </c>
      <c r="E1200" s="3">
        <v>45054</v>
      </c>
      <c r="F1200" s="3">
        <v>46019</v>
      </c>
      <c r="G1200" s="2" t="s">
        <v>3884</v>
      </c>
      <c r="H1200" s="2">
        <v>499535</v>
      </c>
      <c r="I1200" s="2">
        <v>433125</v>
      </c>
      <c r="J1200" s="2" t="s">
        <v>3892</v>
      </c>
      <c r="K1200" s="2" t="s">
        <v>3894</v>
      </c>
      <c r="L1200" s="2">
        <v>2024</v>
      </c>
      <c r="M1200" s="2">
        <v>66410</v>
      </c>
      <c r="N1200" s="2">
        <f xml:space="preserve"> (Table1[[#This Row],[Variance (USD)]] / Table1[[#This Row],[Actual Spending (USD)]]) * 100</f>
        <v>15.332756132756135</v>
      </c>
      <c r="O1200" s="5" t="s">
        <v>3897</v>
      </c>
    </row>
    <row r="1201" spans="1:15" x14ac:dyDescent="0.25">
      <c r="A1201" s="4" t="s">
        <v>1214</v>
      </c>
      <c r="B1201" s="2" t="s">
        <v>3658</v>
      </c>
      <c r="C1201" s="2" t="s">
        <v>3868</v>
      </c>
      <c r="D1201" s="2" t="s">
        <v>3883</v>
      </c>
      <c r="E1201" s="3">
        <v>45445</v>
      </c>
      <c r="F1201" s="3">
        <v>45802</v>
      </c>
      <c r="G1201" s="2" t="s">
        <v>3886</v>
      </c>
      <c r="H1201" s="2">
        <v>569751</v>
      </c>
      <c r="I1201" s="2">
        <v>1170043</v>
      </c>
      <c r="J1201" s="2" t="s">
        <v>3891</v>
      </c>
      <c r="K1201" s="2" t="s">
        <v>3896</v>
      </c>
      <c r="L1201" s="2">
        <v>2024</v>
      </c>
      <c r="M1201" s="2">
        <v>-600292</v>
      </c>
      <c r="N1201" s="2">
        <f xml:space="preserve"> (Table1[[#This Row],[Variance (USD)]] / Table1[[#This Row],[Actual Spending (USD)]]) * 100</f>
        <v>-51.305122974112919</v>
      </c>
      <c r="O1201" s="5" t="s">
        <v>3899</v>
      </c>
    </row>
    <row r="1202" spans="1:15" x14ac:dyDescent="0.25">
      <c r="A1202" s="4" t="s">
        <v>1215</v>
      </c>
      <c r="B1202" s="2" t="s">
        <v>3659</v>
      </c>
      <c r="C1202" s="2" t="s">
        <v>3875</v>
      </c>
      <c r="D1202" s="2" t="s">
        <v>3880</v>
      </c>
      <c r="E1202" s="3">
        <v>45352</v>
      </c>
      <c r="F1202" s="3">
        <v>45872</v>
      </c>
      <c r="G1202" s="2" t="s">
        <v>3884</v>
      </c>
      <c r="H1202" s="2">
        <v>780002</v>
      </c>
      <c r="I1202" s="2">
        <v>645692</v>
      </c>
      <c r="J1202" s="2" t="s">
        <v>3892</v>
      </c>
      <c r="K1202" s="2" t="s">
        <v>3893</v>
      </c>
      <c r="L1202" s="2">
        <v>2023</v>
      </c>
      <c r="M1202" s="2">
        <v>134310</v>
      </c>
      <c r="N1202" s="2">
        <f xml:space="preserve"> (Table1[[#This Row],[Variance (USD)]] / Table1[[#This Row],[Actual Spending (USD)]]) * 100</f>
        <v>20.800939147457299</v>
      </c>
      <c r="O1202" s="5" t="s">
        <v>3897</v>
      </c>
    </row>
    <row r="1203" spans="1:15" x14ac:dyDescent="0.25">
      <c r="A1203" s="4" t="s">
        <v>1216</v>
      </c>
      <c r="B1203" s="2" t="s">
        <v>3660</v>
      </c>
      <c r="C1203" s="2" t="s">
        <v>3872</v>
      </c>
      <c r="D1203" s="2" t="s">
        <v>3877</v>
      </c>
      <c r="E1203" s="3">
        <v>45485</v>
      </c>
      <c r="F1203" s="3">
        <v>45360</v>
      </c>
      <c r="G1203" s="2" t="s">
        <v>3884</v>
      </c>
      <c r="H1203" s="2">
        <v>353391</v>
      </c>
      <c r="I1203" s="2">
        <v>1122134</v>
      </c>
      <c r="J1203" s="2" t="s">
        <v>3889</v>
      </c>
      <c r="K1203" s="2" t="s">
        <v>3893</v>
      </c>
      <c r="L1203" s="2">
        <v>2023</v>
      </c>
      <c r="M1203" s="2">
        <v>-768743</v>
      </c>
      <c r="N1203" s="2">
        <f xml:space="preserve"> (Table1[[#This Row],[Variance (USD)]] / Table1[[#This Row],[Actual Spending (USD)]]) * 100</f>
        <v>-68.507237103590128</v>
      </c>
      <c r="O1203" s="5" t="s">
        <v>3897</v>
      </c>
    </row>
    <row r="1204" spans="1:15" x14ac:dyDescent="0.25">
      <c r="A1204" s="4" t="s">
        <v>1217</v>
      </c>
      <c r="B1204" s="2" t="s">
        <v>3559</v>
      </c>
      <c r="C1204" s="2" t="s">
        <v>3870</v>
      </c>
      <c r="D1204" s="2" t="s">
        <v>3880</v>
      </c>
      <c r="E1204" s="3">
        <v>45491</v>
      </c>
      <c r="F1204" s="3">
        <v>45372</v>
      </c>
      <c r="G1204" s="2" t="s">
        <v>3884</v>
      </c>
      <c r="H1204" s="2">
        <v>703980</v>
      </c>
      <c r="I1204" s="2">
        <v>133018</v>
      </c>
      <c r="J1204" s="2" t="s">
        <v>3890</v>
      </c>
      <c r="K1204" s="2" t="s">
        <v>3893</v>
      </c>
      <c r="L1204" s="2">
        <v>2023</v>
      </c>
      <c r="M1204" s="2">
        <v>570962</v>
      </c>
      <c r="N1204" s="2">
        <f xml:space="preserve"> (Table1[[#This Row],[Variance (USD)]] / Table1[[#This Row],[Actual Spending (USD)]]) * 100</f>
        <v>429.23664466463185</v>
      </c>
      <c r="O1204" s="5" t="s">
        <v>3897</v>
      </c>
    </row>
    <row r="1205" spans="1:15" x14ac:dyDescent="0.25">
      <c r="A1205" s="4" t="s">
        <v>1218</v>
      </c>
      <c r="B1205" s="2" t="s">
        <v>3469</v>
      </c>
      <c r="C1205" s="2" t="s">
        <v>3872</v>
      </c>
      <c r="D1205" s="2" t="s">
        <v>3880</v>
      </c>
      <c r="E1205" s="3">
        <v>45113</v>
      </c>
      <c r="F1205" s="3">
        <v>45833</v>
      </c>
      <c r="G1205" s="2" t="s">
        <v>3884</v>
      </c>
      <c r="H1205" s="2">
        <v>748408</v>
      </c>
      <c r="I1205" s="2">
        <v>183947</v>
      </c>
      <c r="J1205" s="2" t="s">
        <v>3890</v>
      </c>
      <c r="K1205" s="2" t="s">
        <v>3893</v>
      </c>
      <c r="L1205" s="2">
        <v>2023</v>
      </c>
      <c r="M1205" s="2">
        <v>564461</v>
      </c>
      <c r="N1205" s="2">
        <f xml:space="preserve"> (Table1[[#This Row],[Variance (USD)]] / Table1[[#This Row],[Actual Spending (USD)]]) * 100</f>
        <v>306.86067182394925</v>
      </c>
      <c r="O1205" s="5" t="s">
        <v>3897</v>
      </c>
    </row>
    <row r="1206" spans="1:15" x14ac:dyDescent="0.25">
      <c r="A1206" s="4" t="s">
        <v>1219</v>
      </c>
      <c r="B1206" s="2" t="s">
        <v>3661</v>
      </c>
      <c r="C1206" s="2" t="s">
        <v>3869</v>
      </c>
      <c r="D1206" s="2" t="s">
        <v>3881</v>
      </c>
      <c r="E1206" s="3">
        <v>45476</v>
      </c>
      <c r="F1206" s="3">
        <v>45876</v>
      </c>
      <c r="G1206" s="2" t="s">
        <v>3886</v>
      </c>
      <c r="H1206" s="2">
        <v>824474</v>
      </c>
      <c r="I1206" s="2">
        <v>251325</v>
      </c>
      <c r="J1206" s="2" t="s">
        <v>3888</v>
      </c>
      <c r="K1206" s="2" t="s">
        <v>3896</v>
      </c>
      <c r="L1206" s="2">
        <v>2023</v>
      </c>
      <c r="M1206" s="2">
        <v>573149</v>
      </c>
      <c r="N1206" s="2">
        <f xml:space="preserve"> (Table1[[#This Row],[Variance (USD)]] / Table1[[#This Row],[Actual Spending (USD)]]) * 100</f>
        <v>228.05093007062567</v>
      </c>
      <c r="O1206" s="5" t="s">
        <v>3899</v>
      </c>
    </row>
    <row r="1207" spans="1:15" x14ac:dyDescent="0.25">
      <c r="A1207" s="4" t="s">
        <v>1220</v>
      </c>
      <c r="B1207" s="2" t="s">
        <v>3662</v>
      </c>
      <c r="C1207" s="2" t="s">
        <v>3870</v>
      </c>
      <c r="D1207" s="2" t="s">
        <v>3882</v>
      </c>
      <c r="E1207" s="3">
        <v>45379</v>
      </c>
      <c r="F1207" s="3">
        <v>45553</v>
      </c>
      <c r="G1207" s="2" t="s">
        <v>3884</v>
      </c>
      <c r="H1207" s="2">
        <v>256604</v>
      </c>
      <c r="I1207" s="2">
        <v>65607</v>
      </c>
      <c r="J1207" s="2" t="s">
        <v>3888</v>
      </c>
      <c r="K1207" s="2" t="s">
        <v>3896</v>
      </c>
      <c r="L1207" s="2">
        <v>2024</v>
      </c>
      <c r="M1207" s="2">
        <v>190997</v>
      </c>
      <c r="N1207" s="2">
        <f xml:space="preserve"> (Table1[[#This Row],[Variance (USD)]] / Table1[[#This Row],[Actual Spending (USD)]]) * 100</f>
        <v>291.12289847119973</v>
      </c>
      <c r="O1207" s="5" t="s">
        <v>3897</v>
      </c>
    </row>
    <row r="1208" spans="1:15" x14ac:dyDescent="0.25">
      <c r="A1208" s="4" t="s">
        <v>1221</v>
      </c>
      <c r="B1208" s="2" t="s">
        <v>3202</v>
      </c>
      <c r="C1208" s="2" t="s">
        <v>3870</v>
      </c>
      <c r="D1208" s="2" t="s">
        <v>3883</v>
      </c>
      <c r="E1208" s="3">
        <v>45397</v>
      </c>
      <c r="F1208" s="3">
        <v>45380</v>
      </c>
      <c r="G1208" s="2" t="s">
        <v>3886</v>
      </c>
      <c r="H1208" s="2">
        <v>641002</v>
      </c>
      <c r="I1208" s="2">
        <v>91684</v>
      </c>
      <c r="J1208" s="2" t="s">
        <v>3889</v>
      </c>
      <c r="K1208" s="2" t="s">
        <v>3894</v>
      </c>
      <c r="L1208" s="2">
        <v>2025</v>
      </c>
      <c r="M1208" s="2">
        <v>549318</v>
      </c>
      <c r="N1208" s="2">
        <f xml:space="preserve"> (Table1[[#This Row],[Variance (USD)]] / Table1[[#This Row],[Actual Spending (USD)]]) * 100</f>
        <v>599.14270756075223</v>
      </c>
      <c r="O1208" s="5" t="s">
        <v>3899</v>
      </c>
    </row>
    <row r="1209" spans="1:15" x14ac:dyDescent="0.25">
      <c r="A1209" s="4" t="s">
        <v>1222</v>
      </c>
      <c r="B1209" s="2" t="s">
        <v>3415</v>
      </c>
      <c r="C1209" s="2" t="s">
        <v>3868</v>
      </c>
      <c r="D1209" s="2" t="s">
        <v>3881</v>
      </c>
      <c r="E1209" s="3">
        <v>45491</v>
      </c>
      <c r="F1209" s="3">
        <v>45499</v>
      </c>
      <c r="G1209" s="2" t="s">
        <v>3884</v>
      </c>
      <c r="H1209" s="2">
        <v>347463</v>
      </c>
      <c r="I1209" s="2">
        <v>567889</v>
      </c>
      <c r="J1209" s="2" t="s">
        <v>3888</v>
      </c>
      <c r="K1209" s="2" t="s">
        <v>3895</v>
      </c>
      <c r="L1209" s="2">
        <v>2023</v>
      </c>
      <c r="M1209" s="2">
        <v>-220426</v>
      </c>
      <c r="N1209" s="2">
        <f xml:space="preserve"> (Table1[[#This Row],[Variance (USD)]] / Table1[[#This Row],[Actual Spending (USD)]]) * 100</f>
        <v>-38.814979687931974</v>
      </c>
      <c r="O1209" s="5" t="s">
        <v>3897</v>
      </c>
    </row>
    <row r="1210" spans="1:15" x14ac:dyDescent="0.25">
      <c r="A1210" s="4" t="s">
        <v>1223</v>
      </c>
      <c r="B1210" s="2" t="s">
        <v>3285</v>
      </c>
      <c r="C1210" s="2" t="s">
        <v>3870</v>
      </c>
      <c r="D1210" s="2" t="s">
        <v>3880</v>
      </c>
      <c r="E1210" s="3">
        <v>45150</v>
      </c>
      <c r="F1210" s="3">
        <v>45504</v>
      </c>
      <c r="G1210" s="2" t="s">
        <v>3884</v>
      </c>
      <c r="H1210" s="2">
        <v>693346</v>
      </c>
      <c r="I1210" s="2">
        <v>817567</v>
      </c>
      <c r="J1210" s="2" t="s">
        <v>3890</v>
      </c>
      <c r="K1210" s="2" t="s">
        <v>3896</v>
      </c>
      <c r="L1210" s="2">
        <v>2024</v>
      </c>
      <c r="M1210" s="2">
        <v>-124221</v>
      </c>
      <c r="N1210" s="2">
        <f xml:space="preserve"> (Table1[[#This Row],[Variance (USD)]] / Table1[[#This Row],[Actual Spending (USD)]]) * 100</f>
        <v>-15.193984101608798</v>
      </c>
      <c r="O1210" s="5" t="s">
        <v>3897</v>
      </c>
    </row>
    <row r="1211" spans="1:15" x14ac:dyDescent="0.25">
      <c r="A1211" s="4" t="s">
        <v>1224</v>
      </c>
      <c r="B1211" s="2" t="s">
        <v>3663</v>
      </c>
      <c r="C1211" s="2" t="s">
        <v>3871</v>
      </c>
      <c r="D1211" s="2" t="s">
        <v>3883</v>
      </c>
      <c r="E1211" s="3">
        <v>45080</v>
      </c>
      <c r="F1211" s="3">
        <v>45557</v>
      </c>
      <c r="G1211" s="2" t="s">
        <v>3885</v>
      </c>
      <c r="H1211" s="2">
        <v>328169</v>
      </c>
      <c r="I1211" s="2">
        <v>1088677</v>
      </c>
      <c r="J1211" s="2" t="s">
        <v>3889</v>
      </c>
      <c r="K1211" s="2" t="s">
        <v>3893</v>
      </c>
      <c r="L1211" s="2">
        <v>2025</v>
      </c>
      <c r="M1211" s="2">
        <v>-760508</v>
      </c>
      <c r="N1211" s="2">
        <f xml:space="preserve"> (Table1[[#This Row],[Variance (USD)]] / Table1[[#This Row],[Actual Spending (USD)]]) * 100</f>
        <v>-69.856164868000334</v>
      </c>
      <c r="O1211" s="5" t="s">
        <v>3898</v>
      </c>
    </row>
    <row r="1212" spans="1:15" x14ac:dyDescent="0.25">
      <c r="A1212" s="4" t="s">
        <v>1225</v>
      </c>
      <c r="B1212" s="2" t="s">
        <v>3315</v>
      </c>
      <c r="C1212" s="2" t="s">
        <v>3873</v>
      </c>
      <c r="D1212" s="2" t="s">
        <v>3877</v>
      </c>
      <c r="E1212" s="3">
        <v>45486</v>
      </c>
      <c r="F1212" s="3">
        <v>45584</v>
      </c>
      <c r="G1212" s="2" t="s">
        <v>3886</v>
      </c>
      <c r="H1212" s="2">
        <v>59780</v>
      </c>
      <c r="I1212" s="2">
        <v>757444</v>
      </c>
      <c r="J1212" s="2" t="s">
        <v>3889</v>
      </c>
      <c r="K1212" s="2" t="s">
        <v>3896</v>
      </c>
      <c r="L1212" s="2">
        <v>2025</v>
      </c>
      <c r="M1212" s="2">
        <v>-697664</v>
      </c>
      <c r="N1212" s="2">
        <f xml:space="preserve"> (Table1[[#This Row],[Variance (USD)]] / Table1[[#This Row],[Actual Spending (USD)]]) * 100</f>
        <v>-92.107667365508206</v>
      </c>
      <c r="O1212" s="5" t="s">
        <v>3899</v>
      </c>
    </row>
    <row r="1213" spans="1:15" x14ac:dyDescent="0.25">
      <c r="A1213" s="4" t="s">
        <v>1226</v>
      </c>
      <c r="B1213" s="2" t="s">
        <v>3159</v>
      </c>
      <c r="C1213" s="2" t="s">
        <v>3873</v>
      </c>
      <c r="D1213" s="2" t="s">
        <v>3883</v>
      </c>
      <c r="E1213" s="3">
        <v>45277</v>
      </c>
      <c r="F1213" s="3">
        <v>45498</v>
      </c>
      <c r="G1213" s="2" t="s">
        <v>3884</v>
      </c>
      <c r="H1213" s="2">
        <v>859138</v>
      </c>
      <c r="I1213" s="2">
        <v>734345</v>
      </c>
      <c r="J1213" s="2" t="s">
        <v>3889</v>
      </c>
      <c r="K1213" s="2" t="s">
        <v>3893</v>
      </c>
      <c r="L1213" s="2">
        <v>2023</v>
      </c>
      <c r="M1213" s="2">
        <v>124793</v>
      </c>
      <c r="N1213" s="2">
        <f xml:space="preserve"> (Table1[[#This Row],[Variance (USD)]] / Table1[[#This Row],[Actual Spending (USD)]]) * 100</f>
        <v>16.993783575839693</v>
      </c>
      <c r="O1213" s="5" t="s">
        <v>3897</v>
      </c>
    </row>
    <row r="1214" spans="1:15" x14ac:dyDescent="0.25">
      <c r="A1214" s="4" t="s">
        <v>1227</v>
      </c>
      <c r="B1214" s="2" t="s">
        <v>3550</v>
      </c>
      <c r="C1214" s="2" t="s">
        <v>3873</v>
      </c>
      <c r="D1214" s="2" t="s">
        <v>3879</v>
      </c>
      <c r="E1214" s="3">
        <v>45073</v>
      </c>
      <c r="F1214" s="3">
        <v>45624</v>
      </c>
      <c r="G1214" s="2" t="s">
        <v>3885</v>
      </c>
      <c r="H1214" s="2">
        <v>748276</v>
      </c>
      <c r="I1214" s="2">
        <v>450431</v>
      </c>
      <c r="J1214" s="2" t="s">
        <v>3892</v>
      </c>
      <c r="K1214" s="2" t="s">
        <v>3894</v>
      </c>
      <c r="L1214" s="2">
        <v>2024</v>
      </c>
      <c r="M1214" s="2">
        <v>297845</v>
      </c>
      <c r="N1214" s="2">
        <f xml:space="preserve"> (Table1[[#This Row],[Variance (USD)]] / Table1[[#This Row],[Actual Spending (USD)]]) * 100</f>
        <v>66.124445253546043</v>
      </c>
      <c r="O1214" s="5" t="s">
        <v>3898</v>
      </c>
    </row>
    <row r="1215" spans="1:15" x14ac:dyDescent="0.25">
      <c r="A1215" s="4" t="s">
        <v>1228</v>
      </c>
      <c r="B1215" s="2" t="s">
        <v>3516</v>
      </c>
      <c r="C1215" s="2" t="s">
        <v>3871</v>
      </c>
      <c r="D1215" s="2" t="s">
        <v>3881</v>
      </c>
      <c r="E1215" s="3">
        <v>45502</v>
      </c>
      <c r="F1215" s="3">
        <v>45368</v>
      </c>
      <c r="G1215" s="2" t="s">
        <v>3884</v>
      </c>
      <c r="H1215" s="2">
        <v>125503</v>
      </c>
      <c r="I1215" s="2">
        <v>788175</v>
      </c>
      <c r="J1215" s="2" t="s">
        <v>3888</v>
      </c>
      <c r="K1215" s="2" t="s">
        <v>3895</v>
      </c>
      <c r="L1215" s="2">
        <v>2024</v>
      </c>
      <c r="M1215" s="2">
        <v>-662672</v>
      </c>
      <c r="N1215" s="2">
        <f xml:space="preserve"> (Table1[[#This Row],[Variance (USD)]] / Table1[[#This Row],[Actual Spending (USD)]]) * 100</f>
        <v>-84.076759602880074</v>
      </c>
      <c r="O1215" s="5" t="s">
        <v>3897</v>
      </c>
    </row>
    <row r="1216" spans="1:15" x14ac:dyDescent="0.25">
      <c r="A1216" s="4" t="s">
        <v>1229</v>
      </c>
      <c r="B1216" s="2" t="s">
        <v>3662</v>
      </c>
      <c r="C1216" s="2" t="s">
        <v>3872</v>
      </c>
      <c r="D1216" s="2" t="s">
        <v>3883</v>
      </c>
      <c r="E1216" s="3">
        <v>45275</v>
      </c>
      <c r="F1216" s="3">
        <v>45579</v>
      </c>
      <c r="G1216" s="2" t="s">
        <v>3885</v>
      </c>
      <c r="H1216" s="2">
        <v>211928</v>
      </c>
      <c r="I1216" s="2">
        <v>49215</v>
      </c>
      <c r="J1216" s="2" t="s">
        <v>3891</v>
      </c>
      <c r="K1216" s="2" t="s">
        <v>3896</v>
      </c>
      <c r="L1216" s="2">
        <v>2024</v>
      </c>
      <c r="M1216" s="2">
        <v>162713</v>
      </c>
      <c r="N1216" s="2">
        <f xml:space="preserve"> (Table1[[#This Row],[Variance (USD)]] / Table1[[#This Row],[Actual Spending (USD)]]) * 100</f>
        <v>330.61668190592297</v>
      </c>
      <c r="O1216" s="5" t="s">
        <v>3898</v>
      </c>
    </row>
    <row r="1217" spans="1:15" x14ac:dyDescent="0.25">
      <c r="A1217" s="4" t="s">
        <v>1230</v>
      </c>
      <c r="B1217" s="2" t="s">
        <v>3664</v>
      </c>
      <c r="C1217" s="2" t="s">
        <v>3868</v>
      </c>
      <c r="D1217" s="2" t="s">
        <v>3882</v>
      </c>
      <c r="E1217" s="3">
        <v>45108</v>
      </c>
      <c r="F1217" s="3">
        <v>45338</v>
      </c>
      <c r="G1217" s="2" t="s">
        <v>3886</v>
      </c>
      <c r="H1217" s="2">
        <v>939598</v>
      </c>
      <c r="I1217" s="2">
        <v>699384</v>
      </c>
      <c r="J1217" s="2" t="s">
        <v>3890</v>
      </c>
      <c r="K1217" s="2" t="s">
        <v>3895</v>
      </c>
      <c r="L1217" s="2">
        <v>2024</v>
      </c>
      <c r="M1217" s="2">
        <v>240214</v>
      </c>
      <c r="N1217" s="2">
        <f xml:space="preserve"> (Table1[[#This Row],[Variance (USD)]] / Table1[[#This Row],[Actual Spending (USD)]]) * 100</f>
        <v>34.346510643652131</v>
      </c>
      <c r="O1217" s="5" t="s">
        <v>3899</v>
      </c>
    </row>
    <row r="1218" spans="1:15" x14ac:dyDescent="0.25">
      <c r="A1218" s="4" t="s">
        <v>1231</v>
      </c>
      <c r="B1218" s="2" t="s">
        <v>3142</v>
      </c>
      <c r="C1218" s="2" t="s">
        <v>3870</v>
      </c>
      <c r="D1218" s="2" t="s">
        <v>3877</v>
      </c>
      <c r="E1218" s="3">
        <v>45563</v>
      </c>
      <c r="F1218" s="3">
        <v>45913</v>
      </c>
      <c r="G1218" s="2" t="s">
        <v>3886</v>
      </c>
      <c r="H1218" s="2">
        <v>59179</v>
      </c>
      <c r="I1218" s="2">
        <v>106949</v>
      </c>
      <c r="J1218" s="2" t="s">
        <v>3888</v>
      </c>
      <c r="K1218" s="2" t="s">
        <v>3893</v>
      </c>
      <c r="L1218" s="2">
        <v>2024</v>
      </c>
      <c r="M1218" s="2">
        <v>-47770</v>
      </c>
      <c r="N1218" s="2">
        <f xml:space="preserve"> (Table1[[#This Row],[Variance (USD)]] / Table1[[#This Row],[Actual Spending (USD)]]) * 100</f>
        <v>-44.666149286108329</v>
      </c>
      <c r="O1218" s="5" t="s">
        <v>3899</v>
      </c>
    </row>
    <row r="1219" spans="1:15" x14ac:dyDescent="0.25">
      <c r="A1219" s="4" t="s">
        <v>1232</v>
      </c>
      <c r="B1219" s="2" t="s">
        <v>3632</v>
      </c>
      <c r="C1219" s="2" t="s">
        <v>3871</v>
      </c>
      <c r="D1219" s="2" t="s">
        <v>3876</v>
      </c>
      <c r="E1219" s="3">
        <v>45105</v>
      </c>
      <c r="F1219" s="3">
        <v>45491</v>
      </c>
      <c r="G1219" s="2" t="s">
        <v>3887</v>
      </c>
      <c r="H1219" s="2">
        <v>743983</v>
      </c>
      <c r="I1219" s="2">
        <v>898287</v>
      </c>
      <c r="J1219" s="2" t="s">
        <v>3890</v>
      </c>
      <c r="K1219" s="2" t="s">
        <v>3893</v>
      </c>
      <c r="L1219" s="2">
        <v>2025</v>
      </c>
      <c r="M1219" s="2">
        <v>-154304</v>
      </c>
      <c r="N1219" s="2">
        <f xml:space="preserve"> (Table1[[#This Row],[Variance (USD)]] / Table1[[#This Row],[Actual Spending (USD)]]) * 100</f>
        <v>-17.177583556257634</v>
      </c>
      <c r="O1219" s="5" t="s">
        <v>3900</v>
      </c>
    </row>
    <row r="1220" spans="1:15" x14ac:dyDescent="0.25">
      <c r="A1220" s="4" t="s">
        <v>1233</v>
      </c>
      <c r="B1220" s="2" t="s">
        <v>3428</v>
      </c>
      <c r="C1220" s="2" t="s">
        <v>3873</v>
      </c>
      <c r="D1220" s="2" t="s">
        <v>3880</v>
      </c>
      <c r="E1220" s="3">
        <v>44965</v>
      </c>
      <c r="F1220" s="3">
        <v>45718</v>
      </c>
      <c r="G1220" s="2" t="s">
        <v>3884</v>
      </c>
      <c r="H1220" s="2">
        <v>722947</v>
      </c>
      <c r="I1220" s="2">
        <v>1032486</v>
      </c>
      <c r="J1220" s="2" t="s">
        <v>3888</v>
      </c>
      <c r="K1220" s="2" t="s">
        <v>3895</v>
      </c>
      <c r="L1220" s="2">
        <v>2025</v>
      </c>
      <c r="M1220" s="2">
        <v>-309539</v>
      </c>
      <c r="N1220" s="2">
        <f xml:space="preserve"> (Table1[[#This Row],[Variance (USD)]] / Table1[[#This Row],[Actual Spending (USD)]]) * 100</f>
        <v>-29.97997067272583</v>
      </c>
      <c r="O1220" s="5" t="s">
        <v>3897</v>
      </c>
    </row>
    <row r="1221" spans="1:15" x14ac:dyDescent="0.25">
      <c r="A1221" s="4" t="s">
        <v>1234</v>
      </c>
      <c r="B1221" s="2" t="s">
        <v>3535</v>
      </c>
      <c r="C1221" s="2" t="s">
        <v>3869</v>
      </c>
      <c r="D1221" s="2" t="s">
        <v>3883</v>
      </c>
      <c r="E1221" s="3">
        <v>44929</v>
      </c>
      <c r="F1221" s="3">
        <v>45501</v>
      </c>
      <c r="G1221" s="2" t="s">
        <v>3886</v>
      </c>
      <c r="H1221" s="2">
        <v>729093</v>
      </c>
      <c r="I1221" s="2">
        <v>730843</v>
      </c>
      <c r="J1221" s="2" t="s">
        <v>3891</v>
      </c>
      <c r="K1221" s="2" t="s">
        <v>3894</v>
      </c>
      <c r="L1221" s="2">
        <v>2025</v>
      </c>
      <c r="M1221" s="2">
        <v>-1750</v>
      </c>
      <c r="N1221" s="2">
        <f xml:space="preserve"> (Table1[[#This Row],[Variance (USD)]] / Table1[[#This Row],[Actual Spending (USD)]]) * 100</f>
        <v>-0.23944951241237858</v>
      </c>
      <c r="O1221" s="5" t="s">
        <v>3899</v>
      </c>
    </row>
    <row r="1222" spans="1:15" x14ac:dyDescent="0.25">
      <c r="A1222" s="4" t="s">
        <v>1235</v>
      </c>
      <c r="B1222" s="2" t="s">
        <v>3665</v>
      </c>
      <c r="C1222" s="2" t="s">
        <v>3875</v>
      </c>
      <c r="D1222" s="2" t="s">
        <v>3880</v>
      </c>
      <c r="E1222" s="3">
        <v>44990</v>
      </c>
      <c r="F1222" s="3">
        <v>45711</v>
      </c>
      <c r="G1222" s="2" t="s">
        <v>3884</v>
      </c>
      <c r="H1222" s="2">
        <v>831570</v>
      </c>
      <c r="I1222" s="2">
        <v>922711</v>
      </c>
      <c r="J1222" s="2" t="s">
        <v>3890</v>
      </c>
      <c r="K1222" s="2" t="s">
        <v>3895</v>
      </c>
      <c r="L1222" s="2">
        <v>2024</v>
      </c>
      <c r="M1222" s="2">
        <v>-91141</v>
      </c>
      <c r="N1222" s="2">
        <f xml:space="preserve"> (Table1[[#This Row],[Variance (USD)]] / Table1[[#This Row],[Actual Spending (USD)]]) * 100</f>
        <v>-9.8775239484518984</v>
      </c>
      <c r="O1222" s="5" t="s">
        <v>3897</v>
      </c>
    </row>
    <row r="1223" spans="1:15" x14ac:dyDescent="0.25">
      <c r="A1223" s="4" t="s">
        <v>1236</v>
      </c>
      <c r="B1223" s="2" t="s">
        <v>3578</v>
      </c>
      <c r="C1223" s="2" t="s">
        <v>3870</v>
      </c>
      <c r="D1223" s="2" t="s">
        <v>3878</v>
      </c>
      <c r="E1223" s="3">
        <v>44955</v>
      </c>
      <c r="F1223" s="3">
        <v>45445</v>
      </c>
      <c r="G1223" s="2" t="s">
        <v>3884</v>
      </c>
      <c r="H1223" s="2">
        <v>531522</v>
      </c>
      <c r="I1223" s="2">
        <v>782932</v>
      </c>
      <c r="J1223" s="2" t="s">
        <v>3891</v>
      </c>
      <c r="K1223" s="2" t="s">
        <v>3895</v>
      </c>
      <c r="L1223" s="2">
        <v>2025</v>
      </c>
      <c r="M1223" s="2">
        <v>-251410</v>
      </c>
      <c r="N1223" s="2">
        <f xml:space="preserve"> (Table1[[#This Row],[Variance (USD)]] / Table1[[#This Row],[Actual Spending (USD)]]) * 100</f>
        <v>-32.111345557468589</v>
      </c>
      <c r="O1223" s="5" t="s">
        <v>3897</v>
      </c>
    </row>
    <row r="1224" spans="1:15" x14ac:dyDescent="0.25">
      <c r="A1224" s="4" t="s">
        <v>1237</v>
      </c>
      <c r="B1224" s="2" t="s">
        <v>3265</v>
      </c>
      <c r="C1224" s="2" t="s">
        <v>3871</v>
      </c>
      <c r="D1224" s="2" t="s">
        <v>3879</v>
      </c>
      <c r="E1224" s="3">
        <v>45298</v>
      </c>
      <c r="F1224" s="3">
        <v>45813</v>
      </c>
      <c r="G1224" s="2" t="s">
        <v>3884</v>
      </c>
      <c r="H1224" s="2">
        <v>673711</v>
      </c>
      <c r="I1224" s="2">
        <v>676186</v>
      </c>
      <c r="J1224" s="2" t="s">
        <v>3890</v>
      </c>
      <c r="K1224" s="2" t="s">
        <v>3896</v>
      </c>
      <c r="L1224" s="2">
        <v>2025</v>
      </c>
      <c r="M1224" s="2">
        <v>-2475</v>
      </c>
      <c r="N1224" s="2">
        <f xml:space="preserve"> (Table1[[#This Row],[Variance (USD)]] / Table1[[#This Row],[Actual Spending (USD)]]) * 100</f>
        <v>-0.36602354973335738</v>
      </c>
      <c r="O1224" s="5" t="s">
        <v>3897</v>
      </c>
    </row>
    <row r="1225" spans="1:15" x14ac:dyDescent="0.25">
      <c r="A1225" s="4" t="s">
        <v>1238</v>
      </c>
      <c r="B1225" s="2" t="s">
        <v>3666</v>
      </c>
      <c r="C1225" s="2" t="s">
        <v>3874</v>
      </c>
      <c r="D1225" s="2" t="s">
        <v>3881</v>
      </c>
      <c r="E1225" s="3">
        <v>45449</v>
      </c>
      <c r="F1225" s="3">
        <v>45706</v>
      </c>
      <c r="G1225" s="2" t="s">
        <v>3884</v>
      </c>
      <c r="H1225" s="2">
        <v>173076</v>
      </c>
      <c r="I1225" s="2">
        <v>547291</v>
      </c>
      <c r="J1225" s="2" t="s">
        <v>3892</v>
      </c>
      <c r="K1225" s="2" t="s">
        <v>3896</v>
      </c>
      <c r="L1225" s="2">
        <v>2023</v>
      </c>
      <c r="M1225" s="2">
        <v>-374215</v>
      </c>
      <c r="N1225" s="2">
        <f xml:space="preserve"> (Table1[[#This Row],[Variance (USD)]] / Table1[[#This Row],[Actual Spending (USD)]]) * 100</f>
        <v>-68.375873164367775</v>
      </c>
      <c r="O1225" s="5" t="s">
        <v>3897</v>
      </c>
    </row>
    <row r="1226" spans="1:15" x14ac:dyDescent="0.25">
      <c r="A1226" s="4" t="s">
        <v>1239</v>
      </c>
      <c r="B1226" s="2" t="s">
        <v>3415</v>
      </c>
      <c r="C1226" s="2" t="s">
        <v>3871</v>
      </c>
      <c r="D1226" s="2" t="s">
        <v>3879</v>
      </c>
      <c r="E1226" s="3">
        <v>45023</v>
      </c>
      <c r="F1226" s="3">
        <v>45644</v>
      </c>
      <c r="G1226" s="2" t="s">
        <v>3886</v>
      </c>
      <c r="H1226" s="2">
        <v>185047</v>
      </c>
      <c r="I1226" s="2">
        <v>449464</v>
      </c>
      <c r="J1226" s="2" t="s">
        <v>3892</v>
      </c>
      <c r="K1226" s="2" t="s">
        <v>3893</v>
      </c>
      <c r="L1226" s="2">
        <v>2025</v>
      </c>
      <c r="M1226" s="2">
        <v>-264417</v>
      </c>
      <c r="N1226" s="2">
        <f xml:space="preserve"> (Table1[[#This Row],[Variance (USD)]] / Table1[[#This Row],[Actual Spending (USD)]]) * 100</f>
        <v>-58.829405692113269</v>
      </c>
      <c r="O1226" s="5" t="s">
        <v>3899</v>
      </c>
    </row>
    <row r="1227" spans="1:15" x14ac:dyDescent="0.25">
      <c r="A1227" s="4" t="s">
        <v>1240</v>
      </c>
      <c r="B1227" s="2" t="s">
        <v>3248</v>
      </c>
      <c r="C1227" s="2" t="s">
        <v>3868</v>
      </c>
      <c r="D1227" s="2" t="s">
        <v>3878</v>
      </c>
      <c r="E1227" s="3">
        <v>45368</v>
      </c>
      <c r="F1227" s="3">
        <v>45448</v>
      </c>
      <c r="G1227" s="2" t="s">
        <v>3886</v>
      </c>
      <c r="H1227" s="2">
        <v>304477</v>
      </c>
      <c r="I1227" s="2">
        <v>618843</v>
      </c>
      <c r="J1227" s="2" t="s">
        <v>3890</v>
      </c>
      <c r="K1227" s="2" t="s">
        <v>3896</v>
      </c>
      <c r="L1227" s="2">
        <v>2023</v>
      </c>
      <c r="M1227" s="2">
        <v>-314366</v>
      </c>
      <c r="N1227" s="2">
        <f xml:space="preserve"> (Table1[[#This Row],[Variance (USD)]] / Table1[[#This Row],[Actual Spending (USD)]]) * 100</f>
        <v>-50.798991020339571</v>
      </c>
      <c r="O1227" s="5" t="s">
        <v>3899</v>
      </c>
    </row>
    <row r="1228" spans="1:15" x14ac:dyDescent="0.25">
      <c r="A1228" s="4" t="s">
        <v>1241</v>
      </c>
      <c r="B1228" s="2" t="s">
        <v>3403</v>
      </c>
      <c r="C1228" s="2" t="s">
        <v>3868</v>
      </c>
      <c r="D1228" s="2" t="s">
        <v>3878</v>
      </c>
      <c r="E1228" s="3">
        <v>45129</v>
      </c>
      <c r="F1228" s="3">
        <v>45552</v>
      </c>
      <c r="G1228" s="2" t="s">
        <v>3886</v>
      </c>
      <c r="H1228" s="2">
        <v>783815</v>
      </c>
      <c r="I1228" s="2">
        <v>92995</v>
      </c>
      <c r="J1228" s="2" t="s">
        <v>3890</v>
      </c>
      <c r="K1228" s="2" t="s">
        <v>3894</v>
      </c>
      <c r="L1228" s="2">
        <v>2024</v>
      </c>
      <c r="M1228" s="2">
        <v>690820</v>
      </c>
      <c r="N1228" s="2">
        <f xml:space="preserve"> (Table1[[#This Row],[Variance (USD)]] / Table1[[#This Row],[Actual Spending (USD)]]) * 100</f>
        <v>742.85714285714289</v>
      </c>
      <c r="O1228" s="5" t="s">
        <v>3899</v>
      </c>
    </row>
    <row r="1229" spans="1:15" x14ac:dyDescent="0.25">
      <c r="A1229" s="4" t="s">
        <v>1242</v>
      </c>
      <c r="B1229" s="2" t="s">
        <v>3563</v>
      </c>
      <c r="C1229" s="2" t="s">
        <v>3871</v>
      </c>
      <c r="D1229" s="2" t="s">
        <v>3881</v>
      </c>
      <c r="E1229" s="3">
        <v>45337</v>
      </c>
      <c r="F1229" s="3">
        <v>45368</v>
      </c>
      <c r="G1229" s="2" t="s">
        <v>3884</v>
      </c>
      <c r="H1229" s="2">
        <v>387282</v>
      </c>
      <c r="I1229" s="2">
        <v>493593</v>
      </c>
      <c r="J1229" s="2" t="s">
        <v>3891</v>
      </c>
      <c r="K1229" s="2" t="s">
        <v>3894</v>
      </c>
      <c r="L1229" s="2">
        <v>2024</v>
      </c>
      <c r="M1229" s="2">
        <v>-106311</v>
      </c>
      <c r="N1229" s="2">
        <f xml:space="preserve"> (Table1[[#This Row],[Variance (USD)]] / Table1[[#This Row],[Actual Spending (USD)]]) * 100</f>
        <v>-21.538190371419368</v>
      </c>
      <c r="O1229" s="5" t="s">
        <v>3897</v>
      </c>
    </row>
    <row r="1230" spans="1:15" x14ac:dyDescent="0.25">
      <c r="A1230" s="4" t="s">
        <v>1243</v>
      </c>
      <c r="B1230" s="2" t="s">
        <v>3209</v>
      </c>
      <c r="C1230" s="2" t="s">
        <v>3873</v>
      </c>
      <c r="D1230" s="2" t="s">
        <v>3883</v>
      </c>
      <c r="E1230" s="3">
        <v>44947</v>
      </c>
      <c r="F1230" s="3">
        <v>45779</v>
      </c>
      <c r="G1230" s="2" t="s">
        <v>3884</v>
      </c>
      <c r="H1230" s="2">
        <v>750823</v>
      </c>
      <c r="I1230" s="2">
        <v>284494</v>
      </c>
      <c r="J1230" s="2" t="s">
        <v>3889</v>
      </c>
      <c r="K1230" s="2" t="s">
        <v>3894</v>
      </c>
      <c r="L1230" s="2">
        <v>2024</v>
      </c>
      <c r="M1230" s="2">
        <v>466329</v>
      </c>
      <c r="N1230" s="2">
        <f xml:space="preserve"> (Table1[[#This Row],[Variance (USD)]] / Table1[[#This Row],[Actual Spending (USD)]]) * 100</f>
        <v>163.91523195568271</v>
      </c>
      <c r="O1230" s="5" t="s">
        <v>3897</v>
      </c>
    </row>
    <row r="1231" spans="1:15" x14ac:dyDescent="0.25">
      <c r="A1231" s="4" t="s">
        <v>1244</v>
      </c>
      <c r="B1231" s="2" t="s">
        <v>3549</v>
      </c>
      <c r="C1231" s="2" t="s">
        <v>3875</v>
      </c>
      <c r="D1231" s="2" t="s">
        <v>3878</v>
      </c>
      <c r="E1231" s="3">
        <v>45477</v>
      </c>
      <c r="F1231" s="3">
        <v>45422</v>
      </c>
      <c r="G1231" s="2" t="s">
        <v>3885</v>
      </c>
      <c r="H1231" s="2">
        <v>223226</v>
      </c>
      <c r="I1231" s="2">
        <v>71745</v>
      </c>
      <c r="J1231" s="2" t="s">
        <v>3890</v>
      </c>
      <c r="K1231" s="2" t="s">
        <v>3893</v>
      </c>
      <c r="L1231" s="2">
        <v>2024</v>
      </c>
      <c r="M1231" s="2">
        <v>151481</v>
      </c>
      <c r="N1231" s="2">
        <f xml:space="preserve"> (Table1[[#This Row],[Variance (USD)]] / Table1[[#This Row],[Actual Spending (USD)]]) * 100</f>
        <v>211.13805840128231</v>
      </c>
      <c r="O1231" s="5" t="s">
        <v>3898</v>
      </c>
    </row>
    <row r="1232" spans="1:15" x14ac:dyDescent="0.25">
      <c r="A1232" s="4" t="s">
        <v>1245</v>
      </c>
      <c r="B1232" s="2" t="s">
        <v>3230</v>
      </c>
      <c r="C1232" s="2" t="s">
        <v>3870</v>
      </c>
      <c r="D1232" s="2" t="s">
        <v>3876</v>
      </c>
      <c r="E1232" s="3">
        <v>45028</v>
      </c>
      <c r="F1232" s="3">
        <v>45870</v>
      </c>
      <c r="G1232" s="2" t="s">
        <v>3884</v>
      </c>
      <c r="H1232" s="2">
        <v>256748</v>
      </c>
      <c r="I1232" s="2">
        <v>778777</v>
      </c>
      <c r="J1232" s="2" t="s">
        <v>3888</v>
      </c>
      <c r="K1232" s="2" t="s">
        <v>3894</v>
      </c>
      <c r="L1232" s="2">
        <v>2025</v>
      </c>
      <c r="M1232" s="2">
        <v>-522029</v>
      </c>
      <c r="N1232" s="2">
        <f xml:space="preserve"> (Table1[[#This Row],[Variance (USD)]] / Table1[[#This Row],[Actual Spending (USD)]]) * 100</f>
        <v>-67.031897449462434</v>
      </c>
      <c r="O1232" s="5" t="s">
        <v>3897</v>
      </c>
    </row>
    <row r="1233" spans="1:15" x14ac:dyDescent="0.25">
      <c r="A1233" s="4" t="s">
        <v>1246</v>
      </c>
      <c r="B1233" s="2" t="s">
        <v>3667</v>
      </c>
      <c r="C1233" s="2" t="s">
        <v>3868</v>
      </c>
      <c r="D1233" s="2" t="s">
        <v>3880</v>
      </c>
      <c r="E1233" s="3">
        <v>44972</v>
      </c>
      <c r="F1233" s="3">
        <v>45746</v>
      </c>
      <c r="G1233" s="2" t="s">
        <v>3886</v>
      </c>
      <c r="H1233" s="2">
        <v>561559</v>
      </c>
      <c r="I1233" s="2">
        <v>739147</v>
      </c>
      <c r="J1233" s="2" t="s">
        <v>3888</v>
      </c>
      <c r="K1233" s="2" t="s">
        <v>3894</v>
      </c>
      <c r="L1233" s="2">
        <v>2023</v>
      </c>
      <c r="M1233" s="2">
        <v>-177588</v>
      </c>
      <c r="N1233" s="2">
        <f xml:space="preserve"> (Table1[[#This Row],[Variance (USD)]] / Table1[[#This Row],[Actual Spending (USD)]]) * 100</f>
        <v>-24.02607329800432</v>
      </c>
      <c r="O1233" s="5" t="s">
        <v>3899</v>
      </c>
    </row>
    <row r="1234" spans="1:15" x14ac:dyDescent="0.25">
      <c r="A1234" s="4" t="s">
        <v>1247</v>
      </c>
      <c r="B1234" s="2" t="s">
        <v>3668</v>
      </c>
      <c r="C1234" s="2" t="s">
        <v>3870</v>
      </c>
      <c r="D1234" s="2" t="s">
        <v>3880</v>
      </c>
      <c r="E1234" s="3">
        <v>44992</v>
      </c>
      <c r="F1234" s="3">
        <v>45454</v>
      </c>
      <c r="G1234" s="2" t="s">
        <v>3886</v>
      </c>
      <c r="H1234" s="2">
        <v>660994</v>
      </c>
      <c r="I1234" s="2">
        <v>896555</v>
      </c>
      <c r="J1234" s="2" t="s">
        <v>3888</v>
      </c>
      <c r="K1234" s="2" t="s">
        <v>3896</v>
      </c>
      <c r="L1234" s="2">
        <v>2024</v>
      </c>
      <c r="M1234" s="2">
        <v>-235561</v>
      </c>
      <c r="N1234" s="2">
        <f xml:space="preserve"> (Table1[[#This Row],[Variance (USD)]] / Table1[[#This Row],[Actual Spending (USD)]]) * 100</f>
        <v>-26.274015537250921</v>
      </c>
      <c r="O1234" s="5" t="s">
        <v>3899</v>
      </c>
    </row>
    <row r="1235" spans="1:15" x14ac:dyDescent="0.25">
      <c r="A1235" s="4" t="s">
        <v>1248</v>
      </c>
      <c r="B1235" s="2" t="s">
        <v>3538</v>
      </c>
      <c r="C1235" s="2" t="s">
        <v>3873</v>
      </c>
      <c r="D1235" s="2" t="s">
        <v>3877</v>
      </c>
      <c r="E1235" s="3">
        <v>45529</v>
      </c>
      <c r="F1235" s="3">
        <v>45306</v>
      </c>
      <c r="G1235" s="2" t="s">
        <v>3886</v>
      </c>
      <c r="H1235" s="2">
        <v>166905</v>
      </c>
      <c r="I1235" s="2">
        <v>737395</v>
      </c>
      <c r="J1235" s="2" t="s">
        <v>3892</v>
      </c>
      <c r="K1235" s="2" t="s">
        <v>3893</v>
      </c>
      <c r="L1235" s="2">
        <v>2024</v>
      </c>
      <c r="M1235" s="2">
        <v>-570490</v>
      </c>
      <c r="N1235" s="2">
        <f xml:space="preserve"> (Table1[[#This Row],[Variance (USD)]] / Table1[[#This Row],[Actual Spending (USD)]]) * 100</f>
        <v>-77.365591033299651</v>
      </c>
      <c r="O1235" s="5" t="s">
        <v>3899</v>
      </c>
    </row>
    <row r="1236" spans="1:15" x14ac:dyDescent="0.25">
      <c r="A1236" s="4" t="s">
        <v>1249</v>
      </c>
      <c r="B1236" s="2" t="s">
        <v>3461</v>
      </c>
      <c r="C1236" s="2" t="s">
        <v>3870</v>
      </c>
      <c r="D1236" s="2" t="s">
        <v>3882</v>
      </c>
      <c r="E1236" s="3">
        <v>45090</v>
      </c>
      <c r="F1236" s="3">
        <v>45523</v>
      </c>
      <c r="G1236" s="2" t="s">
        <v>3884</v>
      </c>
      <c r="H1236" s="2">
        <v>78830</v>
      </c>
      <c r="I1236" s="2">
        <v>379948</v>
      </c>
      <c r="J1236" s="2" t="s">
        <v>3891</v>
      </c>
      <c r="K1236" s="2" t="s">
        <v>3895</v>
      </c>
      <c r="L1236" s="2">
        <v>2023</v>
      </c>
      <c r="M1236" s="2">
        <v>-301118</v>
      </c>
      <c r="N1236" s="2">
        <f xml:space="preserve"> (Table1[[#This Row],[Variance (USD)]] / Table1[[#This Row],[Actual Spending (USD)]]) * 100</f>
        <v>-79.252424015917967</v>
      </c>
      <c r="O1236" s="5" t="s">
        <v>3897</v>
      </c>
    </row>
    <row r="1237" spans="1:15" x14ac:dyDescent="0.25">
      <c r="A1237" s="4" t="s">
        <v>1250</v>
      </c>
      <c r="B1237" s="2" t="s">
        <v>3375</v>
      </c>
      <c r="C1237" s="2" t="s">
        <v>3869</v>
      </c>
      <c r="D1237" s="2" t="s">
        <v>3878</v>
      </c>
      <c r="E1237" s="3">
        <v>45037</v>
      </c>
      <c r="F1237" s="3">
        <v>45486</v>
      </c>
      <c r="G1237" s="2" t="s">
        <v>3885</v>
      </c>
      <c r="H1237" s="2">
        <v>946508</v>
      </c>
      <c r="I1237" s="2">
        <v>1013488</v>
      </c>
      <c r="J1237" s="2" t="s">
        <v>3892</v>
      </c>
      <c r="K1237" s="2" t="s">
        <v>3894</v>
      </c>
      <c r="L1237" s="2">
        <v>2023</v>
      </c>
      <c r="M1237" s="2">
        <v>-66980</v>
      </c>
      <c r="N1237" s="2">
        <f xml:space="preserve"> (Table1[[#This Row],[Variance (USD)]] / Table1[[#This Row],[Actual Spending (USD)]]) * 100</f>
        <v>-6.6088597003615233</v>
      </c>
      <c r="O1237" s="5" t="s">
        <v>3898</v>
      </c>
    </row>
    <row r="1238" spans="1:15" x14ac:dyDescent="0.25">
      <c r="A1238" s="4" t="s">
        <v>1251</v>
      </c>
      <c r="B1238" s="2" t="s">
        <v>3650</v>
      </c>
      <c r="C1238" s="2" t="s">
        <v>3868</v>
      </c>
      <c r="D1238" s="2" t="s">
        <v>3878</v>
      </c>
      <c r="E1238" s="3">
        <v>45264</v>
      </c>
      <c r="F1238" s="3">
        <v>45833</v>
      </c>
      <c r="G1238" s="2" t="s">
        <v>3884</v>
      </c>
      <c r="H1238" s="2">
        <v>515342</v>
      </c>
      <c r="I1238" s="2">
        <v>999966</v>
      </c>
      <c r="J1238" s="2" t="s">
        <v>3888</v>
      </c>
      <c r="K1238" s="2" t="s">
        <v>3896</v>
      </c>
      <c r="L1238" s="2">
        <v>2023</v>
      </c>
      <c r="M1238" s="2">
        <v>-484624</v>
      </c>
      <c r="N1238" s="2">
        <f xml:space="preserve"> (Table1[[#This Row],[Variance (USD)]] / Table1[[#This Row],[Actual Spending (USD)]]) * 100</f>
        <v>-48.464047777624444</v>
      </c>
      <c r="O1238" s="5" t="s">
        <v>3897</v>
      </c>
    </row>
    <row r="1239" spans="1:15" x14ac:dyDescent="0.25">
      <c r="A1239" s="4" t="s">
        <v>1252</v>
      </c>
      <c r="B1239" s="2" t="s">
        <v>3669</v>
      </c>
      <c r="C1239" s="2" t="s">
        <v>3873</v>
      </c>
      <c r="D1239" s="2" t="s">
        <v>3876</v>
      </c>
      <c r="E1239" s="3">
        <v>45049</v>
      </c>
      <c r="F1239" s="3">
        <v>45650</v>
      </c>
      <c r="G1239" s="2" t="s">
        <v>3885</v>
      </c>
      <c r="H1239" s="2">
        <v>342753</v>
      </c>
      <c r="I1239" s="2">
        <v>403199</v>
      </c>
      <c r="J1239" s="2" t="s">
        <v>3890</v>
      </c>
      <c r="K1239" s="2" t="s">
        <v>3895</v>
      </c>
      <c r="L1239" s="2">
        <v>2023</v>
      </c>
      <c r="M1239" s="2">
        <v>-60446</v>
      </c>
      <c r="N1239" s="2">
        <f xml:space="preserve"> (Table1[[#This Row],[Variance (USD)]] / Table1[[#This Row],[Actual Spending (USD)]]) * 100</f>
        <v>-14.991604641876592</v>
      </c>
      <c r="O1239" s="5" t="s">
        <v>3898</v>
      </c>
    </row>
    <row r="1240" spans="1:15" x14ac:dyDescent="0.25">
      <c r="A1240" s="4" t="s">
        <v>1253</v>
      </c>
      <c r="B1240" s="2" t="s">
        <v>3161</v>
      </c>
      <c r="C1240" s="2" t="s">
        <v>3873</v>
      </c>
      <c r="D1240" s="2" t="s">
        <v>3879</v>
      </c>
      <c r="E1240" s="3">
        <v>45631</v>
      </c>
      <c r="F1240" s="3">
        <v>45622</v>
      </c>
      <c r="G1240" s="2" t="s">
        <v>3884</v>
      </c>
      <c r="H1240" s="2">
        <v>591689</v>
      </c>
      <c r="I1240" s="2">
        <v>1021148</v>
      </c>
      <c r="J1240" s="2" t="s">
        <v>3888</v>
      </c>
      <c r="K1240" s="2" t="s">
        <v>3894</v>
      </c>
      <c r="L1240" s="2">
        <v>2023</v>
      </c>
      <c r="M1240" s="2">
        <v>-429459</v>
      </c>
      <c r="N1240" s="2">
        <f xml:space="preserve"> (Table1[[#This Row],[Variance (USD)]] / Table1[[#This Row],[Actual Spending (USD)]]) * 100</f>
        <v>-42.056489362952284</v>
      </c>
      <c r="O1240" s="5" t="s">
        <v>3897</v>
      </c>
    </row>
    <row r="1241" spans="1:15" x14ac:dyDescent="0.25">
      <c r="A1241" s="4" t="s">
        <v>1254</v>
      </c>
      <c r="B1241" s="2" t="s">
        <v>3670</v>
      </c>
      <c r="C1241" s="2" t="s">
        <v>3875</v>
      </c>
      <c r="D1241" s="2" t="s">
        <v>3879</v>
      </c>
      <c r="E1241" s="3">
        <v>45373</v>
      </c>
      <c r="F1241" s="3">
        <v>45718</v>
      </c>
      <c r="G1241" s="2" t="s">
        <v>3884</v>
      </c>
      <c r="H1241" s="2">
        <v>470945</v>
      </c>
      <c r="I1241" s="2">
        <v>149097</v>
      </c>
      <c r="J1241" s="2" t="s">
        <v>3890</v>
      </c>
      <c r="K1241" s="2" t="s">
        <v>3895</v>
      </c>
      <c r="L1241" s="2">
        <v>2025</v>
      </c>
      <c r="M1241" s="2">
        <v>321848</v>
      </c>
      <c r="N1241" s="2">
        <f xml:space="preserve"> (Table1[[#This Row],[Variance (USD)]] / Table1[[#This Row],[Actual Spending (USD)]]) * 100</f>
        <v>215.86483966813552</v>
      </c>
      <c r="O1241" s="5" t="s">
        <v>3897</v>
      </c>
    </row>
    <row r="1242" spans="1:15" x14ac:dyDescent="0.25">
      <c r="A1242" s="4" t="s">
        <v>1255</v>
      </c>
      <c r="B1242" s="2" t="s">
        <v>3139</v>
      </c>
      <c r="C1242" s="2" t="s">
        <v>3875</v>
      </c>
      <c r="D1242" s="2" t="s">
        <v>3880</v>
      </c>
      <c r="E1242" s="3">
        <v>45537</v>
      </c>
      <c r="F1242" s="3">
        <v>45788</v>
      </c>
      <c r="G1242" s="2" t="s">
        <v>3884</v>
      </c>
      <c r="H1242" s="2">
        <v>939912</v>
      </c>
      <c r="I1242" s="2">
        <v>1126878</v>
      </c>
      <c r="J1242" s="2" t="s">
        <v>3891</v>
      </c>
      <c r="K1242" s="2" t="s">
        <v>3895</v>
      </c>
      <c r="L1242" s="2">
        <v>2023</v>
      </c>
      <c r="M1242" s="2">
        <v>-186966</v>
      </c>
      <c r="N1242" s="2">
        <f xml:space="preserve"> (Table1[[#This Row],[Variance (USD)]] / Table1[[#This Row],[Actual Spending (USD)]]) * 100</f>
        <v>-16.591503250573709</v>
      </c>
      <c r="O1242" s="5" t="s">
        <v>3897</v>
      </c>
    </row>
    <row r="1243" spans="1:15" x14ac:dyDescent="0.25">
      <c r="A1243" s="4" t="s">
        <v>1256</v>
      </c>
      <c r="B1243" s="2" t="s">
        <v>3055</v>
      </c>
      <c r="C1243" s="2" t="s">
        <v>3869</v>
      </c>
      <c r="D1243" s="2" t="s">
        <v>3880</v>
      </c>
      <c r="E1243" s="3">
        <v>45217</v>
      </c>
      <c r="F1243" s="3">
        <v>45777</v>
      </c>
      <c r="G1243" s="2" t="s">
        <v>3886</v>
      </c>
      <c r="H1243" s="2">
        <v>168278</v>
      </c>
      <c r="I1243" s="2">
        <v>612016</v>
      </c>
      <c r="J1243" s="2" t="s">
        <v>3889</v>
      </c>
      <c r="K1243" s="2" t="s">
        <v>3893</v>
      </c>
      <c r="L1243" s="2">
        <v>2025</v>
      </c>
      <c r="M1243" s="2">
        <v>-443738</v>
      </c>
      <c r="N1243" s="2">
        <f xml:space="preserve"> (Table1[[#This Row],[Variance (USD)]] / Table1[[#This Row],[Actual Spending (USD)]]) * 100</f>
        <v>-72.504313612716004</v>
      </c>
      <c r="O1243" s="5" t="s">
        <v>3899</v>
      </c>
    </row>
    <row r="1244" spans="1:15" x14ac:dyDescent="0.25">
      <c r="A1244" s="4" t="s">
        <v>1257</v>
      </c>
      <c r="B1244" s="2" t="s">
        <v>3671</v>
      </c>
      <c r="C1244" s="2" t="s">
        <v>3873</v>
      </c>
      <c r="D1244" s="2" t="s">
        <v>3883</v>
      </c>
      <c r="E1244" s="3">
        <v>45597</v>
      </c>
      <c r="F1244" s="3">
        <v>45740</v>
      </c>
      <c r="G1244" s="2" t="s">
        <v>3884</v>
      </c>
      <c r="H1244" s="2">
        <v>750527</v>
      </c>
      <c r="I1244" s="2">
        <v>817670</v>
      </c>
      <c r="J1244" s="2" t="s">
        <v>3890</v>
      </c>
      <c r="K1244" s="2" t="s">
        <v>3893</v>
      </c>
      <c r="L1244" s="2">
        <v>2023</v>
      </c>
      <c r="M1244" s="2">
        <v>-67143</v>
      </c>
      <c r="N1244" s="2">
        <f xml:space="preserve"> (Table1[[#This Row],[Variance (USD)]] / Table1[[#This Row],[Actual Spending (USD)]]) * 100</f>
        <v>-8.211503418249416</v>
      </c>
      <c r="O1244" s="5" t="s">
        <v>3897</v>
      </c>
    </row>
    <row r="1245" spans="1:15" x14ac:dyDescent="0.25">
      <c r="A1245" s="4" t="s">
        <v>1258</v>
      </c>
      <c r="B1245" s="2" t="s">
        <v>3672</v>
      </c>
      <c r="C1245" s="2" t="s">
        <v>3872</v>
      </c>
      <c r="D1245" s="2" t="s">
        <v>3881</v>
      </c>
      <c r="E1245" s="3">
        <v>45338</v>
      </c>
      <c r="F1245" s="3">
        <v>45704</v>
      </c>
      <c r="G1245" s="2" t="s">
        <v>3884</v>
      </c>
      <c r="H1245" s="2">
        <v>275253</v>
      </c>
      <c r="I1245" s="2">
        <v>611481</v>
      </c>
      <c r="J1245" s="2" t="s">
        <v>3892</v>
      </c>
      <c r="K1245" s="2" t="s">
        <v>3894</v>
      </c>
      <c r="L1245" s="2">
        <v>2023</v>
      </c>
      <c r="M1245" s="2">
        <v>-336228</v>
      </c>
      <c r="N1245" s="2">
        <f xml:space="preserve"> (Table1[[#This Row],[Variance (USD)]] / Table1[[#This Row],[Actual Spending (USD)]]) * 100</f>
        <v>-54.985845839854385</v>
      </c>
      <c r="O1245" s="5" t="s">
        <v>3897</v>
      </c>
    </row>
    <row r="1246" spans="1:15" x14ac:dyDescent="0.25">
      <c r="A1246" s="4" t="s">
        <v>1259</v>
      </c>
      <c r="B1246" s="2" t="s">
        <v>3216</v>
      </c>
      <c r="C1246" s="2" t="s">
        <v>3873</v>
      </c>
      <c r="D1246" s="2" t="s">
        <v>3882</v>
      </c>
      <c r="E1246" s="3">
        <v>45541</v>
      </c>
      <c r="F1246" s="3">
        <v>45621</v>
      </c>
      <c r="G1246" s="2" t="s">
        <v>3884</v>
      </c>
      <c r="H1246" s="2">
        <v>893823</v>
      </c>
      <c r="I1246" s="2">
        <v>524285</v>
      </c>
      <c r="J1246" s="2" t="s">
        <v>3888</v>
      </c>
      <c r="K1246" s="2" t="s">
        <v>3894</v>
      </c>
      <c r="L1246" s="2">
        <v>2024</v>
      </c>
      <c r="M1246" s="2">
        <v>369538</v>
      </c>
      <c r="N1246" s="2">
        <f xml:space="preserve"> (Table1[[#This Row],[Variance (USD)]] / Table1[[#This Row],[Actual Spending (USD)]]) * 100</f>
        <v>70.484183220958059</v>
      </c>
      <c r="O1246" s="5" t="s">
        <v>3897</v>
      </c>
    </row>
    <row r="1247" spans="1:15" x14ac:dyDescent="0.25">
      <c r="A1247" s="4" t="s">
        <v>1260</v>
      </c>
      <c r="B1247" s="2" t="s">
        <v>3299</v>
      </c>
      <c r="C1247" s="2" t="s">
        <v>3875</v>
      </c>
      <c r="D1247" s="2" t="s">
        <v>3876</v>
      </c>
      <c r="E1247" s="3">
        <v>45207</v>
      </c>
      <c r="F1247" s="3">
        <v>45438</v>
      </c>
      <c r="G1247" s="2" t="s">
        <v>3885</v>
      </c>
      <c r="H1247" s="2">
        <v>700831</v>
      </c>
      <c r="I1247" s="2">
        <v>604662</v>
      </c>
      <c r="J1247" s="2" t="s">
        <v>3888</v>
      </c>
      <c r="K1247" s="2" t="s">
        <v>3893</v>
      </c>
      <c r="L1247" s="2">
        <v>2024</v>
      </c>
      <c r="M1247" s="2">
        <v>96169</v>
      </c>
      <c r="N1247" s="2">
        <f xml:space="preserve"> (Table1[[#This Row],[Variance (USD)]] / Table1[[#This Row],[Actual Spending (USD)]]) * 100</f>
        <v>15.904588017768603</v>
      </c>
      <c r="O1247" s="5" t="s">
        <v>3898</v>
      </c>
    </row>
    <row r="1248" spans="1:15" x14ac:dyDescent="0.25">
      <c r="A1248" s="4" t="s">
        <v>1261</v>
      </c>
      <c r="B1248" s="2" t="s">
        <v>3448</v>
      </c>
      <c r="C1248" s="2" t="s">
        <v>3872</v>
      </c>
      <c r="D1248" s="2" t="s">
        <v>3881</v>
      </c>
      <c r="E1248" s="3">
        <v>44969</v>
      </c>
      <c r="F1248" s="3">
        <v>45550</v>
      </c>
      <c r="G1248" s="2" t="s">
        <v>3885</v>
      </c>
      <c r="H1248" s="2">
        <v>965318</v>
      </c>
      <c r="I1248" s="2">
        <v>863430</v>
      </c>
      <c r="J1248" s="2" t="s">
        <v>3888</v>
      </c>
      <c r="K1248" s="2" t="s">
        <v>3894</v>
      </c>
      <c r="L1248" s="2">
        <v>2024</v>
      </c>
      <c r="M1248" s="2">
        <v>101888</v>
      </c>
      <c r="N1248" s="2">
        <f xml:space="preserve"> (Table1[[#This Row],[Variance (USD)]] / Table1[[#This Row],[Actual Spending (USD)]]) * 100</f>
        <v>11.800377563902112</v>
      </c>
      <c r="O1248" s="5" t="s">
        <v>3898</v>
      </c>
    </row>
    <row r="1249" spans="1:15" x14ac:dyDescent="0.25">
      <c r="A1249" s="4" t="s">
        <v>1262</v>
      </c>
      <c r="B1249" s="2" t="s">
        <v>3568</v>
      </c>
      <c r="C1249" s="2" t="s">
        <v>3868</v>
      </c>
      <c r="D1249" s="2" t="s">
        <v>3881</v>
      </c>
      <c r="E1249" s="3">
        <v>45412</v>
      </c>
      <c r="F1249" s="3">
        <v>45583</v>
      </c>
      <c r="G1249" s="2" t="s">
        <v>3886</v>
      </c>
      <c r="H1249" s="2">
        <v>668871</v>
      </c>
      <c r="I1249" s="2">
        <v>1024474</v>
      </c>
      <c r="J1249" s="2" t="s">
        <v>3890</v>
      </c>
      <c r="K1249" s="2" t="s">
        <v>3894</v>
      </c>
      <c r="L1249" s="2">
        <v>2024</v>
      </c>
      <c r="M1249" s="2">
        <v>-355603</v>
      </c>
      <c r="N1249" s="2">
        <f xml:space="preserve"> (Table1[[#This Row],[Variance (USD)]] / Table1[[#This Row],[Actual Spending (USD)]]) * 100</f>
        <v>-34.710788170319603</v>
      </c>
      <c r="O1249" s="5" t="s">
        <v>3899</v>
      </c>
    </row>
    <row r="1250" spans="1:15" x14ac:dyDescent="0.25">
      <c r="A1250" s="4" t="s">
        <v>1263</v>
      </c>
      <c r="B1250" s="2" t="s">
        <v>3673</v>
      </c>
      <c r="C1250" s="2" t="s">
        <v>3868</v>
      </c>
      <c r="D1250" s="2" t="s">
        <v>3877</v>
      </c>
      <c r="E1250" s="3">
        <v>45522</v>
      </c>
      <c r="F1250" s="3">
        <v>45434</v>
      </c>
      <c r="G1250" s="2" t="s">
        <v>3886</v>
      </c>
      <c r="H1250" s="2">
        <v>239243</v>
      </c>
      <c r="I1250" s="2">
        <v>205931</v>
      </c>
      <c r="J1250" s="2" t="s">
        <v>3891</v>
      </c>
      <c r="K1250" s="2" t="s">
        <v>3893</v>
      </c>
      <c r="L1250" s="2">
        <v>2024</v>
      </c>
      <c r="M1250" s="2">
        <v>33312</v>
      </c>
      <c r="N1250" s="2">
        <f xml:space="preserve"> (Table1[[#This Row],[Variance (USD)]] / Table1[[#This Row],[Actual Spending (USD)]]) * 100</f>
        <v>16.176292058990633</v>
      </c>
      <c r="O1250" s="5" t="s">
        <v>3899</v>
      </c>
    </row>
    <row r="1251" spans="1:15" x14ac:dyDescent="0.25">
      <c r="A1251" s="4" t="s">
        <v>1264</v>
      </c>
      <c r="B1251" s="2" t="s">
        <v>3674</v>
      </c>
      <c r="C1251" s="2" t="s">
        <v>3870</v>
      </c>
      <c r="D1251" s="2" t="s">
        <v>3881</v>
      </c>
      <c r="E1251" s="3">
        <v>45629</v>
      </c>
      <c r="F1251" s="3">
        <v>45918</v>
      </c>
      <c r="G1251" s="2" t="s">
        <v>3884</v>
      </c>
      <c r="H1251" s="2">
        <v>531312</v>
      </c>
      <c r="I1251" s="2">
        <v>587466</v>
      </c>
      <c r="J1251" s="2" t="s">
        <v>3890</v>
      </c>
      <c r="K1251" s="2" t="s">
        <v>3895</v>
      </c>
      <c r="L1251" s="2">
        <v>2024</v>
      </c>
      <c r="M1251" s="2">
        <v>-56154</v>
      </c>
      <c r="N1251" s="2">
        <f xml:space="preserve"> (Table1[[#This Row],[Variance (USD)]] / Table1[[#This Row],[Actual Spending (USD)]]) * 100</f>
        <v>-9.558680842806222</v>
      </c>
      <c r="O1251" s="5" t="s">
        <v>3897</v>
      </c>
    </row>
    <row r="1252" spans="1:15" x14ac:dyDescent="0.25">
      <c r="A1252" s="4" t="s">
        <v>1265</v>
      </c>
      <c r="B1252" s="2" t="s">
        <v>3336</v>
      </c>
      <c r="C1252" s="2" t="s">
        <v>3871</v>
      </c>
      <c r="D1252" s="2" t="s">
        <v>3877</v>
      </c>
      <c r="E1252" s="3">
        <v>44977</v>
      </c>
      <c r="F1252" s="3">
        <v>45656</v>
      </c>
      <c r="G1252" s="2" t="s">
        <v>3884</v>
      </c>
      <c r="H1252" s="2">
        <v>187719</v>
      </c>
      <c r="I1252" s="2">
        <v>975079</v>
      </c>
      <c r="J1252" s="2" t="s">
        <v>3892</v>
      </c>
      <c r="K1252" s="2" t="s">
        <v>3894</v>
      </c>
      <c r="L1252" s="2">
        <v>2023</v>
      </c>
      <c r="M1252" s="2">
        <v>-787360</v>
      </c>
      <c r="N1252" s="2">
        <f xml:space="preserve"> (Table1[[#This Row],[Variance (USD)]] / Table1[[#This Row],[Actual Spending (USD)]]) * 100</f>
        <v>-80.748329109743935</v>
      </c>
      <c r="O1252" s="5" t="s">
        <v>3897</v>
      </c>
    </row>
    <row r="1253" spans="1:15" x14ac:dyDescent="0.25">
      <c r="A1253" s="4" t="s">
        <v>1266</v>
      </c>
      <c r="B1253" s="2" t="s">
        <v>3082</v>
      </c>
      <c r="C1253" s="2" t="s">
        <v>3875</v>
      </c>
      <c r="D1253" s="2" t="s">
        <v>3881</v>
      </c>
      <c r="E1253" s="3">
        <v>45136</v>
      </c>
      <c r="F1253" s="3">
        <v>45381</v>
      </c>
      <c r="G1253" s="2" t="s">
        <v>3885</v>
      </c>
      <c r="H1253" s="2">
        <v>988610</v>
      </c>
      <c r="I1253" s="2">
        <v>399517</v>
      </c>
      <c r="J1253" s="2" t="s">
        <v>3888</v>
      </c>
      <c r="K1253" s="2" t="s">
        <v>3896</v>
      </c>
      <c r="L1253" s="2">
        <v>2023</v>
      </c>
      <c r="M1253" s="2">
        <v>589093</v>
      </c>
      <c r="N1253" s="2">
        <f xml:space="preserve"> (Table1[[#This Row],[Variance (USD)]] / Table1[[#This Row],[Actual Spending (USD)]]) * 100</f>
        <v>147.45129744166081</v>
      </c>
      <c r="O1253" s="5" t="s">
        <v>3898</v>
      </c>
    </row>
    <row r="1254" spans="1:15" x14ac:dyDescent="0.25">
      <c r="A1254" s="4" t="s">
        <v>1267</v>
      </c>
      <c r="B1254" s="2" t="s">
        <v>3675</v>
      </c>
      <c r="C1254" s="2" t="s">
        <v>3871</v>
      </c>
      <c r="D1254" s="2" t="s">
        <v>3876</v>
      </c>
      <c r="E1254" s="3">
        <v>45052</v>
      </c>
      <c r="F1254" s="3">
        <v>46011</v>
      </c>
      <c r="G1254" s="2" t="s">
        <v>3884</v>
      </c>
      <c r="H1254" s="2">
        <v>318159</v>
      </c>
      <c r="I1254" s="2">
        <v>245101</v>
      </c>
      <c r="J1254" s="2" t="s">
        <v>3890</v>
      </c>
      <c r="K1254" s="2" t="s">
        <v>3893</v>
      </c>
      <c r="L1254" s="2">
        <v>2024</v>
      </c>
      <c r="M1254" s="2">
        <v>73058</v>
      </c>
      <c r="N1254" s="2">
        <f xml:space="preserve"> (Table1[[#This Row],[Variance (USD)]] / Table1[[#This Row],[Actual Spending (USD)]]) * 100</f>
        <v>29.807303927768551</v>
      </c>
      <c r="O1254" s="5" t="s">
        <v>3897</v>
      </c>
    </row>
    <row r="1255" spans="1:15" x14ac:dyDescent="0.25">
      <c r="A1255" s="4" t="s">
        <v>1268</v>
      </c>
      <c r="B1255" s="2" t="s">
        <v>3454</v>
      </c>
      <c r="C1255" s="2" t="s">
        <v>3872</v>
      </c>
      <c r="D1255" s="2" t="s">
        <v>3877</v>
      </c>
      <c r="E1255" s="3">
        <v>45418</v>
      </c>
      <c r="F1255" s="3">
        <v>45455</v>
      </c>
      <c r="G1255" s="2" t="s">
        <v>3884</v>
      </c>
      <c r="H1255" s="2">
        <v>333650</v>
      </c>
      <c r="I1255" s="2">
        <v>248438</v>
      </c>
      <c r="J1255" s="2" t="s">
        <v>3888</v>
      </c>
      <c r="K1255" s="2" t="s">
        <v>3894</v>
      </c>
      <c r="L1255" s="2">
        <v>2024</v>
      </c>
      <c r="M1255" s="2">
        <v>85212</v>
      </c>
      <c r="N1255" s="2">
        <f xml:space="preserve"> (Table1[[#This Row],[Variance (USD)]] / Table1[[#This Row],[Actual Spending (USD)]]) * 100</f>
        <v>34.299100781683961</v>
      </c>
      <c r="O1255" s="5" t="s">
        <v>3897</v>
      </c>
    </row>
    <row r="1256" spans="1:15" x14ac:dyDescent="0.25">
      <c r="A1256" s="4" t="s">
        <v>1269</v>
      </c>
      <c r="B1256" s="2" t="s">
        <v>3239</v>
      </c>
      <c r="C1256" s="2" t="s">
        <v>3875</v>
      </c>
      <c r="D1256" s="2" t="s">
        <v>3879</v>
      </c>
      <c r="E1256" s="3">
        <v>45435</v>
      </c>
      <c r="F1256" s="3">
        <v>45772</v>
      </c>
      <c r="G1256" s="2" t="s">
        <v>3884</v>
      </c>
      <c r="H1256" s="2">
        <v>295221</v>
      </c>
      <c r="I1256" s="2">
        <v>1178866</v>
      </c>
      <c r="J1256" s="2" t="s">
        <v>3892</v>
      </c>
      <c r="K1256" s="2" t="s">
        <v>3894</v>
      </c>
      <c r="L1256" s="2">
        <v>2024</v>
      </c>
      <c r="M1256" s="2">
        <v>-883645</v>
      </c>
      <c r="N1256" s="2">
        <f xml:space="preserve"> (Table1[[#This Row],[Variance (USD)]] / Table1[[#This Row],[Actual Spending (USD)]]) * 100</f>
        <v>-74.957204635641375</v>
      </c>
      <c r="O1256" s="5" t="s">
        <v>3897</v>
      </c>
    </row>
    <row r="1257" spans="1:15" x14ac:dyDescent="0.25">
      <c r="A1257" s="4" t="s">
        <v>1270</v>
      </c>
      <c r="B1257" s="2" t="s">
        <v>3486</v>
      </c>
      <c r="C1257" s="2" t="s">
        <v>3869</v>
      </c>
      <c r="D1257" s="2" t="s">
        <v>3877</v>
      </c>
      <c r="E1257" s="3">
        <v>45507</v>
      </c>
      <c r="F1257" s="3">
        <v>45375</v>
      </c>
      <c r="G1257" s="2" t="s">
        <v>3884</v>
      </c>
      <c r="H1257" s="2">
        <v>74067</v>
      </c>
      <c r="I1257" s="2">
        <v>1021166</v>
      </c>
      <c r="J1257" s="2" t="s">
        <v>3889</v>
      </c>
      <c r="K1257" s="2" t="s">
        <v>3893</v>
      </c>
      <c r="L1257" s="2">
        <v>2023</v>
      </c>
      <c r="M1257" s="2">
        <v>-947099</v>
      </c>
      <c r="N1257" s="2">
        <f xml:space="preserve"> (Table1[[#This Row],[Variance (USD)]] / Table1[[#This Row],[Actual Spending (USD)]]) * 100</f>
        <v>-92.746820791134837</v>
      </c>
      <c r="O1257" s="5" t="s">
        <v>3897</v>
      </c>
    </row>
    <row r="1258" spans="1:15" x14ac:dyDescent="0.25">
      <c r="A1258" s="4" t="s">
        <v>1271</v>
      </c>
      <c r="B1258" s="2" t="s">
        <v>3373</v>
      </c>
      <c r="C1258" s="2" t="s">
        <v>3873</v>
      </c>
      <c r="D1258" s="2" t="s">
        <v>3877</v>
      </c>
      <c r="E1258" s="3">
        <v>45184</v>
      </c>
      <c r="F1258" s="3">
        <v>45368</v>
      </c>
      <c r="G1258" s="2" t="s">
        <v>3884</v>
      </c>
      <c r="H1258" s="2">
        <v>442963</v>
      </c>
      <c r="I1258" s="2">
        <v>1137527</v>
      </c>
      <c r="J1258" s="2" t="s">
        <v>3889</v>
      </c>
      <c r="K1258" s="2" t="s">
        <v>3896</v>
      </c>
      <c r="L1258" s="2">
        <v>2024</v>
      </c>
      <c r="M1258" s="2">
        <v>-694564</v>
      </c>
      <c r="N1258" s="2">
        <f xml:space="preserve"> (Table1[[#This Row],[Variance (USD)]] / Table1[[#This Row],[Actual Spending (USD)]]) * 100</f>
        <v>-61.059122113145449</v>
      </c>
      <c r="O1258" s="5" t="s">
        <v>3897</v>
      </c>
    </row>
    <row r="1259" spans="1:15" x14ac:dyDescent="0.25">
      <c r="A1259" s="4" t="s">
        <v>1272</v>
      </c>
      <c r="B1259" s="2" t="s">
        <v>3676</v>
      </c>
      <c r="C1259" s="2" t="s">
        <v>3869</v>
      </c>
      <c r="D1259" s="2" t="s">
        <v>3876</v>
      </c>
      <c r="E1259" s="3">
        <v>45114</v>
      </c>
      <c r="F1259" s="3">
        <v>45964</v>
      </c>
      <c r="G1259" s="2" t="s">
        <v>3884</v>
      </c>
      <c r="H1259" s="2">
        <v>559993</v>
      </c>
      <c r="I1259" s="2">
        <v>693622</v>
      </c>
      <c r="J1259" s="2" t="s">
        <v>3889</v>
      </c>
      <c r="K1259" s="2" t="s">
        <v>3896</v>
      </c>
      <c r="L1259" s="2">
        <v>2024</v>
      </c>
      <c r="M1259" s="2">
        <v>-133629</v>
      </c>
      <c r="N1259" s="2">
        <f xml:space="preserve"> (Table1[[#This Row],[Variance (USD)]] / Table1[[#This Row],[Actual Spending (USD)]]) * 100</f>
        <v>-19.265392389514748</v>
      </c>
      <c r="O1259" s="5" t="s">
        <v>3897</v>
      </c>
    </row>
    <row r="1260" spans="1:15" x14ac:dyDescent="0.25">
      <c r="A1260" s="4" t="s">
        <v>1273</v>
      </c>
      <c r="B1260" s="2" t="s">
        <v>3167</v>
      </c>
      <c r="C1260" s="2" t="s">
        <v>3872</v>
      </c>
      <c r="D1260" s="2" t="s">
        <v>3876</v>
      </c>
      <c r="E1260" s="3">
        <v>45156</v>
      </c>
      <c r="F1260" s="3">
        <v>45808</v>
      </c>
      <c r="G1260" s="2" t="s">
        <v>3884</v>
      </c>
      <c r="H1260" s="2">
        <v>576344</v>
      </c>
      <c r="I1260" s="2">
        <v>181857</v>
      </c>
      <c r="J1260" s="2" t="s">
        <v>3888</v>
      </c>
      <c r="K1260" s="2" t="s">
        <v>3893</v>
      </c>
      <c r="L1260" s="2">
        <v>2023</v>
      </c>
      <c r="M1260" s="2">
        <v>394487</v>
      </c>
      <c r="N1260" s="2">
        <f xml:space="preserve"> (Table1[[#This Row],[Variance (USD)]] / Table1[[#This Row],[Actual Spending (USD)]]) * 100</f>
        <v>216.92153725179674</v>
      </c>
      <c r="O1260" s="5" t="s">
        <v>3897</v>
      </c>
    </row>
    <row r="1261" spans="1:15" x14ac:dyDescent="0.25">
      <c r="A1261" s="4" t="s">
        <v>1274</v>
      </c>
      <c r="B1261" s="2" t="s">
        <v>3677</v>
      </c>
      <c r="C1261" s="2" t="s">
        <v>3875</v>
      </c>
      <c r="D1261" s="2" t="s">
        <v>3877</v>
      </c>
      <c r="E1261" s="3">
        <v>45115</v>
      </c>
      <c r="F1261" s="3">
        <v>45776</v>
      </c>
      <c r="G1261" s="2" t="s">
        <v>3884</v>
      </c>
      <c r="H1261" s="2">
        <v>304770</v>
      </c>
      <c r="I1261" s="2">
        <v>373367</v>
      </c>
      <c r="J1261" s="2" t="s">
        <v>3890</v>
      </c>
      <c r="K1261" s="2" t="s">
        <v>3896</v>
      </c>
      <c r="L1261" s="2">
        <v>2023</v>
      </c>
      <c r="M1261" s="2">
        <v>-68597</v>
      </c>
      <c r="N1261" s="2">
        <f xml:space="preserve"> (Table1[[#This Row],[Variance (USD)]] / Table1[[#This Row],[Actual Spending (USD)]]) * 100</f>
        <v>-18.372539619195056</v>
      </c>
      <c r="O1261" s="5" t="s">
        <v>3897</v>
      </c>
    </row>
    <row r="1262" spans="1:15" x14ac:dyDescent="0.25">
      <c r="A1262" s="4" t="s">
        <v>1275</v>
      </c>
      <c r="B1262" s="2" t="s">
        <v>3359</v>
      </c>
      <c r="C1262" s="2" t="s">
        <v>3874</v>
      </c>
      <c r="D1262" s="2" t="s">
        <v>3882</v>
      </c>
      <c r="E1262" s="3">
        <v>45341</v>
      </c>
      <c r="F1262" s="3">
        <v>45881</v>
      </c>
      <c r="G1262" s="2" t="s">
        <v>3884</v>
      </c>
      <c r="H1262" s="2">
        <v>603616</v>
      </c>
      <c r="I1262" s="2">
        <v>599931</v>
      </c>
      <c r="J1262" s="2" t="s">
        <v>3888</v>
      </c>
      <c r="K1262" s="2" t="s">
        <v>3894</v>
      </c>
      <c r="L1262" s="2">
        <v>2025</v>
      </c>
      <c r="M1262" s="2">
        <v>3685</v>
      </c>
      <c r="N1262" s="2">
        <f xml:space="preserve"> (Table1[[#This Row],[Variance (USD)]] / Table1[[#This Row],[Actual Spending (USD)]]) * 100</f>
        <v>0.61423730395662168</v>
      </c>
      <c r="O1262" s="5" t="s">
        <v>3897</v>
      </c>
    </row>
    <row r="1263" spans="1:15" x14ac:dyDescent="0.25">
      <c r="A1263" s="4" t="s">
        <v>1276</v>
      </c>
      <c r="B1263" s="2" t="s">
        <v>3079</v>
      </c>
      <c r="C1263" s="2" t="s">
        <v>3872</v>
      </c>
      <c r="D1263" s="2" t="s">
        <v>3878</v>
      </c>
      <c r="E1263" s="3">
        <v>44936</v>
      </c>
      <c r="F1263" s="3">
        <v>45894</v>
      </c>
      <c r="G1263" s="2" t="s">
        <v>3884</v>
      </c>
      <c r="H1263" s="2">
        <v>914144</v>
      </c>
      <c r="I1263" s="2">
        <v>658292</v>
      </c>
      <c r="J1263" s="2" t="s">
        <v>3891</v>
      </c>
      <c r="K1263" s="2" t="s">
        <v>3896</v>
      </c>
      <c r="L1263" s="2">
        <v>2024</v>
      </c>
      <c r="M1263" s="2">
        <v>255852</v>
      </c>
      <c r="N1263" s="2">
        <f xml:space="preserve"> (Table1[[#This Row],[Variance (USD)]] / Table1[[#This Row],[Actual Spending (USD)]]) * 100</f>
        <v>38.866035133345079</v>
      </c>
      <c r="O1263" s="5" t="s">
        <v>3897</v>
      </c>
    </row>
    <row r="1264" spans="1:15" x14ac:dyDescent="0.25">
      <c r="A1264" s="4" t="s">
        <v>1277</v>
      </c>
      <c r="B1264" s="2" t="s">
        <v>3669</v>
      </c>
      <c r="C1264" s="2" t="s">
        <v>3874</v>
      </c>
      <c r="D1264" s="2" t="s">
        <v>3882</v>
      </c>
      <c r="E1264" s="3">
        <v>45040</v>
      </c>
      <c r="F1264" s="3">
        <v>45890</v>
      </c>
      <c r="G1264" s="2" t="s">
        <v>3884</v>
      </c>
      <c r="H1264" s="2">
        <v>102832</v>
      </c>
      <c r="I1264" s="2">
        <v>594288</v>
      </c>
      <c r="J1264" s="2" t="s">
        <v>3890</v>
      </c>
      <c r="K1264" s="2" t="s">
        <v>3894</v>
      </c>
      <c r="L1264" s="2">
        <v>2023</v>
      </c>
      <c r="M1264" s="2">
        <v>-491456</v>
      </c>
      <c r="N1264" s="2">
        <f xml:space="preserve"> (Table1[[#This Row],[Variance (USD)]] / Table1[[#This Row],[Actual Spending (USD)]]) * 100</f>
        <v>-82.696605013057649</v>
      </c>
      <c r="O1264" s="5" t="s">
        <v>3897</v>
      </c>
    </row>
    <row r="1265" spans="1:15" x14ac:dyDescent="0.25">
      <c r="A1265" s="4" t="s">
        <v>1278</v>
      </c>
      <c r="B1265" s="2" t="s">
        <v>3144</v>
      </c>
      <c r="C1265" s="2" t="s">
        <v>3873</v>
      </c>
      <c r="D1265" s="2" t="s">
        <v>3876</v>
      </c>
      <c r="E1265" s="3">
        <v>45002</v>
      </c>
      <c r="F1265" s="3">
        <v>45395</v>
      </c>
      <c r="G1265" s="2" t="s">
        <v>3886</v>
      </c>
      <c r="H1265" s="2">
        <v>92771</v>
      </c>
      <c r="I1265" s="2">
        <v>656880</v>
      </c>
      <c r="J1265" s="2" t="s">
        <v>3892</v>
      </c>
      <c r="K1265" s="2" t="s">
        <v>3895</v>
      </c>
      <c r="L1265" s="2">
        <v>2025</v>
      </c>
      <c r="M1265" s="2">
        <v>-564109</v>
      </c>
      <c r="N1265" s="2">
        <f xml:space="preserve"> (Table1[[#This Row],[Variance (USD)]] / Table1[[#This Row],[Actual Spending (USD)]]) * 100</f>
        <v>-85.877024722932646</v>
      </c>
      <c r="O1265" s="5" t="s">
        <v>3899</v>
      </c>
    </row>
    <row r="1266" spans="1:15" x14ac:dyDescent="0.25">
      <c r="A1266" s="4" t="s">
        <v>1279</v>
      </c>
      <c r="B1266" s="2" t="s">
        <v>3663</v>
      </c>
      <c r="C1266" s="2" t="s">
        <v>3868</v>
      </c>
      <c r="D1266" s="2" t="s">
        <v>3882</v>
      </c>
      <c r="E1266" s="3">
        <v>45602</v>
      </c>
      <c r="F1266" s="3">
        <v>45743</v>
      </c>
      <c r="G1266" s="2" t="s">
        <v>3884</v>
      </c>
      <c r="H1266" s="2">
        <v>147421</v>
      </c>
      <c r="I1266" s="2">
        <v>520424</v>
      </c>
      <c r="J1266" s="2" t="s">
        <v>3889</v>
      </c>
      <c r="K1266" s="2" t="s">
        <v>3896</v>
      </c>
      <c r="L1266" s="2">
        <v>2023</v>
      </c>
      <c r="M1266" s="2">
        <v>-373003</v>
      </c>
      <c r="N1266" s="2">
        <f xml:space="preserve"> (Table1[[#This Row],[Variance (USD)]] / Table1[[#This Row],[Actual Spending (USD)]]) * 100</f>
        <v>-71.672905169630923</v>
      </c>
      <c r="O1266" s="5" t="s">
        <v>3897</v>
      </c>
    </row>
    <row r="1267" spans="1:15" x14ac:dyDescent="0.25">
      <c r="A1267" s="4" t="s">
        <v>1280</v>
      </c>
      <c r="B1267" s="2" t="s">
        <v>3589</v>
      </c>
      <c r="C1267" s="2" t="s">
        <v>3868</v>
      </c>
      <c r="D1267" s="2" t="s">
        <v>3882</v>
      </c>
      <c r="E1267" s="3">
        <v>45428</v>
      </c>
      <c r="F1267" s="3">
        <v>45778</v>
      </c>
      <c r="G1267" s="2" t="s">
        <v>3886</v>
      </c>
      <c r="H1267" s="2">
        <v>227587</v>
      </c>
      <c r="I1267" s="2">
        <v>1079661</v>
      </c>
      <c r="J1267" s="2" t="s">
        <v>3890</v>
      </c>
      <c r="K1267" s="2" t="s">
        <v>3895</v>
      </c>
      <c r="L1267" s="2">
        <v>2025</v>
      </c>
      <c r="M1267" s="2">
        <v>-852074</v>
      </c>
      <c r="N1267" s="2">
        <f xml:space="preserve"> (Table1[[#This Row],[Variance (USD)]] / Table1[[#This Row],[Actual Spending (USD)]]) * 100</f>
        <v>-78.920513012880903</v>
      </c>
      <c r="O1267" s="5" t="s">
        <v>3899</v>
      </c>
    </row>
    <row r="1268" spans="1:15" x14ac:dyDescent="0.25">
      <c r="A1268" s="4" t="s">
        <v>1281</v>
      </c>
      <c r="B1268" s="2" t="s">
        <v>3678</v>
      </c>
      <c r="C1268" s="2" t="s">
        <v>3872</v>
      </c>
      <c r="D1268" s="2" t="s">
        <v>3883</v>
      </c>
      <c r="E1268" s="3">
        <v>45011</v>
      </c>
      <c r="F1268" s="3">
        <v>45630</v>
      </c>
      <c r="G1268" s="2" t="s">
        <v>3886</v>
      </c>
      <c r="H1268" s="2">
        <v>638826</v>
      </c>
      <c r="I1268" s="2">
        <v>1028931</v>
      </c>
      <c r="J1268" s="2" t="s">
        <v>3890</v>
      </c>
      <c r="K1268" s="2" t="s">
        <v>3893</v>
      </c>
      <c r="L1268" s="2">
        <v>2025</v>
      </c>
      <c r="M1268" s="2">
        <v>-390105</v>
      </c>
      <c r="N1268" s="2">
        <f xml:space="preserve"> (Table1[[#This Row],[Variance (USD)]] / Table1[[#This Row],[Actual Spending (USD)]]) * 100</f>
        <v>-37.913621029981606</v>
      </c>
      <c r="O1268" s="5" t="s">
        <v>3899</v>
      </c>
    </row>
    <row r="1269" spans="1:15" x14ac:dyDescent="0.25">
      <c r="A1269" s="4" t="s">
        <v>1282</v>
      </c>
      <c r="B1269" s="2" t="s">
        <v>3424</v>
      </c>
      <c r="C1269" s="2" t="s">
        <v>3871</v>
      </c>
      <c r="D1269" s="2" t="s">
        <v>3883</v>
      </c>
      <c r="E1269" s="3">
        <v>44975</v>
      </c>
      <c r="F1269" s="3">
        <v>45978</v>
      </c>
      <c r="G1269" s="2" t="s">
        <v>3886</v>
      </c>
      <c r="H1269" s="2">
        <v>522194</v>
      </c>
      <c r="I1269" s="2">
        <v>914426</v>
      </c>
      <c r="J1269" s="2" t="s">
        <v>3889</v>
      </c>
      <c r="K1269" s="2" t="s">
        <v>3896</v>
      </c>
      <c r="L1269" s="2">
        <v>2024</v>
      </c>
      <c r="M1269" s="2">
        <v>-392232</v>
      </c>
      <c r="N1269" s="2">
        <f xml:space="preserve"> (Table1[[#This Row],[Variance (USD)]] / Table1[[#This Row],[Actual Spending (USD)]]) * 100</f>
        <v>-42.893793483562362</v>
      </c>
      <c r="O1269" s="5" t="s">
        <v>3899</v>
      </c>
    </row>
    <row r="1270" spans="1:15" x14ac:dyDescent="0.25">
      <c r="A1270" s="4" t="s">
        <v>1283</v>
      </c>
      <c r="B1270" s="2" t="s">
        <v>3221</v>
      </c>
      <c r="C1270" s="2" t="s">
        <v>3875</v>
      </c>
      <c r="D1270" s="2" t="s">
        <v>3879</v>
      </c>
      <c r="E1270" s="3">
        <v>45421</v>
      </c>
      <c r="F1270" s="3">
        <v>45857</v>
      </c>
      <c r="G1270" s="2" t="s">
        <v>3884</v>
      </c>
      <c r="H1270" s="2">
        <v>352295</v>
      </c>
      <c r="I1270" s="2">
        <v>222811</v>
      </c>
      <c r="J1270" s="2" t="s">
        <v>3892</v>
      </c>
      <c r="K1270" s="2" t="s">
        <v>3894</v>
      </c>
      <c r="L1270" s="2">
        <v>2024</v>
      </c>
      <c r="M1270" s="2">
        <v>129484</v>
      </c>
      <c r="N1270" s="2">
        <f xml:space="preserve"> (Table1[[#This Row],[Variance (USD)]] / Table1[[#This Row],[Actual Spending (USD)]]) * 100</f>
        <v>58.113827414265906</v>
      </c>
      <c r="O1270" s="5" t="s">
        <v>3897</v>
      </c>
    </row>
    <row r="1271" spans="1:15" x14ac:dyDescent="0.25">
      <c r="A1271" s="4" t="s">
        <v>1284</v>
      </c>
      <c r="B1271" s="2" t="s">
        <v>3593</v>
      </c>
      <c r="C1271" s="2" t="s">
        <v>3875</v>
      </c>
      <c r="D1271" s="2" t="s">
        <v>3881</v>
      </c>
      <c r="E1271" s="3">
        <v>45615</v>
      </c>
      <c r="F1271" s="3">
        <v>45769</v>
      </c>
      <c r="G1271" s="2" t="s">
        <v>3884</v>
      </c>
      <c r="H1271" s="2">
        <v>706989</v>
      </c>
      <c r="I1271" s="2">
        <v>759541</v>
      </c>
      <c r="J1271" s="2" t="s">
        <v>3888</v>
      </c>
      <c r="K1271" s="2" t="s">
        <v>3896</v>
      </c>
      <c r="L1271" s="2">
        <v>2025</v>
      </c>
      <c r="M1271" s="2">
        <v>-52552</v>
      </c>
      <c r="N1271" s="2">
        <f xml:space="preserve"> (Table1[[#This Row],[Variance (USD)]] / Table1[[#This Row],[Actual Spending (USD)]]) * 100</f>
        <v>-6.918915502915576</v>
      </c>
      <c r="O1271" s="5" t="s">
        <v>3897</v>
      </c>
    </row>
    <row r="1272" spans="1:15" x14ac:dyDescent="0.25">
      <c r="A1272" s="4" t="s">
        <v>1285</v>
      </c>
      <c r="B1272" s="2" t="s">
        <v>3679</v>
      </c>
      <c r="C1272" s="2" t="s">
        <v>3868</v>
      </c>
      <c r="D1272" s="2" t="s">
        <v>3877</v>
      </c>
      <c r="E1272" s="3">
        <v>45313</v>
      </c>
      <c r="F1272" s="3">
        <v>46014</v>
      </c>
      <c r="G1272" s="2" t="s">
        <v>3884</v>
      </c>
      <c r="H1272" s="2">
        <v>395607</v>
      </c>
      <c r="I1272" s="2">
        <v>923546</v>
      </c>
      <c r="J1272" s="2" t="s">
        <v>3888</v>
      </c>
      <c r="K1272" s="2" t="s">
        <v>3893</v>
      </c>
      <c r="L1272" s="2">
        <v>2024</v>
      </c>
      <c r="M1272" s="2">
        <v>-527939</v>
      </c>
      <c r="N1272" s="2">
        <f xml:space="preserve"> (Table1[[#This Row],[Variance (USD)]] / Table1[[#This Row],[Actual Spending (USD)]]) * 100</f>
        <v>-57.164342653208401</v>
      </c>
      <c r="O1272" s="5" t="s">
        <v>3897</v>
      </c>
    </row>
    <row r="1273" spans="1:15" x14ac:dyDescent="0.25">
      <c r="A1273" s="4" t="s">
        <v>1286</v>
      </c>
      <c r="B1273" s="2" t="s">
        <v>3419</v>
      </c>
      <c r="C1273" s="2" t="s">
        <v>3870</v>
      </c>
      <c r="D1273" s="2" t="s">
        <v>3878</v>
      </c>
      <c r="E1273" s="3">
        <v>45315</v>
      </c>
      <c r="F1273" s="3">
        <v>45898</v>
      </c>
      <c r="G1273" s="2" t="s">
        <v>3886</v>
      </c>
      <c r="H1273" s="2">
        <v>671141</v>
      </c>
      <c r="I1273" s="2">
        <v>886842</v>
      </c>
      <c r="J1273" s="2" t="s">
        <v>3890</v>
      </c>
      <c r="K1273" s="2" t="s">
        <v>3893</v>
      </c>
      <c r="L1273" s="2">
        <v>2023</v>
      </c>
      <c r="M1273" s="2">
        <v>-215701</v>
      </c>
      <c r="N1273" s="2">
        <f xml:space="preserve"> (Table1[[#This Row],[Variance (USD)]] / Table1[[#This Row],[Actual Spending (USD)]]) * 100</f>
        <v>-24.322370839450542</v>
      </c>
      <c r="O1273" s="5" t="s">
        <v>3899</v>
      </c>
    </row>
    <row r="1274" spans="1:15" x14ac:dyDescent="0.25">
      <c r="A1274" s="4" t="s">
        <v>1287</v>
      </c>
      <c r="B1274" s="2" t="s">
        <v>3471</v>
      </c>
      <c r="C1274" s="2" t="s">
        <v>3869</v>
      </c>
      <c r="D1274" s="2" t="s">
        <v>3879</v>
      </c>
      <c r="E1274" s="3">
        <v>45144</v>
      </c>
      <c r="F1274" s="3">
        <v>45514</v>
      </c>
      <c r="G1274" s="2" t="s">
        <v>3884</v>
      </c>
      <c r="H1274" s="2">
        <v>663720</v>
      </c>
      <c r="I1274" s="2">
        <v>502519</v>
      </c>
      <c r="J1274" s="2" t="s">
        <v>3889</v>
      </c>
      <c r="K1274" s="2" t="s">
        <v>3894</v>
      </c>
      <c r="L1274" s="2">
        <v>2023</v>
      </c>
      <c r="M1274" s="2">
        <v>161201</v>
      </c>
      <c r="N1274" s="2">
        <f xml:space="preserve"> (Table1[[#This Row],[Variance (USD)]] / Table1[[#This Row],[Actual Spending (USD)]]) * 100</f>
        <v>32.078588073286781</v>
      </c>
      <c r="O1274" s="5" t="s">
        <v>3897</v>
      </c>
    </row>
    <row r="1275" spans="1:15" x14ac:dyDescent="0.25">
      <c r="A1275" s="4" t="s">
        <v>1288</v>
      </c>
      <c r="B1275" s="2" t="s">
        <v>3028</v>
      </c>
      <c r="C1275" s="2" t="s">
        <v>3870</v>
      </c>
      <c r="D1275" s="2" t="s">
        <v>3877</v>
      </c>
      <c r="E1275" s="3">
        <v>45627</v>
      </c>
      <c r="F1275" s="3">
        <v>45300</v>
      </c>
      <c r="G1275" s="2" t="s">
        <v>3885</v>
      </c>
      <c r="H1275" s="2">
        <v>340299</v>
      </c>
      <c r="I1275" s="2">
        <v>737548</v>
      </c>
      <c r="J1275" s="2" t="s">
        <v>3891</v>
      </c>
      <c r="K1275" s="2" t="s">
        <v>3896</v>
      </c>
      <c r="L1275" s="2">
        <v>2025</v>
      </c>
      <c r="M1275" s="2">
        <v>-397249</v>
      </c>
      <c r="N1275" s="2">
        <f xml:space="preserve"> (Table1[[#This Row],[Variance (USD)]] / Table1[[#This Row],[Actual Spending (USD)]]) * 100</f>
        <v>-53.860765672200316</v>
      </c>
      <c r="O1275" s="5" t="s">
        <v>3898</v>
      </c>
    </row>
    <row r="1276" spans="1:15" x14ac:dyDescent="0.25">
      <c r="A1276" s="4" t="s">
        <v>1289</v>
      </c>
      <c r="B1276" s="2" t="s">
        <v>3654</v>
      </c>
      <c r="C1276" s="2" t="s">
        <v>3873</v>
      </c>
      <c r="D1276" s="2" t="s">
        <v>3882</v>
      </c>
      <c r="E1276" s="3">
        <v>45272</v>
      </c>
      <c r="F1276" s="3">
        <v>45344</v>
      </c>
      <c r="G1276" s="2" t="s">
        <v>3885</v>
      </c>
      <c r="H1276" s="2">
        <v>825817</v>
      </c>
      <c r="I1276" s="2">
        <v>114269</v>
      </c>
      <c r="J1276" s="2" t="s">
        <v>3892</v>
      </c>
      <c r="K1276" s="2" t="s">
        <v>3895</v>
      </c>
      <c r="L1276" s="2">
        <v>2025</v>
      </c>
      <c r="M1276" s="2">
        <v>711548</v>
      </c>
      <c r="N1276" s="2">
        <f xml:space="preserve"> (Table1[[#This Row],[Variance (USD)]] / Table1[[#This Row],[Actual Spending (USD)]]) * 100</f>
        <v>622.6955692269994</v>
      </c>
      <c r="O1276" s="5" t="s">
        <v>3898</v>
      </c>
    </row>
    <row r="1277" spans="1:15" x14ac:dyDescent="0.25">
      <c r="A1277" s="4" t="s">
        <v>1290</v>
      </c>
      <c r="B1277" s="2" t="s">
        <v>3510</v>
      </c>
      <c r="C1277" s="2" t="s">
        <v>3869</v>
      </c>
      <c r="D1277" s="2" t="s">
        <v>3876</v>
      </c>
      <c r="E1277" s="3">
        <v>45156</v>
      </c>
      <c r="F1277" s="3">
        <v>45368</v>
      </c>
      <c r="G1277" s="2" t="s">
        <v>3884</v>
      </c>
      <c r="H1277" s="2">
        <v>199360</v>
      </c>
      <c r="I1277" s="2">
        <v>84895</v>
      </c>
      <c r="J1277" s="2" t="s">
        <v>3888</v>
      </c>
      <c r="K1277" s="2" t="s">
        <v>3893</v>
      </c>
      <c r="L1277" s="2">
        <v>2023</v>
      </c>
      <c r="M1277" s="2">
        <v>114465</v>
      </c>
      <c r="N1277" s="2">
        <f xml:space="preserve"> (Table1[[#This Row],[Variance (USD)]] / Table1[[#This Row],[Actual Spending (USD)]]) * 100</f>
        <v>134.8312621473585</v>
      </c>
      <c r="O1277" s="5" t="s">
        <v>3897</v>
      </c>
    </row>
    <row r="1278" spans="1:15" x14ac:dyDescent="0.25">
      <c r="A1278" s="4" t="s">
        <v>1291</v>
      </c>
      <c r="B1278" s="2" t="s">
        <v>3165</v>
      </c>
      <c r="C1278" s="2" t="s">
        <v>3869</v>
      </c>
      <c r="D1278" s="2" t="s">
        <v>3883</v>
      </c>
      <c r="E1278" s="3">
        <v>45181</v>
      </c>
      <c r="F1278" s="3">
        <v>46009</v>
      </c>
      <c r="G1278" s="2" t="s">
        <v>3884</v>
      </c>
      <c r="H1278" s="2">
        <v>362732</v>
      </c>
      <c r="I1278" s="2">
        <v>266641</v>
      </c>
      <c r="J1278" s="2" t="s">
        <v>3892</v>
      </c>
      <c r="K1278" s="2" t="s">
        <v>3893</v>
      </c>
      <c r="L1278" s="2">
        <v>2023</v>
      </c>
      <c r="M1278" s="2">
        <v>96091</v>
      </c>
      <c r="N1278" s="2">
        <f xml:space="preserve"> (Table1[[#This Row],[Variance (USD)]] / Table1[[#This Row],[Actual Spending (USD)]]) * 100</f>
        <v>36.03759361838577</v>
      </c>
      <c r="O1278" s="5" t="s">
        <v>3897</v>
      </c>
    </row>
    <row r="1279" spans="1:15" x14ac:dyDescent="0.25">
      <c r="A1279" s="4" t="s">
        <v>1292</v>
      </c>
      <c r="B1279" s="2" t="s">
        <v>3412</v>
      </c>
      <c r="C1279" s="2" t="s">
        <v>3872</v>
      </c>
      <c r="D1279" s="2" t="s">
        <v>3880</v>
      </c>
      <c r="E1279" s="3">
        <v>45162</v>
      </c>
      <c r="F1279" s="3">
        <v>45794</v>
      </c>
      <c r="G1279" s="2" t="s">
        <v>3886</v>
      </c>
      <c r="H1279" s="2">
        <v>268023</v>
      </c>
      <c r="I1279" s="2">
        <v>429319</v>
      </c>
      <c r="J1279" s="2" t="s">
        <v>3892</v>
      </c>
      <c r="K1279" s="2" t="s">
        <v>3894</v>
      </c>
      <c r="L1279" s="2">
        <v>2025</v>
      </c>
      <c r="M1279" s="2">
        <v>-161296</v>
      </c>
      <c r="N1279" s="2">
        <f xml:space="preserve"> (Table1[[#This Row],[Variance (USD)]] / Table1[[#This Row],[Actual Spending (USD)]]) * 100</f>
        <v>-37.57019838395226</v>
      </c>
      <c r="O1279" s="5" t="s">
        <v>3899</v>
      </c>
    </row>
    <row r="1280" spans="1:15" x14ac:dyDescent="0.25">
      <c r="A1280" s="4" t="s">
        <v>1293</v>
      </c>
      <c r="B1280" s="2" t="s">
        <v>3115</v>
      </c>
      <c r="C1280" s="2" t="s">
        <v>3868</v>
      </c>
      <c r="D1280" s="2" t="s">
        <v>3878</v>
      </c>
      <c r="E1280" s="3">
        <v>44952</v>
      </c>
      <c r="F1280" s="3">
        <v>45607</v>
      </c>
      <c r="G1280" s="2" t="s">
        <v>3884</v>
      </c>
      <c r="H1280" s="2">
        <v>741445</v>
      </c>
      <c r="I1280" s="2">
        <v>814118</v>
      </c>
      <c r="J1280" s="2" t="s">
        <v>3892</v>
      </c>
      <c r="K1280" s="2" t="s">
        <v>3896</v>
      </c>
      <c r="L1280" s="2">
        <v>2023</v>
      </c>
      <c r="M1280" s="2">
        <v>-72673</v>
      </c>
      <c r="N1280" s="2">
        <f xml:space="preserve"> (Table1[[#This Row],[Variance (USD)]] / Table1[[#This Row],[Actual Spending (USD)]]) * 100</f>
        <v>-8.9265929508990087</v>
      </c>
      <c r="O1280" s="5" t="s">
        <v>3897</v>
      </c>
    </row>
    <row r="1281" spans="1:15" x14ac:dyDescent="0.25">
      <c r="A1281" s="4" t="s">
        <v>1294</v>
      </c>
      <c r="B1281" s="2" t="s">
        <v>3650</v>
      </c>
      <c r="C1281" s="2" t="s">
        <v>3870</v>
      </c>
      <c r="D1281" s="2" t="s">
        <v>3882</v>
      </c>
      <c r="E1281" s="3">
        <v>45510</v>
      </c>
      <c r="F1281" s="3">
        <v>45915</v>
      </c>
      <c r="G1281" s="2" t="s">
        <v>3884</v>
      </c>
      <c r="H1281" s="2">
        <v>585539</v>
      </c>
      <c r="I1281" s="2">
        <v>938478</v>
      </c>
      <c r="J1281" s="2" t="s">
        <v>3889</v>
      </c>
      <c r="K1281" s="2" t="s">
        <v>3895</v>
      </c>
      <c r="L1281" s="2">
        <v>2023</v>
      </c>
      <c r="M1281" s="2">
        <v>-352939</v>
      </c>
      <c r="N1281" s="2">
        <f xml:space="preserve"> (Table1[[#This Row],[Variance (USD)]] / Table1[[#This Row],[Actual Spending (USD)]]) * 100</f>
        <v>-37.607594424163381</v>
      </c>
      <c r="O1281" s="5" t="s">
        <v>3897</v>
      </c>
    </row>
    <row r="1282" spans="1:15" x14ac:dyDescent="0.25">
      <c r="A1282" s="4" t="s">
        <v>1295</v>
      </c>
      <c r="B1282" s="2" t="s">
        <v>3284</v>
      </c>
      <c r="C1282" s="2" t="s">
        <v>3870</v>
      </c>
      <c r="D1282" s="2" t="s">
        <v>3880</v>
      </c>
      <c r="E1282" s="3">
        <v>45187</v>
      </c>
      <c r="F1282" s="3">
        <v>45456</v>
      </c>
      <c r="G1282" s="2" t="s">
        <v>3885</v>
      </c>
      <c r="H1282" s="2">
        <v>152420</v>
      </c>
      <c r="I1282" s="2">
        <v>354857</v>
      </c>
      <c r="J1282" s="2" t="s">
        <v>3889</v>
      </c>
      <c r="K1282" s="2" t="s">
        <v>3896</v>
      </c>
      <c r="L1282" s="2">
        <v>2025</v>
      </c>
      <c r="M1282" s="2">
        <v>-202437</v>
      </c>
      <c r="N1282" s="2">
        <f xml:space="preserve"> (Table1[[#This Row],[Variance (USD)]] / Table1[[#This Row],[Actual Spending (USD)]]) * 100</f>
        <v>-57.047486734092892</v>
      </c>
      <c r="O1282" s="5" t="s">
        <v>3898</v>
      </c>
    </row>
    <row r="1283" spans="1:15" x14ac:dyDescent="0.25">
      <c r="A1283" s="4" t="s">
        <v>1296</v>
      </c>
      <c r="B1283" s="2" t="s">
        <v>3066</v>
      </c>
      <c r="C1283" s="2" t="s">
        <v>3868</v>
      </c>
      <c r="D1283" s="2" t="s">
        <v>3883</v>
      </c>
      <c r="E1283" s="3">
        <v>45197</v>
      </c>
      <c r="F1283" s="3">
        <v>45570</v>
      </c>
      <c r="G1283" s="2" t="s">
        <v>3884</v>
      </c>
      <c r="H1283" s="2">
        <v>730934</v>
      </c>
      <c r="I1283" s="2">
        <v>244241</v>
      </c>
      <c r="J1283" s="2" t="s">
        <v>3889</v>
      </c>
      <c r="K1283" s="2" t="s">
        <v>3896</v>
      </c>
      <c r="L1283" s="2">
        <v>2024</v>
      </c>
      <c r="M1283" s="2">
        <v>486693</v>
      </c>
      <c r="N1283" s="2">
        <f xml:space="preserve"> (Table1[[#This Row],[Variance (USD)]] / Table1[[#This Row],[Actual Spending (USD)]]) * 100</f>
        <v>199.26752674612371</v>
      </c>
      <c r="O1283" s="5" t="s">
        <v>3897</v>
      </c>
    </row>
    <row r="1284" spans="1:15" x14ac:dyDescent="0.25">
      <c r="A1284" s="4" t="s">
        <v>1297</v>
      </c>
      <c r="B1284" s="2" t="s">
        <v>3267</v>
      </c>
      <c r="C1284" s="2" t="s">
        <v>3870</v>
      </c>
      <c r="D1284" s="2" t="s">
        <v>3882</v>
      </c>
      <c r="E1284" s="3">
        <v>45049</v>
      </c>
      <c r="F1284" s="3">
        <v>45318</v>
      </c>
      <c r="G1284" s="2" t="s">
        <v>3885</v>
      </c>
      <c r="H1284" s="2">
        <v>321767</v>
      </c>
      <c r="I1284" s="2">
        <v>612927</v>
      </c>
      <c r="J1284" s="2" t="s">
        <v>3890</v>
      </c>
      <c r="K1284" s="2" t="s">
        <v>3895</v>
      </c>
      <c r="L1284" s="2">
        <v>2023</v>
      </c>
      <c r="M1284" s="2">
        <v>-291160</v>
      </c>
      <c r="N1284" s="2">
        <f xml:space="preserve"> (Table1[[#This Row],[Variance (USD)]] / Table1[[#This Row],[Actual Spending (USD)]]) * 100</f>
        <v>-47.50321000706446</v>
      </c>
      <c r="O1284" s="5" t="s">
        <v>3898</v>
      </c>
    </row>
    <row r="1285" spans="1:15" x14ac:dyDescent="0.25">
      <c r="A1285" s="4" t="s">
        <v>1298</v>
      </c>
      <c r="B1285" s="2" t="s">
        <v>3153</v>
      </c>
      <c r="C1285" s="2" t="s">
        <v>3874</v>
      </c>
      <c r="D1285" s="2" t="s">
        <v>3881</v>
      </c>
      <c r="E1285" s="3">
        <v>45582</v>
      </c>
      <c r="F1285" s="3">
        <v>45361</v>
      </c>
      <c r="G1285" s="2" t="s">
        <v>3886</v>
      </c>
      <c r="H1285" s="2">
        <v>267544</v>
      </c>
      <c r="I1285" s="2">
        <v>1073245</v>
      </c>
      <c r="J1285" s="2" t="s">
        <v>3889</v>
      </c>
      <c r="K1285" s="2" t="s">
        <v>3894</v>
      </c>
      <c r="L1285" s="2">
        <v>2024</v>
      </c>
      <c r="M1285" s="2">
        <v>-805701</v>
      </c>
      <c r="N1285" s="2">
        <f xml:space="preserve"> (Table1[[#This Row],[Variance (USD)]] / Table1[[#This Row],[Actual Spending (USD)]]) * 100</f>
        <v>-75.07148880264991</v>
      </c>
      <c r="O1285" s="5" t="s">
        <v>3899</v>
      </c>
    </row>
    <row r="1286" spans="1:15" x14ac:dyDescent="0.25">
      <c r="A1286" s="4" t="s">
        <v>1299</v>
      </c>
      <c r="B1286" s="2" t="s">
        <v>3277</v>
      </c>
      <c r="C1286" s="2" t="s">
        <v>3868</v>
      </c>
      <c r="D1286" s="2" t="s">
        <v>3881</v>
      </c>
      <c r="E1286" s="3">
        <v>45183</v>
      </c>
      <c r="F1286" s="3">
        <v>45509</v>
      </c>
      <c r="G1286" s="2" t="s">
        <v>3886</v>
      </c>
      <c r="H1286" s="2">
        <v>366859</v>
      </c>
      <c r="I1286" s="2">
        <v>108488</v>
      </c>
      <c r="J1286" s="2" t="s">
        <v>3890</v>
      </c>
      <c r="K1286" s="2" t="s">
        <v>3893</v>
      </c>
      <c r="L1286" s="2">
        <v>2024</v>
      </c>
      <c r="M1286" s="2">
        <v>258371</v>
      </c>
      <c r="N1286" s="2">
        <f xml:space="preserve"> (Table1[[#This Row],[Variance (USD)]] / Table1[[#This Row],[Actual Spending (USD)]]) * 100</f>
        <v>238.15629378364429</v>
      </c>
      <c r="O1286" s="5" t="s">
        <v>3899</v>
      </c>
    </row>
    <row r="1287" spans="1:15" x14ac:dyDescent="0.25">
      <c r="A1287" s="4" t="s">
        <v>1300</v>
      </c>
      <c r="B1287" s="2" t="s">
        <v>3483</v>
      </c>
      <c r="C1287" s="2" t="s">
        <v>3872</v>
      </c>
      <c r="D1287" s="2" t="s">
        <v>3880</v>
      </c>
      <c r="E1287" s="3">
        <v>45582</v>
      </c>
      <c r="F1287" s="3">
        <v>45656</v>
      </c>
      <c r="G1287" s="2" t="s">
        <v>3884</v>
      </c>
      <c r="H1287" s="2">
        <v>318267</v>
      </c>
      <c r="I1287" s="2">
        <v>524614</v>
      </c>
      <c r="J1287" s="2" t="s">
        <v>3888</v>
      </c>
      <c r="K1287" s="2" t="s">
        <v>3894</v>
      </c>
      <c r="L1287" s="2">
        <v>2023</v>
      </c>
      <c r="M1287" s="2">
        <v>-206347</v>
      </c>
      <c r="N1287" s="2">
        <f xml:space="preserve"> (Table1[[#This Row],[Variance (USD)]] / Table1[[#This Row],[Actual Spending (USD)]]) * 100</f>
        <v>-39.333109676829061</v>
      </c>
      <c r="O1287" s="5" t="s">
        <v>3897</v>
      </c>
    </row>
    <row r="1288" spans="1:15" x14ac:dyDescent="0.25">
      <c r="A1288" s="4" t="s">
        <v>1301</v>
      </c>
      <c r="B1288" s="2" t="s">
        <v>3548</v>
      </c>
      <c r="C1288" s="2" t="s">
        <v>3871</v>
      </c>
      <c r="D1288" s="2" t="s">
        <v>3876</v>
      </c>
      <c r="E1288" s="3">
        <v>45347</v>
      </c>
      <c r="F1288" s="3">
        <v>45992</v>
      </c>
      <c r="G1288" s="2" t="s">
        <v>3884</v>
      </c>
      <c r="H1288" s="2">
        <v>315205</v>
      </c>
      <c r="I1288" s="2">
        <v>295121</v>
      </c>
      <c r="J1288" s="2" t="s">
        <v>3888</v>
      </c>
      <c r="K1288" s="2" t="s">
        <v>3894</v>
      </c>
      <c r="L1288" s="2">
        <v>2024</v>
      </c>
      <c r="M1288" s="2">
        <v>20084</v>
      </c>
      <c r="N1288" s="2">
        <f xml:space="preserve"> (Table1[[#This Row],[Variance (USD)]] / Table1[[#This Row],[Actual Spending (USD)]]) * 100</f>
        <v>6.8053442486302229</v>
      </c>
      <c r="O1288" s="5" t="s">
        <v>3897</v>
      </c>
    </row>
    <row r="1289" spans="1:15" x14ac:dyDescent="0.25">
      <c r="A1289" s="4" t="s">
        <v>1302</v>
      </c>
      <c r="B1289" s="2" t="s">
        <v>3107</v>
      </c>
      <c r="C1289" s="2" t="s">
        <v>3869</v>
      </c>
      <c r="D1289" s="2" t="s">
        <v>3882</v>
      </c>
      <c r="E1289" s="3">
        <v>45185</v>
      </c>
      <c r="F1289" s="3">
        <v>45597</v>
      </c>
      <c r="G1289" s="2" t="s">
        <v>3884</v>
      </c>
      <c r="H1289" s="2">
        <v>156393</v>
      </c>
      <c r="I1289" s="2">
        <v>932082</v>
      </c>
      <c r="J1289" s="2" t="s">
        <v>3888</v>
      </c>
      <c r="K1289" s="2" t="s">
        <v>3896</v>
      </c>
      <c r="L1289" s="2">
        <v>2025</v>
      </c>
      <c r="M1289" s="2">
        <v>-775689</v>
      </c>
      <c r="N1289" s="2">
        <f xml:space="preserve"> (Table1[[#This Row],[Variance (USD)]] / Table1[[#This Row],[Actual Spending (USD)]]) * 100</f>
        <v>-83.221111447276101</v>
      </c>
      <c r="O1289" s="5" t="s">
        <v>3897</v>
      </c>
    </row>
    <row r="1290" spans="1:15" x14ac:dyDescent="0.25">
      <c r="A1290" s="4" t="s">
        <v>1303</v>
      </c>
      <c r="B1290" s="2" t="s">
        <v>3369</v>
      </c>
      <c r="C1290" s="2" t="s">
        <v>3872</v>
      </c>
      <c r="D1290" s="2" t="s">
        <v>3877</v>
      </c>
      <c r="E1290" s="3">
        <v>44973</v>
      </c>
      <c r="F1290" s="3">
        <v>45415</v>
      </c>
      <c r="G1290" s="2" t="s">
        <v>3884</v>
      </c>
      <c r="H1290" s="2">
        <v>828504</v>
      </c>
      <c r="I1290" s="2">
        <v>424484</v>
      </c>
      <c r="J1290" s="2" t="s">
        <v>3888</v>
      </c>
      <c r="K1290" s="2" t="s">
        <v>3895</v>
      </c>
      <c r="L1290" s="2">
        <v>2023</v>
      </c>
      <c r="M1290" s="2">
        <v>404020</v>
      </c>
      <c r="N1290" s="2">
        <f xml:space="preserve"> (Table1[[#This Row],[Variance (USD)]] / Table1[[#This Row],[Actual Spending (USD)]]) * 100</f>
        <v>95.179088022163384</v>
      </c>
      <c r="O1290" s="5" t="s">
        <v>3897</v>
      </c>
    </row>
    <row r="1291" spans="1:15" x14ac:dyDescent="0.25">
      <c r="A1291" s="4" t="s">
        <v>1304</v>
      </c>
      <c r="B1291" s="2" t="s">
        <v>3204</v>
      </c>
      <c r="C1291" s="2" t="s">
        <v>3875</v>
      </c>
      <c r="D1291" s="2" t="s">
        <v>3882</v>
      </c>
      <c r="E1291" s="3">
        <v>45451</v>
      </c>
      <c r="F1291" s="3">
        <v>45310</v>
      </c>
      <c r="G1291" s="2" t="s">
        <v>3884</v>
      </c>
      <c r="H1291" s="2">
        <v>938467</v>
      </c>
      <c r="I1291" s="2">
        <v>930897</v>
      </c>
      <c r="J1291" s="2" t="s">
        <v>3888</v>
      </c>
      <c r="K1291" s="2" t="s">
        <v>3893</v>
      </c>
      <c r="L1291" s="2">
        <v>2023</v>
      </c>
      <c r="M1291" s="2">
        <v>7570</v>
      </c>
      <c r="N1291" s="2">
        <f xml:space="preserve"> (Table1[[#This Row],[Variance (USD)]] / Table1[[#This Row],[Actual Spending (USD)]]) * 100</f>
        <v>0.81319415574440568</v>
      </c>
      <c r="O1291" s="5" t="s">
        <v>3897</v>
      </c>
    </row>
    <row r="1292" spans="1:15" x14ac:dyDescent="0.25">
      <c r="A1292" s="4" t="s">
        <v>1305</v>
      </c>
      <c r="B1292" s="2" t="s">
        <v>3680</v>
      </c>
      <c r="C1292" s="2" t="s">
        <v>3873</v>
      </c>
      <c r="D1292" s="2" t="s">
        <v>3876</v>
      </c>
      <c r="E1292" s="3">
        <v>45134</v>
      </c>
      <c r="F1292" s="3">
        <v>45548</v>
      </c>
      <c r="G1292" s="2" t="s">
        <v>3884</v>
      </c>
      <c r="H1292" s="2">
        <v>351239</v>
      </c>
      <c r="I1292" s="2">
        <v>220984</v>
      </c>
      <c r="J1292" s="2" t="s">
        <v>3889</v>
      </c>
      <c r="K1292" s="2" t="s">
        <v>3896</v>
      </c>
      <c r="L1292" s="2">
        <v>2024</v>
      </c>
      <c r="M1292" s="2">
        <v>130255</v>
      </c>
      <c r="N1292" s="2">
        <f xml:space="preserve"> (Table1[[#This Row],[Variance (USD)]] / Table1[[#This Row],[Actual Spending (USD)]]) * 100</f>
        <v>58.943181406798686</v>
      </c>
      <c r="O1292" s="5" t="s">
        <v>3897</v>
      </c>
    </row>
    <row r="1293" spans="1:15" x14ac:dyDescent="0.25">
      <c r="A1293" s="4" t="s">
        <v>1306</v>
      </c>
      <c r="B1293" s="2" t="s">
        <v>3116</v>
      </c>
      <c r="C1293" s="2" t="s">
        <v>3871</v>
      </c>
      <c r="D1293" s="2" t="s">
        <v>3882</v>
      </c>
      <c r="E1293" s="3">
        <v>45237</v>
      </c>
      <c r="F1293" s="3">
        <v>45587</v>
      </c>
      <c r="G1293" s="2" t="s">
        <v>3884</v>
      </c>
      <c r="H1293" s="2">
        <v>240690</v>
      </c>
      <c r="I1293" s="2">
        <v>700392</v>
      </c>
      <c r="J1293" s="2" t="s">
        <v>3891</v>
      </c>
      <c r="K1293" s="2" t="s">
        <v>3893</v>
      </c>
      <c r="L1293" s="2">
        <v>2023</v>
      </c>
      <c r="M1293" s="2">
        <v>-459702</v>
      </c>
      <c r="N1293" s="2">
        <f xml:space="preserve"> (Table1[[#This Row],[Variance (USD)]] / Table1[[#This Row],[Actual Spending (USD)]]) * 100</f>
        <v>-65.634958708837331</v>
      </c>
      <c r="O1293" s="5" t="s">
        <v>3897</v>
      </c>
    </row>
    <row r="1294" spans="1:15" x14ac:dyDescent="0.25">
      <c r="A1294" s="4" t="s">
        <v>1307</v>
      </c>
      <c r="B1294" s="2" t="s">
        <v>3519</v>
      </c>
      <c r="C1294" s="2" t="s">
        <v>3875</v>
      </c>
      <c r="D1294" s="2" t="s">
        <v>3880</v>
      </c>
      <c r="E1294" s="3">
        <v>45075</v>
      </c>
      <c r="F1294" s="3">
        <v>45313</v>
      </c>
      <c r="G1294" s="2" t="s">
        <v>3884</v>
      </c>
      <c r="H1294" s="2">
        <v>995955</v>
      </c>
      <c r="I1294" s="2">
        <v>717477</v>
      </c>
      <c r="J1294" s="2" t="s">
        <v>3889</v>
      </c>
      <c r="K1294" s="2" t="s">
        <v>3896</v>
      </c>
      <c r="L1294" s="2">
        <v>2023</v>
      </c>
      <c r="M1294" s="2">
        <v>278478</v>
      </c>
      <c r="N1294" s="2">
        <f xml:space="preserve"> (Table1[[#This Row],[Variance (USD)]] / Table1[[#This Row],[Actual Spending (USD)]]) * 100</f>
        <v>38.813509004469829</v>
      </c>
      <c r="O1294" s="5" t="s">
        <v>3897</v>
      </c>
    </row>
    <row r="1295" spans="1:15" x14ac:dyDescent="0.25">
      <c r="A1295" s="4" t="s">
        <v>1308</v>
      </c>
      <c r="B1295" s="2" t="s">
        <v>3170</v>
      </c>
      <c r="C1295" s="2" t="s">
        <v>3869</v>
      </c>
      <c r="D1295" s="2" t="s">
        <v>3876</v>
      </c>
      <c r="E1295" s="3">
        <v>45364</v>
      </c>
      <c r="F1295" s="3">
        <v>45741</v>
      </c>
      <c r="G1295" s="2" t="s">
        <v>3886</v>
      </c>
      <c r="H1295" s="2">
        <v>918329</v>
      </c>
      <c r="I1295" s="2">
        <v>968257</v>
      </c>
      <c r="J1295" s="2" t="s">
        <v>3891</v>
      </c>
      <c r="K1295" s="2" t="s">
        <v>3895</v>
      </c>
      <c r="L1295" s="2">
        <v>2024</v>
      </c>
      <c r="M1295" s="2">
        <v>-49928</v>
      </c>
      <c r="N1295" s="2">
        <f xml:space="preserve"> (Table1[[#This Row],[Variance (USD)]] / Table1[[#This Row],[Actual Spending (USD)]]) * 100</f>
        <v>-5.1564822149491301</v>
      </c>
      <c r="O1295" s="5" t="s">
        <v>3899</v>
      </c>
    </row>
    <row r="1296" spans="1:15" x14ac:dyDescent="0.25">
      <c r="A1296" s="4" t="s">
        <v>1309</v>
      </c>
      <c r="B1296" s="2" t="s">
        <v>3495</v>
      </c>
      <c r="C1296" s="2" t="s">
        <v>3870</v>
      </c>
      <c r="D1296" s="2" t="s">
        <v>3883</v>
      </c>
      <c r="E1296" s="3">
        <v>45081</v>
      </c>
      <c r="F1296" s="3">
        <v>45843</v>
      </c>
      <c r="G1296" s="2" t="s">
        <v>3884</v>
      </c>
      <c r="H1296" s="2">
        <v>655731</v>
      </c>
      <c r="I1296" s="2">
        <v>503937</v>
      </c>
      <c r="J1296" s="2" t="s">
        <v>3889</v>
      </c>
      <c r="K1296" s="2" t="s">
        <v>3893</v>
      </c>
      <c r="L1296" s="2">
        <v>2024</v>
      </c>
      <c r="M1296" s="2">
        <v>151794</v>
      </c>
      <c r="N1296" s="2">
        <f xml:space="preserve"> (Table1[[#This Row],[Variance (USD)]] / Table1[[#This Row],[Actual Spending (USD)]]) * 100</f>
        <v>30.121622345650351</v>
      </c>
      <c r="O1296" s="5" t="s">
        <v>3897</v>
      </c>
    </row>
    <row r="1297" spans="1:15" x14ac:dyDescent="0.25">
      <c r="A1297" s="4" t="s">
        <v>1310</v>
      </c>
      <c r="B1297" s="2" t="s">
        <v>3146</v>
      </c>
      <c r="C1297" s="2" t="s">
        <v>3868</v>
      </c>
      <c r="D1297" s="2" t="s">
        <v>3878</v>
      </c>
      <c r="E1297" s="3">
        <v>45604</v>
      </c>
      <c r="F1297" s="3">
        <v>45841</v>
      </c>
      <c r="G1297" s="2" t="s">
        <v>3884</v>
      </c>
      <c r="H1297" s="2">
        <v>430149</v>
      </c>
      <c r="I1297" s="2">
        <v>83096</v>
      </c>
      <c r="J1297" s="2" t="s">
        <v>3888</v>
      </c>
      <c r="K1297" s="2" t="s">
        <v>3893</v>
      </c>
      <c r="L1297" s="2">
        <v>2023</v>
      </c>
      <c r="M1297" s="2">
        <v>347053</v>
      </c>
      <c r="N1297" s="2">
        <f xml:space="preserve"> (Table1[[#This Row],[Variance (USD)]] / Table1[[#This Row],[Actual Spending (USD)]]) * 100</f>
        <v>417.65307596033506</v>
      </c>
      <c r="O1297" s="5" t="s">
        <v>3897</v>
      </c>
    </row>
    <row r="1298" spans="1:15" x14ac:dyDescent="0.25">
      <c r="A1298" s="4" t="s">
        <v>1311</v>
      </c>
      <c r="B1298" s="2" t="s">
        <v>3584</v>
      </c>
      <c r="C1298" s="2" t="s">
        <v>3869</v>
      </c>
      <c r="D1298" s="2" t="s">
        <v>3876</v>
      </c>
      <c r="E1298" s="3">
        <v>45016</v>
      </c>
      <c r="F1298" s="3">
        <v>45339</v>
      </c>
      <c r="G1298" s="2" t="s">
        <v>3886</v>
      </c>
      <c r="H1298" s="2">
        <v>871246</v>
      </c>
      <c r="I1298" s="2">
        <v>698431</v>
      </c>
      <c r="J1298" s="2" t="s">
        <v>3892</v>
      </c>
      <c r="K1298" s="2" t="s">
        <v>3894</v>
      </c>
      <c r="L1298" s="2">
        <v>2023</v>
      </c>
      <c r="M1298" s="2">
        <v>172815</v>
      </c>
      <c r="N1298" s="2">
        <f xml:space="preserve"> (Table1[[#This Row],[Variance (USD)]] / Table1[[#This Row],[Actual Spending (USD)]]) * 100</f>
        <v>24.743317521702217</v>
      </c>
      <c r="O1298" s="5" t="s">
        <v>3899</v>
      </c>
    </row>
    <row r="1299" spans="1:15" x14ac:dyDescent="0.25">
      <c r="A1299" s="4" t="s">
        <v>1312</v>
      </c>
      <c r="B1299" s="2" t="s">
        <v>3666</v>
      </c>
      <c r="C1299" s="2" t="s">
        <v>3872</v>
      </c>
      <c r="D1299" s="2" t="s">
        <v>3882</v>
      </c>
      <c r="E1299" s="3">
        <v>45624</v>
      </c>
      <c r="F1299" s="3">
        <v>45986</v>
      </c>
      <c r="G1299" s="2" t="s">
        <v>3887</v>
      </c>
      <c r="H1299" s="2">
        <v>561048</v>
      </c>
      <c r="I1299" s="2">
        <v>1067588</v>
      </c>
      <c r="J1299" s="2" t="s">
        <v>3891</v>
      </c>
      <c r="K1299" s="2" t="s">
        <v>3896</v>
      </c>
      <c r="L1299" s="2">
        <v>2025</v>
      </c>
      <c r="M1299" s="2">
        <v>-506540</v>
      </c>
      <c r="N1299" s="2">
        <f xml:space="preserve"> (Table1[[#This Row],[Variance (USD)]] / Table1[[#This Row],[Actual Spending (USD)]]) * 100</f>
        <v>-47.447142530639155</v>
      </c>
      <c r="O1299" s="5" t="s">
        <v>3900</v>
      </c>
    </row>
    <row r="1300" spans="1:15" x14ac:dyDescent="0.25">
      <c r="A1300" s="4" t="s">
        <v>1313</v>
      </c>
      <c r="B1300" s="2" t="s">
        <v>3159</v>
      </c>
      <c r="C1300" s="2" t="s">
        <v>3873</v>
      </c>
      <c r="D1300" s="2" t="s">
        <v>3883</v>
      </c>
      <c r="E1300" s="3">
        <v>45284</v>
      </c>
      <c r="F1300" s="3">
        <v>45878</v>
      </c>
      <c r="G1300" s="2" t="s">
        <v>3884</v>
      </c>
      <c r="H1300" s="2">
        <v>135141</v>
      </c>
      <c r="I1300" s="2">
        <v>824473</v>
      </c>
      <c r="J1300" s="2" t="s">
        <v>3892</v>
      </c>
      <c r="K1300" s="2" t="s">
        <v>3896</v>
      </c>
      <c r="L1300" s="2">
        <v>2025</v>
      </c>
      <c r="M1300" s="2">
        <v>-689332</v>
      </c>
      <c r="N1300" s="2">
        <f xml:space="preserve"> (Table1[[#This Row],[Variance (USD)]] / Table1[[#This Row],[Actual Spending (USD)]]) * 100</f>
        <v>-83.60880222881768</v>
      </c>
      <c r="O1300" s="5" t="s">
        <v>3897</v>
      </c>
    </row>
    <row r="1301" spans="1:15" x14ac:dyDescent="0.25">
      <c r="A1301" s="4" t="s">
        <v>1314</v>
      </c>
      <c r="B1301" s="2" t="s">
        <v>3526</v>
      </c>
      <c r="C1301" s="2" t="s">
        <v>3872</v>
      </c>
      <c r="D1301" s="2" t="s">
        <v>3878</v>
      </c>
      <c r="E1301" s="3">
        <v>45100</v>
      </c>
      <c r="F1301" s="3">
        <v>46012</v>
      </c>
      <c r="G1301" s="2" t="s">
        <v>3884</v>
      </c>
      <c r="H1301" s="2">
        <v>541008</v>
      </c>
      <c r="I1301" s="2">
        <v>767411</v>
      </c>
      <c r="J1301" s="2" t="s">
        <v>3888</v>
      </c>
      <c r="K1301" s="2" t="s">
        <v>3896</v>
      </c>
      <c r="L1301" s="2">
        <v>2023</v>
      </c>
      <c r="M1301" s="2">
        <v>-226403</v>
      </c>
      <c r="N1301" s="2">
        <f xml:space="preserve"> (Table1[[#This Row],[Variance (USD)]] / Table1[[#This Row],[Actual Spending (USD)]]) * 100</f>
        <v>-29.502183315068457</v>
      </c>
      <c r="O1301" s="5" t="s">
        <v>3897</v>
      </c>
    </row>
    <row r="1302" spans="1:15" x14ac:dyDescent="0.25">
      <c r="A1302" s="4" t="s">
        <v>1315</v>
      </c>
      <c r="B1302" s="2" t="s">
        <v>3075</v>
      </c>
      <c r="C1302" s="2" t="s">
        <v>3871</v>
      </c>
      <c r="D1302" s="2" t="s">
        <v>3881</v>
      </c>
      <c r="E1302" s="3">
        <v>45143</v>
      </c>
      <c r="F1302" s="3">
        <v>45474</v>
      </c>
      <c r="G1302" s="2" t="s">
        <v>3886</v>
      </c>
      <c r="H1302" s="2">
        <v>782228</v>
      </c>
      <c r="I1302" s="2">
        <v>532827</v>
      </c>
      <c r="J1302" s="2" t="s">
        <v>3891</v>
      </c>
      <c r="K1302" s="2" t="s">
        <v>3894</v>
      </c>
      <c r="L1302" s="2">
        <v>2023</v>
      </c>
      <c r="M1302" s="2">
        <v>249401</v>
      </c>
      <c r="N1302" s="2">
        <f xml:space="preserve"> (Table1[[#This Row],[Variance (USD)]] / Table1[[#This Row],[Actual Spending (USD)]]) * 100</f>
        <v>46.807125014310465</v>
      </c>
      <c r="O1302" s="5" t="s">
        <v>3899</v>
      </c>
    </row>
    <row r="1303" spans="1:15" x14ac:dyDescent="0.25">
      <c r="A1303" s="4" t="s">
        <v>1316</v>
      </c>
      <c r="B1303" s="2" t="s">
        <v>3118</v>
      </c>
      <c r="C1303" s="2" t="s">
        <v>3871</v>
      </c>
      <c r="D1303" s="2" t="s">
        <v>3877</v>
      </c>
      <c r="E1303" s="3">
        <v>45382</v>
      </c>
      <c r="F1303" s="3">
        <v>45726</v>
      </c>
      <c r="G1303" s="2" t="s">
        <v>3885</v>
      </c>
      <c r="H1303" s="2">
        <v>743192</v>
      </c>
      <c r="I1303" s="2">
        <v>1118634</v>
      </c>
      <c r="J1303" s="2" t="s">
        <v>3892</v>
      </c>
      <c r="K1303" s="2" t="s">
        <v>3894</v>
      </c>
      <c r="L1303" s="2">
        <v>2025</v>
      </c>
      <c r="M1303" s="2">
        <v>-375442</v>
      </c>
      <c r="N1303" s="2">
        <f xml:space="preserve"> (Table1[[#This Row],[Variance (USD)]] / Table1[[#This Row],[Actual Spending (USD)]]) * 100</f>
        <v>-33.562541456812504</v>
      </c>
      <c r="O1303" s="5" t="s">
        <v>3898</v>
      </c>
    </row>
    <row r="1304" spans="1:15" x14ac:dyDescent="0.25">
      <c r="A1304" s="4" t="s">
        <v>1317</v>
      </c>
      <c r="B1304" s="2" t="s">
        <v>3503</v>
      </c>
      <c r="C1304" s="2" t="s">
        <v>3873</v>
      </c>
      <c r="D1304" s="2" t="s">
        <v>3880</v>
      </c>
      <c r="E1304" s="3">
        <v>45535</v>
      </c>
      <c r="F1304" s="3">
        <v>45398</v>
      </c>
      <c r="G1304" s="2" t="s">
        <v>3886</v>
      </c>
      <c r="H1304" s="2">
        <v>714805</v>
      </c>
      <c r="I1304" s="2">
        <v>602551</v>
      </c>
      <c r="J1304" s="2" t="s">
        <v>3889</v>
      </c>
      <c r="K1304" s="2" t="s">
        <v>3893</v>
      </c>
      <c r="L1304" s="2">
        <v>2024</v>
      </c>
      <c r="M1304" s="2">
        <v>112254</v>
      </c>
      <c r="N1304" s="2">
        <f xml:space="preserve"> (Table1[[#This Row],[Variance (USD)]] / Table1[[#This Row],[Actual Spending (USD)]]) * 100</f>
        <v>18.629792332931157</v>
      </c>
      <c r="O1304" s="5" t="s">
        <v>3899</v>
      </c>
    </row>
    <row r="1305" spans="1:15" x14ac:dyDescent="0.25">
      <c r="A1305" s="4" t="s">
        <v>1318</v>
      </c>
      <c r="B1305" s="2" t="s">
        <v>3681</v>
      </c>
      <c r="C1305" s="2" t="s">
        <v>3874</v>
      </c>
      <c r="D1305" s="2" t="s">
        <v>3882</v>
      </c>
      <c r="E1305" s="3">
        <v>45555</v>
      </c>
      <c r="F1305" s="3">
        <v>45479</v>
      </c>
      <c r="G1305" s="2" t="s">
        <v>3886</v>
      </c>
      <c r="H1305" s="2">
        <v>214562</v>
      </c>
      <c r="I1305" s="2">
        <v>252574</v>
      </c>
      <c r="J1305" s="2" t="s">
        <v>3888</v>
      </c>
      <c r="K1305" s="2" t="s">
        <v>3896</v>
      </c>
      <c r="L1305" s="2">
        <v>2023</v>
      </c>
      <c r="M1305" s="2">
        <v>-38012</v>
      </c>
      <c r="N1305" s="2">
        <f xml:space="preserve"> (Table1[[#This Row],[Variance (USD)]] / Table1[[#This Row],[Actual Spending (USD)]]) * 100</f>
        <v>-15.049846777578058</v>
      </c>
      <c r="O1305" s="5" t="s">
        <v>3899</v>
      </c>
    </row>
    <row r="1306" spans="1:15" x14ac:dyDescent="0.25">
      <c r="A1306" s="4" t="s">
        <v>1319</v>
      </c>
      <c r="B1306" s="2" t="s">
        <v>3102</v>
      </c>
      <c r="C1306" s="2" t="s">
        <v>3875</v>
      </c>
      <c r="D1306" s="2" t="s">
        <v>3882</v>
      </c>
      <c r="E1306" s="3">
        <v>45125</v>
      </c>
      <c r="F1306" s="3">
        <v>45377</v>
      </c>
      <c r="G1306" s="2" t="s">
        <v>3884</v>
      </c>
      <c r="H1306" s="2">
        <v>604055</v>
      </c>
      <c r="I1306" s="2">
        <v>1183396</v>
      </c>
      <c r="J1306" s="2" t="s">
        <v>3889</v>
      </c>
      <c r="K1306" s="2" t="s">
        <v>3896</v>
      </c>
      <c r="L1306" s="2">
        <v>2025</v>
      </c>
      <c r="M1306" s="2">
        <v>-579341</v>
      </c>
      <c r="N1306" s="2">
        <f xml:space="preserve"> (Table1[[#This Row],[Variance (USD)]] / Table1[[#This Row],[Actual Spending (USD)]]) * 100</f>
        <v>-48.955801777257996</v>
      </c>
      <c r="O1306" s="5" t="s">
        <v>3897</v>
      </c>
    </row>
    <row r="1307" spans="1:15" x14ac:dyDescent="0.25">
      <c r="A1307" s="4" t="s">
        <v>1320</v>
      </c>
      <c r="B1307" s="2" t="s">
        <v>3115</v>
      </c>
      <c r="C1307" s="2" t="s">
        <v>3875</v>
      </c>
      <c r="D1307" s="2" t="s">
        <v>3881</v>
      </c>
      <c r="E1307" s="3">
        <v>45412</v>
      </c>
      <c r="F1307" s="3">
        <v>45747</v>
      </c>
      <c r="G1307" s="2" t="s">
        <v>3884</v>
      </c>
      <c r="H1307" s="2">
        <v>96057</v>
      </c>
      <c r="I1307" s="2">
        <v>661933</v>
      </c>
      <c r="J1307" s="2" t="s">
        <v>3889</v>
      </c>
      <c r="K1307" s="2" t="s">
        <v>3893</v>
      </c>
      <c r="L1307" s="2">
        <v>2025</v>
      </c>
      <c r="M1307" s="2">
        <v>-565876</v>
      </c>
      <c r="N1307" s="2">
        <f xml:space="preserve"> (Table1[[#This Row],[Variance (USD)]] / Table1[[#This Row],[Actual Spending (USD)]]) * 100</f>
        <v>-85.488410458460294</v>
      </c>
      <c r="O1307" s="5" t="s">
        <v>3897</v>
      </c>
    </row>
    <row r="1308" spans="1:15" x14ac:dyDescent="0.25">
      <c r="A1308" s="4" t="s">
        <v>1321</v>
      </c>
      <c r="B1308" s="2" t="s">
        <v>3153</v>
      </c>
      <c r="C1308" s="2" t="s">
        <v>3871</v>
      </c>
      <c r="D1308" s="2" t="s">
        <v>3877</v>
      </c>
      <c r="E1308" s="3">
        <v>45459</v>
      </c>
      <c r="F1308" s="3">
        <v>45428</v>
      </c>
      <c r="G1308" s="2" t="s">
        <v>3884</v>
      </c>
      <c r="H1308" s="2">
        <v>261818</v>
      </c>
      <c r="I1308" s="2">
        <v>729830</v>
      </c>
      <c r="J1308" s="2" t="s">
        <v>3888</v>
      </c>
      <c r="K1308" s="2" t="s">
        <v>3893</v>
      </c>
      <c r="L1308" s="2">
        <v>2023</v>
      </c>
      <c r="M1308" s="2">
        <v>-468012</v>
      </c>
      <c r="N1308" s="2">
        <f xml:space="preserve"> (Table1[[#This Row],[Variance (USD)]] / Table1[[#This Row],[Actual Spending (USD)]]) * 100</f>
        <v>-64.126166367510237</v>
      </c>
      <c r="O1308" s="5" t="s">
        <v>3897</v>
      </c>
    </row>
    <row r="1309" spans="1:15" x14ac:dyDescent="0.25">
      <c r="A1309" s="4" t="s">
        <v>1322</v>
      </c>
      <c r="B1309" s="2" t="s">
        <v>3682</v>
      </c>
      <c r="C1309" s="2" t="s">
        <v>3871</v>
      </c>
      <c r="D1309" s="2" t="s">
        <v>3881</v>
      </c>
      <c r="E1309" s="3">
        <v>45126</v>
      </c>
      <c r="F1309" s="3">
        <v>45627</v>
      </c>
      <c r="G1309" s="2" t="s">
        <v>3886</v>
      </c>
      <c r="H1309" s="2">
        <v>270767</v>
      </c>
      <c r="I1309" s="2">
        <v>519454</v>
      </c>
      <c r="J1309" s="2" t="s">
        <v>3891</v>
      </c>
      <c r="K1309" s="2" t="s">
        <v>3893</v>
      </c>
      <c r="L1309" s="2">
        <v>2023</v>
      </c>
      <c r="M1309" s="2">
        <v>-248687</v>
      </c>
      <c r="N1309" s="2">
        <f xml:space="preserve"> (Table1[[#This Row],[Variance (USD)]] / Table1[[#This Row],[Actual Spending (USD)]]) * 100</f>
        <v>-47.874691503001223</v>
      </c>
      <c r="O1309" s="5" t="s">
        <v>3899</v>
      </c>
    </row>
    <row r="1310" spans="1:15" x14ac:dyDescent="0.25">
      <c r="A1310" s="4" t="s">
        <v>1323</v>
      </c>
      <c r="B1310" s="2" t="s">
        <v>3683</v>
      </c>
      <c r="C1310" s="2" t="s">
        <v>3870</v>
      </c>
      <c r="D1310" s="2" t="s">
        <v>3879</v>
      </c>
      <c r="E1310" s="3">
        <v>45297</v>
      </c>
      <c r="F1310" s="3">
        <v>45898</v>
      </c>
      <c r="G1310" s="2" t="s">
        <v>3886</v>
      </c>
      <c r="H1310" s="2">
        <v>746403</v>
      </c>
      <c r="I1310" s="2">
        <v>850007</v>
      </c>
      <c r="J1310" s="2" t="s">
        <v>3890</v>
      </c>
      <c r="K1310" s="2" t="s">
        <v>3895</v>
      </c>
      <c r="L1310" s="2">
        <v>2025</v>
      </c>
      <c r="M1310" s="2">
        <v>-103604</v>
      </c>
      <c r="N1310" s="2">
        <f xml:space="preserve"> (Table1[[#This Row],[Variance (USD)]] / Table1[[#This Row],[Actual Spending (USD)]]) * 100</f>
        <v>-12.188605505601718</v>
      </c>
      <c r="O1310" s="5" t="s">
        <v>3899</v>
      </c>
    </row>
    <row r="1311" spans="1:15" x14ac:dyDescent="0.25">
      <c r="A1311" s="4" t="s">
        <v>1324</v>
      </c>
      <c r="B1311" s="2" t="s">
        <v>3551</v>
      </c>
      <c r="C1311" s="2" t="s">
        <v>3868</v>
      </c>
      <c r="D1311" s="2" t="s">
        <v>3881</v>
      </c>
      <c r="E1311" s="3">
        <v>45374</v>
      </c>
      <c r="F1311" s="3">
        <v>45760</v>
      </c>
      <c r="G1311" s="2" t="s">
        <v>3887</v>
      </c>
      <c r="H1311" s="2">
        <v>398899</v>
      </c>
      <c r="I1311" s="2">
        <v>993303</v>
      </c>
      <c r="J1311" s="2" t="s">
        <v>3890</v>
      </c>
      <c r="K1311" s="2" t="s">
        <v>3895</v>
      </c>
      <c r="L1311" s="2">
        <v>2023</v>
      </c>
      <c r="M1311" s="2">
        <v>-594404</v>
      </c>
      <c r="N1311" s="2">
        <f xml:space="preserve"> (Table1[[#This Row],[Variance (USD)]] / Table1[[#This Row],[Actual Spending (USD)]]) * 100</f>
        <v>-59.841156223226953</v>
      </c>
      <c r="O1311" s="5" t="s">
        <v>3900</v>
      </c>
    </row>
    <row r="1312" spans="1:15" x14ac:dyDescent="0.25">
      <c r="A1312" s="4" t="s">
        <v>1325</v>
      </c>
      <c r="B1312" s="2" t="s">
        <v>3380</v>
      </c>
      <c r="C1312" s="2" t="s">
        <v>3870</v>
      </c>
      <c r="D1312" s="2" t="s">
        <v>3883</v>
      </c>
      <c r="E1312" s="3">
        <v>45174</v>
      </c>
      <c r="F1312" s="3">
        <v>45893</v>
      </c>
      <c r="G1312" s="2" t="s">
        <v>3884</v>
      </c>
      <c r="H1312" s="2">
        <v>864378</v>
      </c>
      <c r="I1312" s="2">
        <v>795064</v>
      </c>
      <c r="J1312" s="2" t="s">
        <v>3888</v>
      </c>
      <c r="K1312" s="2" t="s">
        <v>3893</v>
      </c>
      <c r="L1312" s="2">
        <v>2024</v>
      </c>
      <c r="M1312" s="2">
        <v>69314</v>
      </c>
      <c r="N1312" s="2">
        <f xml:space="preserve"> (Table1[[#This Row],[Variance (USD)]] / Table1[[#This Row],[Actual Spending (USD)]]) * 100</f>
        <v>8.7180403087047083</v>
      </c>
      <c r="O1312" s="5" t="s">
        <v>3897</v>
      </c>
    </row>
    <row r="1313" spans="1:15" x14ac:dyDescent="0.25">
      <c r="A1313" s="4" t="s">
        <v>1326</v>
      </c>
      <c r="B1313" s="2" t="s">
        <v>3182</v>
      </c>
      <c r="C1313" s="2" t="s">
        <v>3870</v>
      </c>
      <c r="D1313" s="2" t="s">
        <v>3878</v>
      </c>
      <c r="E1313" s="3">
        <v>45190</v>
      </c>
      <c r="F1313" s="3">
        <v>45862</v>
      </c>
      <c r="G1313" s="2" t="s">
        <v>3884</v>
      </c>
      <c r="H1313" s="2">
        <v>217659</v>
      </c>
      <c r="I1313" s="2">
        <v>260119</v>
      </c>
      <c r="J1313" s="2" t="s">
        <v>3890</v>
      </c>
      <c r="K1313" s="2" t="s">
        <v>3894</v>
      </c>
      <c r="L1313" s="2">
        <v>2023</v>
      </c>
      <c r="M1313" s="2">
        <v>-42460</v>
      </c>
      <c r="N1313" s="2">
        <f xml:space="preserve"> (Table1[[#This Row],[Variance (USD)]] / Table1[[#This Row],[Actual Spending (USD)]]) * 100</f>
        <v>-16.323298182754815</v>
      </c>
      <c r="O1313" s="5" t="s">
        <v>3897</v>
      </c>
    </row>
    <row r="1314" spans="1:15" x14ac:dyDescent="0.25">
      <c r="A1314" s="4" t="s">
        <v>1327</v>
      </c>
      <c r="B1314" s="2" t="s">
        <v>3684</v>
      </c>
      <c r="C1314" s="2" t="s">
        <v>3874</v>
      </c>
      <c r="D1314" s="2" t="s">
        <v>3882</v>
      </c>
      <c r="E1314" s="3">
        <v>44984</v>
      </c>
      <c r="F1314" s="3">
        <v>45694</v>
      </c>
      <c r="G1314" s="2" t="s">
        <v>3884</v>
      </c>
      <c r="H1314" s="2">
        <v>315508</v>
      </c>
      <c r="I1314" s="2">
        <v>454363</v>
      </c>
      <c r="J1314" s="2" t="s">
        <v>3892</v>
      </c>
      <c r="K1314" s="2" t="s">
        <v>3894</v>
      </c>
      <c r="L1314" s="2">
        <v>2025</v>
      </c>
      <c r="M1314" s="2">
        <v>-138855</v>
      </c>
      <c r="N1314" s="2">
        <f xml:space="preserve"> (Table1[[#This Row],[Variance (USD)]] / Table1[[#This Row],[Actual Spending (USD)]]) * 100</f>
        <v>-30.560366931286222</v>
      </c>
      <c r="O1314" s="5" t="s">
        <v>3897</v>
      </c>
    </row>
    <row r="1315" spans="1:15" x14ac:dyDescent="0.25">
      <c r="A1315" s="4" t="s">
        <v>1328</v>
      </c>
      <c r="B1315" s="2" t="s">
        <v>3302</v>
      </c>
      <c r="C1315" s="2" t="s">
        <v>3875</v>
      </c>
      <c r="D1315" s="2" t="s">
        <v>3881</v>
      </c>
      <c r="E1315" s="3">
        <v>45228</v>
      </c>
      <c r="F1315" s="3">
        <v>45831</v>
      </c>
      <c r="G1315" s="2" t="s">
        <v>3886</v>
      </c>
      <c r="H1315" s="2">
        <v>563993</v>
      </c>
      <c r="I1315" s="2">
        <v>583402</v>
      </c>
      <c r="J1315" s="2" t="s">
        <v>3891</v>
      </c>
      <c r="K1315" s="2" t="s">
        <v>3896</v>
      </c>
      <c r="L1315" s="2">
        <v>2025</v>
      </c>
      <c r="M1315" s="2">
        <v>-19409</v>
      </c>
      <c r="N1315" s="2">
        <f xml:space="preserve"> (Table1[[#This Row],[Variance (USD)]] / Table1[[#This Row],[Actual Spending (USD)]]) * 100</f>
        <v>-3.3268655232584052</v>
      </c>
      <c r="O1315" s="5" t="s">
        <v>3899</v>
      </c>
    </row>
    <row r="1316" spans="1:15" x14ac:dyDescent="0.25">
      <c r="A1316" s="4" t="s">
        <v>1329</v>
      </c>
      <c r="B1316" s="2" t="s">
        <v>3685</v>
      </c>
      <c r="C1316" s="2" t="s">
        <v>3874</v>
      </c>
      <c r="D1316" s="2" t="s">
        <v>3882</v>
      </c>
      <c r="E1316" s="3">
        <v>44957</v>
      </c>
      <c r="F1316" s="3">
        <v>45363</v>
      </c>
      <c r="G1316" s="2" t="s">
        <v>3886</v>
      </c>
      <c r="H1316" s="2">
        <v>761448</v>
      </c>
      <c r="I1316" s="2">
        <v>382195</v>
      </c>
      <c r="J1316" s="2" t="s">
        <v>3889</v>
      </c>
      <c r="K1316" s="2" t="s">
        <v>3895</v>
      </c>
      <c r="L1316" s="2">
        <v>2023</v>
      </c>
      <c r="M1316" s="2">
        <v>379253</v>
      </c>
      <c r="N1316" s="2">
        <f xml:space="preserve"> (Table1[[#This Row],[Variance (USD)]] / Table1[[#This Row],[Actual Spending (USD)]]) * 100</f>
        <v>99.230235874357334</v>
      </c>
      <c r="O1316" s="5" t="s">
        <v>3899</v>
      </c>
    </row>
    <row r="1317" spans="1:15" x14ac:dyDescent="0.25">
      <c r="A1317" s="4" t="s">
        <v>1330</v>
      </c>
      <c r="B1317" s="2" t="s">
        <v>3438</v>
      </c>
      <c r="C1317" s="2" t="s">
        <v>3874</v>
      </c>
      <c r="D1317" s="2" t="s">
        <v>3876</v>
      </c>
      <c r="E1317" s="3">
        <v>45424</v>
      </c>
      <c r="F1317" s="3">
        <v>45315</v>
      </c>
      <c r="G1317" s="2" t="s">
        <v>3884</v>
      </c>
      <c r="H1317" s="2">
        <v>560684</v>
      </c>
      <c r="I1317" s="2">
        <v>864175</v>
      </c>
      <c r="J1317" s="2" t="s">
        <v>3889</v>
      </c>
      <c r="K1317" s="2" t="s">
        <v>3895</v>
      </c>
      <c r="L1317" s="2">
        <v>2025</v>
      </c>
      <c r="M1317" s="2">
        <v>-303491</v>
      </c>
      <c r="N1317" s="2">
        <f xml:space="preserve"> (Table1[[#This Row],[Variance (USD)]] / Table1[[#This Row],[Actual Spending (USD)]]) * 100</f>
        <v>-35.119159892382903</v>
      </c>
      <c r="O1317" s="5" t="s">
        <v>3897</v>
      </c>
    </row>
    <row r="1318" spans="1:15" x14ac:dyDescent="0.25">
      <c r="A1318" s="4" t="s">
        <v>1331</v>
      </c>
      <c r="B1318" s="2" t="s">
        <v>3183</v>
      </c>
      <c r="C1318" s="2" t="s">
        <v>3873</v>
      </c>
      <c r="D1318" s="2" t="s">
        <v>3877</v>
      </c>
      <c r="E1318" s="3">
        <v>45175</v>
      </c>
      <c r="F1318" s="3">
        <v>45915</v>
      </c>
      <c r="G1318" s="2" t="s">
        <v>3884</v>
      </c>
      <c r="H1318" s="2">
        <v>651303</v>
      </c>
      <c r="I1318" s="2">
        <v>256941</v>
      </c>
      <c r="J1318" s="2" t="s">
        <v>3888</v>
      </c>
      <c r="K1318" s="2" t="s">
        <v>3893</v>
      </c>
      <c r="L1318" s="2">
        <v>2024</v>
      </c>
      <c r="M1318" s="2">
        <v>394362</v>
      </c>
      <c r="N1318" s="2">
        <f xml:space="preserve"> (Table1[[#This Row],[Variance (USD)]] / Table1[[#This Row],[Actual Spending (USD)]]) * 100</f>
        <v>153.48348453536025</v>
      </c>
      <c r="O1318" s="5" t="s">
        <v>3897</v>
      </c>
    </row>
    <row r="1319" spans="1:15" x14ac:dyDescent="0.25">
      <c r="A1319" s="4" t="s">
        <v>1332</v>
      </c>
      <c r="B1319" s="2" t="s">
        <v>3377</v>
      </c>
      <c r="C1319" s="2" t="s">
        <v>3875</v>
      </c>
      <c r="D1319" s="2" t="s">
        <v>3881</v>
      </c>
      <c r="E1319" s="3">
        <v>45531</v>
      </c>
      <c r="F1319" s="3">
        <v>45776</v>
      </c>
      <c r="G1319" s="2" t="s">
        <v>3884</v>
      </c>
      <c r="H1319" s="2">
        <v>188470</v>
      </c>
      <c r="I1319" s="2">
        <v>1126153</v>
      </c>
      <c r="J1319" s="2" t="s">
        <v>3889</v>
      </c>
      <c r="K1319" s="2" t="s">
        <v>3893</v>
      </c>
      <c r="L1319" s="2">
        <v>2023</v>
      </c>
      <c r="M1319" s="2">
        <v>-937683</v>
      </c>
      <c r="N1319" s="2">
        <f xml:space="preserve"> (Table1[[#This Row],[Variance (USD)]] / Table1[[#This Row],[Actual Spending (USD)]]) * 100</f>
        <v>-83.264263381618662</v>
      </c>
      <c r="O1319" s="5" t="s">
        <v>3897</v>
      </c>
    </row>
    <row r="1320" spans="1:15" x14ac:dyDescent="0.25">
      <c r="A1320" s="4" t="s">
        <v>1333</v>
      </c>
      <c r="B1320" s="2" t="s">
        <v>3382</v>
      </c>
      <c r="C1320" s="2" t="s">
        <v>3868</v>
      </c>
      <c r="D1320" s="2" t="s">
        <v>3878</v>
      </c>
      <c r="E1320" s="3">
        <v>45197</v>
      </c>
      <c r="F1320" s="3">
        <v>45347</v>
      </c>
      <c r="G1320" s="2" t="s">
        <v>3884</v>
      </c>
      <c r="H1320" s="2">
        <v>445668</v>
      </c>
      <c r="I1320" s="2">
        <v>517800</v>
      </c>
      <c r="J1320" s="2" t="s">
        <v>3892</v>
      </c>
      <c r="K1320" s="2" t="s">
        <v>3893</v>
      </c>
      <c r="L1320" s="2">
        <v>2023</v>
      </c>
      <c r="M1320" s="2">
        <v>-72132</v>
      </c>
      <c r="N1320" s="2">
        <f xml:space="preserve"> (Table1[[#This Row],[Variance (USD)]] / Table1[[#This Row],[Actual Spending (USD)]]) * 100</f>
        <v>-13.93047508690614</v>
      </c>
      <c r="O1320" s="5" t="s">
        <v>3897</v>
      </c>
    </row>
    <row r="1321" spans="1:15" x14ac:dyDescent="0.25">
      <c r="A1321" s="4" t="s">
        <v>1334</v>
      </c>
      <c r="B1321" s="2" t="s">
        <v>3562</v>
      </c>
      <c r="C1321" s="2" t="s">
        <v>3872</v>
      </c>
      <c r="D1321" s="2" t="s">
        <v>3883</v>
      </c>
      <c r="E1321" s="3">
        <v>45532</v>
      </c>
      <c r="F1321" s="3">
        <v>45514</v>
      </c>
      <c r="G1321" s="2" t="s">
        <v>3885</v>
      </c>
      <c r="H1321" s="2">
        <v>399352</v>
      </c>
      <c r="I1321" s="2">
        <v>402580</v>
      </c>
      <c r="J1321" s="2" t="s">
        <v>3892</v>
      </c>
      <c r="K1321" s="2" t="s">
        <v>3893</v>
      </c>
      <c r="L1321" s="2">
        <v>2025</v>
      </c>
      <c r="M1321" s="2">
        <v>-3228</v>
      </c>
      <c r="N1321" s="2">
        <f xml:space="preserve"> (Table1[[#This Row],[Variance (USD)]] / Table1[[#This Row],[Actual Spending (USD)]]) * 100</f>
        <v>-0.80182820805802579</v>
      </c>
      <c r="O1321" s="5" t="s">
        <v>3898</v>
      </c>
    </row>
    <row r="1322" spans="1:15" x14ac:dyDescent="0.25">
      <c r="A1322" s="4" t="s">
        <v>1335</v>
      </c>
      <c r="B1322" s="2" t="s">
        <v>3209</v>
      </c>
      <c r="C1322" s="2" t="s">
        <v>3871</v>
      </c>
      <c r="D1322" s="2" t="s">
        <v>3879</v>
      </c>
      <c r="E1322" s="3">
        <v>45592</v>
      </c>
      <c r="F1322" s="3">
        <v>45923</v>
      </c>
      <c r="G1322" s="2" t="s">
        <v>3884</v>
      </c>
      <c r="H1322" s="2">
        <v>959640</v>
      </c>
      <c r="I1322" s="2">
        <v>557254</v>
      </c>
      <c r="J1322" s="2" t="s">
        <v>3888</v>
      </c>
      <c r="K1322" s="2" t="s">
        <v>3893</v>
      </c>
      <c r="L1322" s="2">
        <v>2024</v>
      </c>
      <c r="M1322" s="2">
        <v>402386</v>
      </c>
      <c r="N1322" s="2">
        <f xml:space="preserve"> (Table1[[#This Row],[Variance (USD)]] / Table1[[#This Row],[Actual Spending (USD)]]) * 100</f>
        <v>72.208723490544699</v>
      </c>
      <c r="O1322" s="5" t="s">
        <v>3897</v>
      </c>
    </row>
    <row r="1323" spans="1:15" x14ac:dyDescent="0.25">
      <c r="A1323" s="4" t="s">
        <v>1336</v>
      </c>
      <c r="B1323" s="2" t="s">
        <v>3157</v>
      </c>
      <c r="C1323" s="2" t="s">
        <v>3871</v>
      </c>
      <c r="D1323" s="2" t="s">
        <v>3882</v>
      </c>
      <c r="E1323" s="3">
        <v>45320</v>
      </c>
      <c r="F1323" s="3">
        <v>45470</v>
      </c>
      <c r="G1323" s="2" t="s">
        <v>3886</v>
      </c>
      <c r="H1323" s="2">
        <v>599633</v>
      </c>
      <c r="I1323" s="2">
        <v>575702</v>
      </c>
      <c r="J1323" s="2" t="s">
        <v>3889</v>
      </c>
      <c r="K1323" s="2" t="s">
        <v>3894</v>
      </c>
      <c r="L1323" s="2">
        <v>2023</v>
      </c>
      <c r="M1323" s="2">
        <v>23931</v>
      </c>
      <c r="N1323" s="2">
        <f xml:space="preserve"> (Table1[[#This Row],[Variance (USD)]] / Table1[[#This Row],[Actual Spending (USD)]]) * 100</f>
        <v>4.1568380863710734</v>
      </c>
      <c r="O1323" s="5" t="s">
        <v>3899</v>
      </c>
    </row>
    <row r="1324" spans="1:15" x14ac:dyDescent="0.25">
      <c r="A1324" s="4" t="s">
        <v>1337</v>
      </c>
      <c r="B1324" s="2" t="s">
        <v>3686</v>
      </c>
      <c r="C1324" s="2" t="s">
        <v>3868</v>
      </c>
      <c r="D1324" s="2" t="s">
        <v>3877</v>
      </c>
      <c r="E1324" s="3">
        <v>45428</v>
      </c>
      <c r="F1324" s="3">
        <v>45725</v>
      </c>
      <c r="G1324" s="2" t="s">
        <v>3886</v>
      </c>
      <c r="H1324" s="2">
        <v>555027</v>
      </c>
      <c r="I1324" s="2">
        <v>1043730</v>
      </c>
      <c r="J1324" s="2" t="s">
        <v>3890</v>
      </c>
      <c r="K1324" s="2" t="s">
        <v>3894</v>
      </c>
      <c r="L1324" s="2">
        <v>2025</v>
      </c>
      <c r="M1324" s="2">
        <v>-488703</v>
      </c>
      <c r="N1324" s="2">
        <f xml:space="preserve"> (Table1[[#This Row],[Variance (USD)]] / Table1[[#This Row],[Actual Spending (USD)]]) * 100</f>
        <v>-46.822741513609841</v>
      </c>
      <c r="O1324" s="5" t="s">
        <v>3899</v>
      </c>
    </row>
    <row r="1325" spans="1:15" x14ac:dyDescent="0.25">
      <c r="A1325" s="4" t="s">
        <v>1338</v>
      </c>
      <c r="B1325" s="2" t="s">
        <v>3683</v>
      </c>
      <c r="C1325" s="2" t="s">
        <v>3874</v>
      </c>
      <c r="D1325" s="2" t="s">
        <v>3880</v>
      </c>
      <c r="E1325" s="3">
        <v>45518</v>
      </c>
      <c r="F1325" s="3">
        <v>45741</v>
      </c>
      <c r="G1325" s="2" t="s">
        <v>3886</v>
      </c>
      <c r="H1325" s="2">
        <v>398039</v>
      </c>
      <c r="I1325" s="2">
        <v>1029564</v>
      </c>
      <c r="J1325" s="2" t="s">
        <v>3890</v>
      </c>
      <c r="K1325" s="2" t="s">
        <v>3893</v>
      </c>
      <c r="L1325" s="2">
        <v>2023</v>
      </c>
      <c r="M1325" s="2">
        <v>-631525</v>
      </c>
      <c r="N1325" s="2">
        <f xml:space="preserve"> (Table1[[#This Row],[Variance (USD)]] / Table1[[#This Row],[Actual Spending (USD)]]) * 100</f>
        <v>-61.33907168471314</v>
      </c>
      <c r="O1325" s="5" t="s">
        <v>3899</v>
      </c>
    </row>
    <row r="1326" spans="1:15" x14ac:dyDescent="0.25">
      <c r="A1326" s="4" t="s">
        <v>1339</v>
      </c>
      <c r="B1326" s="2" t="s">
        <v>3303</v>
      </c>
      <c r="C1326" s="2" t="s">
        <v>3870</v>
      </c>
      <c r="D1326" s="2" t="s">
        <v>3878</v>
      </c>
      <c r="E1326" s="3">
        <v>45010</v>
      </c>
      <c r="F1326" s="3">
        <v>45783</v>
      </c>
      <c r="G1326" s="2" t="s">
        <v>3884</v>
      </c>
      <c r="H1326" s="2">
        <v>779695</v>
      </c>
      <c r="I1326" s="2">
        <v>123005</v>
      </c>
      <c r="J1326" s="2" t="s">
        <v>3891</v>
      </c>
      <c r="K1326" s="2" t="s">
        <v>3894</v>
      </c>
      <c r="L1326" s="2">
        <v>2024</v>
      </c>
      <c r="M1326" s="2">
        <v>656690</v>
      </c>
      <c r="N1326" s="2">
        <f xml:space="preserve"> (Table1[[#This Row],[Variance (USD)]] / Table1[[#This Row],[Actual Spending (USD)]]) * 100</f>
        <v>533.87260680460145</v>
      </c>
      <c r="O1326" s="5" t="s">
        <v>3897</v>
      </c>
    </row>
    <row r="1327" spans="1:15" x14ac:dyDescent="0.25">
      <c r="A1327" s="4" t="s">
        <v>1340</v>
      </c>
      <c r="B1327" s="2" t="s">
        <v>3363</v>
      </c>
      <c r="C1327" s="2" t="s">
        <v>3873</v>
      </c>
      <c r="D1327" s="2" t="s">
        <v>3880</v>
      </c>
      <c r="E1327" s="3">
        <v>45291</v>
      </c>
      <c r="F1327" s="3">
        <v>45480</v>
      </c>
      <c r="G1327" s="2" t="s">
        <v>3885</v>
      </c>
      <c r="H1327" s="2">
        <v>204125</v>
      </c>
      <c r="I1327" s="2">
        <v>442655</v>
      </c>
      <c r="J1327" s="2" t="s">
        <v>3888</v>
      </c>
      <c r="K1327" s="2" t="s">
        <v>3893</v>
      </c>
      <c r="L1327" s="2">
        <v>2025</v>
      </c>
      <c r="M1327" s="2">
        <v>-238530</v>
      </c>
      <c r="N1327" s="2">
        <f xml:space="preserve"> (Table1[[#This Row],[Variance (USD)]] / Table1[[#This Row],[Actual Spending (USD)]]) * 100</f>
        <v>-53.886209350397039</v>
      </c>
      <c r="O1327" s="5" t="s">
        <v>3898</v>
      </c>
    </row>
    <row r="1328" spans="1:15" x14ac:dyDescent="0.25">
      <c r="A1328" s="4" t="s">
        <v>1341</v>
      </c>
      <c r="B1328" s="2" t="s">
        <v>3259</v>
      </c>
      <c r="C1328" s="2" t="s">
        <v>3874</v>
      </c>
      <c r="D1328" s="2" t="s">
        <v>3878</v>
      </c>
      <c r="E1328" s="3">
        <v>45475</v>
      </c>
      <c r="F1328" s="3">
        <v>45869</v>
      </c>
      <c r="G1328" s="2" t="s">
        <v>3884</v>
      </c>
      <c r="H1328" s="2">
        <v>830912</v>
      </c>
      <c r="I1328" s="2">
        <v>481436</v>
      </c>
      <c r="J1328" s="2" t="s">
        <v>3891</v>
      </c>
      <c r="K1328" s="2" t="s">
        <v>3893</v>
      </c>
      <c r="L1328" s="2">
        <v>2023</v>
      </c>
      <c r="M1328" s="2">
        <v>349476</v>
      </c>
      <c r="N1328" s="2">
        <f xml:space="preserve"> (Table1[[#This Row],[Variance (USD)]] / Table1[[#This Row],[Actual Spending (USD)]]) * 100</f>
        <v>72.590333917696228</v>
      </c>
      <c r="O1328" s="5" t="s">
        <v>3897</v>
      </c>
    </row>
    <row r="1329" spans="1:15" x14ac:dyDescent="0.25">
      <c r="A1329" s="4" t="s">
        <v>1342</v>
      </c>
      <c r="B1329" s="2" t="s">
        <v>3202</v>
      </c>
      <c r="C1329" s="2" t="s">
        <v>3871</v>
      </c>
      <c r="D1329" s="2" t="s">
        <v>3878</v>
      </c>
      <c r="E1329" s="3">
        <v>45268</v>
      </c>
      <c r="F1329" s="3">
        <v>45711</v>
      </c>
      <c r="G1329" s="2" t="s">
        <v>3884</v>
      </c>
      <c r="H1329" s="2">
        <v>703310</v>
      </c>
      <c r="I1329" s="2">
        <v>732145</v>
      </c>
      <c r="J1329" s="2" t="s">
        <v>3890</v>
      </c>
      <c r="K1329" s="2" t="s">
        <v>3895</v>
      </c>
      <c r="L1329" s="2">
        <v>2025</v>
      </c>
      <c r="M1329" s="2">
        <v>-28835</v>
      </c>
      <c r="N1329" s="2">
        <f xml:space="preserve"> (Table1[[#This Row],[Variance (USD)]] / Table1[[#This Row],[Actual Spending (USD)]]) * 100</f>
        <v>-3.9384274972853737</v>
      </c>
      <c r="O1329" s="5" t="s">
        <v>3897</v>
      </c>
    </row>
    <row r="1330" spans="1:15" x14ac:dyDescent="0.25">
      <c r="A1330" s="4" t="s">
        <v>1343</v>
      </c>
      <c r="B1330" s="2" t="s">
        <v>3687</v>
      </c>
      <c r="C1330" s="2" t="s">
        <v>3869</v>
      </c>
      <c r="D1330" s="2" t="s">
        <v>3883</v>
      </c>
      <c r="E1330" s="3">
        <v>45333</v>
      </c>
      <c r="F1330" s="3">
        <v>45540</v>
      </c>
      <c r="G1330" s="2" t="s">
        <v>3884</v>
      </c>
      <c r="H1330" s="2">
        <v>448231</v>
      </c>
      <c r="I1330" s="2">
        <v>234390</v>
      </c>
      <c r="J1330" s="2" t="s">
        <v>3890</v>
      </c>
      <c r="K1330" s="2" t="s">
        <v>3894</v>
      </c>
      <c r="L1330" s="2">
        <v>2025</v>
      </c>
      <c r="M1330" s="2">
        <v>213841</v>
      </c>
      <c r="N1330" s="2">
        <f xml:space="preserve"> (Table1[[#This Row],[Variance (USD)]] / Table1[[#This Row],[Actual Spending (USD)]]) * 100</f>
        <v>91.232987755450324</v>
      </c>
      <c r="O1330" s="5" t="s">
        <v>3897</v>
      </c>
    </row>
    <row r="1331" spans="1:15" x14ac:dyDescent="0.25">
      <c r="A1331" s="4" t="s">
        <v>1344</v>
      </c>
      <c r="B1331" s="2" t="s">
        <v>3688</v>
      </c>
      <c r="C1331" s="2" t="s">
        <v>3870</v>
      </c>
      <c r="D1331" s="2" t="s">
        <v>3883</v>
      </c>
      <c r="E1331" s="3">
        <v>45351</v>
      </c>
      <c r="F1331" s="3">
        <v>45879</v>
      </c>
      <c r="G1331" s="2" t="s">
        <v>3884</v>
      </c>
      <c r="H1331" s="2">
        <v>278273</v>
      </c>
      <c r="I1331" s="2">
        <v>753556</v>
      </c>
      <c r="J1331" s="2" t="s">
        <v>3890</v>
      </c>
      <c r="K1331" s="2" t="s">
        <v>3894</v>
      </c>
      <c r="L1331" s="2">
        <v>2024</v>
      </c>
      <c r="M1331" s="2">
        <v>-475283</v>
      </c>
      <c r="N1331" s="2">
        <f xml:space="preserve"> (Table1[[#This Row],[Variance (USD)]] / Table1[[#This Row],[Actual Spending (USD)]]) * 100</f>
        <v>-63.072021190196878</v>
      </c>
      <c r="O1331" s="5" t="s">
        <v>3897</v>
      </c>
    </row>
    <row r="1332" spans="1:15" x14ac:dyDescent="0.25">
      <c r="A1332" s="4" t="s">
        <v>1345</v>
      </c>
      <c r="B1332" s="2" t="s">
        <v>3689</v>
      </c>
      <c r="C1332" s="2" t="s">
        <v>3871</v>
      </c>
      <c r="D1332" s="2" t="s">
        <v>3883</v>
      </c>
      <c r="E1332" s="3">
        <v>45019</v>
      </c>
      <c r="F1332" s="3">
        <v>45940</v>
      </c>
      <c r="G1332" s="2" t="s">
        <v>3884</v>
      </c>
      <c r="H1332" s="2">
        <v>976161</v>
      </c>
      <c r="I1332" s="2">
        <v>1073774</v>
      </c>
      <c r="J1332" s="2" t="s">
        <v>3891</v>
      </c>
      <c r="K1332" s="2" t="s">
        <v>3895</v>
      </c>
      <c r="L1332" s="2">
        <v>2024</v>
      </c>
      <c r="M1332" s="2">
        <v>-97613</v>
      </c>
      <c r="N1332" s="2">
        <f xml:space="preserve"> (Table1[[#This Row],[Variance (USD)]] / Table1[[#This Row],[Actual Spending (USD)]]) * 100</f>
        <v>-9.0906466351392385</v>
      </c>
      <c r="O1332" s="5" t="s">
        <v>3897</v>
      </c>
    </row>
    <row r="1333" spans="1:15" x14ac:dyDescent="0.25">
      <c r="A1333" s="4" t="s">
        <v>1346</v>
      </c>
      <c r="B1333" s="2" t="s">
        <v>3179</v>
      </c>
      <c r="C1333" s="2" t="s">
        <v>3869</v>
      </c>
      <c r="D1333" s="2" t="s">
        <v>3881</v>
      </c>
      <c r="E1333" s="3">
        <v>45540</v>
      </c>
      <c r="F1333" s="3">
        <v>45455</v>
      </c>
      <c r="G1333" s="2" t="s">
        <v>3884</v>
      </c>
      <c r="H1333" s="2">
        <v>363260</v>
      </c>
      <c r="I1333" s="2">
        <v>231926</v>
      </c>
      <c r="J1333" s="2" t="s">
        <v>3888</v>
      </c>
      <c r="K1333" s="2" t="s">
        <v>3894</v>
      </c>
      <c r="L1333" s="2">
        <v>2023</v>
      </c>
      <c r="M1333" s="2">
        <v>131334</v>
      </c>
      <c r="N1333" s="2">
        <f xml:space="preserve"> (Table1[[#This Row],[Variance (USD)]] / Table1[[#This Row],[Actual Spending (USD)]]) * 100</f>
        <v>56.627544992799429</v>
      </c>
      <c r="O1333" s="5" t="s">
        <v>3897</v>
      </c>
    </row>
    <row r="1334" spans="1:15" x14ac:dyDescent="0.25">
      <c r="A1334" s="4" t="s">
        <v>1347</v>
      </c>
      <c r="B1334" s="2" t="s">
        <v>3690</v>
      </c>
      <c r="C1334" s="2" t="s">
        <v>3874</v>
      </c>
      <c r="D1334" s="2" t="s">
        <v>3876</v>
      </c>
      <c r="E1334" s="3">
        <v>45338</v>
      </c>
      <c r="F1334" s="3">
        <v>45546</v>
      </c>
      <c r="G1334" s="2" t="s">
        <v>3887</v>
      </c>
      <c r="H1334" s="2">
        <v>203023</v>
      </c>
      <c r="I1334" s="2">
        <v>59400</v>
      </c>
      <c r="J1334" s="2" t="s">
        <v>3892</v>
      </c>
      <c r="K1334" s="2" t="s">
        <v>3895</v>
      </c>
      <c r="L1334" s="2">
        <v>2025</v>
      </c>
      <c r="M1334" s="2">
        <v>143623</v>
      </c>
      <c r="N1334" s="2">
        <f xml:space="preserve"> (Table1[[#This Row],[Variance (USD)]] / Table1[[#This Row],[Actual Spending (USD)]]) * 100</f>
        <v>241.78956228956227</v>
      </c>
      <c r="O1334" s="5" t="s">
        <v>3900</v>
      </c>
    </row>
    <row r="1335" spans="1:15" x14ac:dyDescent="0.25">
      <c r="A1335" s="4" t="s">
        <v>1348</v>
      </c>
      <c r="B1335" s="2" t="s">
        <v>3523</v>
      </c>
      <c r="C1335" s="2" t="s">
        <v>3868</v>
      </c>
      <c r="D1335" s="2" t="s">
        <v>3878</v>
      </c>
      <c r="E1335" s="3">
        <v>45358</v>
      </c>
      <c r="F1335" s="3">
        <v>45767</v>
      </c>
      <c r="G1335" s="2" t="s">
        <v>3884</v>
      </c>
      <c r="H1335" s="2">
        <v>409743</v>
      </c>
      <c r="I1335" s="2">
        <v>82763</v>
      </c>
      <c r="J1335" s="2" t="s">
        <v>3892</v>
      </c>
      <c r="K1335" s="2" t="s">
        <v>3896</v>
      </c>
      <c r="L1335" s="2">
        <v>2025</v>
      </c>
      <c r="M1335" s="2">
        <v>326980</v>
      </c>
      <c r="N1335" s="2">
        <f xml:space="preserve"> (Table1[[#This Row],[Variance (USD)]] / Table1[[#This Row],[Actual Spending (USD)]]) * 100</f>
        <v>395.07992702052849</v>
      </c>
      <c r="O1335" s="5" t="s">
        <v>3897</v>
      </c>
    </row>
    <row r="1336" spans="1:15" x14ac:dyDescent="0.25">
      <c r="A1336" s="4" t="s">
        <v>1349</v>
      </c>
      <c r="B1336" s="2" t="s">
        <v>3130</v>
      </c>
      <c r="C1336" s="2" t="s">
        <v>3868</v>
      </c>
      <c r="D1336" s="2" t="s">
        <v>3877</v>
      </c>
      <c r="E1336" s="3">
        <v>45604</v>
      </c>
      <c r="F1336" s="3">
        <v>45708</v>
      </c>
      <c r="G1336" s="2" t="s">
        <v>3886</v>
      </c>
      <c r="H1336" s="2">
        <v>279351</v>
      </c>
      <c r="I1336" s="2">
        <v>702784</v>
      </c>
      <c r="J1336" s="2" t="s">
        <v>3890</v>
      </c>
      <c r="K1336" s="2" t="s">
        <v>3894</v>
      </c>
      <c r="L1336" s="2">
        <v>2025</v>
      </c>
      <c r="M1336" s="2">
        <v>-423433</v>
      </c>
      <c r="N1336" s="2">
        <f xml:space="preserve"> (Table1[[#This Row],[Variance (USD)]] / Table1[[#This Row],[Actual Spending (USD)]]) * 100</f>
        <v>-60.250802522538926</v>
      </c>
      <c r="O1336" s="5" t="s">
        <v>3899</v>
      </c>
    </row>
    <row r="1337" spans="1:15" x14ac:dyDescent="0.25">
      <c r="A1337" s="4" t="s">
        <v>1350</v>
      </c>
      <c r="B1337" s="2" t="s">
        <v>3640</v>
      </c>
      <c r="C1337" s="2" t="s">
        <v>3870</v>
      </c>
      <c r="D1337" s="2" t="s">
        <v>3880</v>
      </c>
      <c r="E1337" s="3">
        <v>45085</v>
      </c>
      <c r="F1337" s="3">
        <v>45461</v>
      </c>
      <c r="G1337" s="2" t="s">
        <v>3887</v>
      </c>
      <c r="H1337" s="2">
        <v>862953</v>
      </c>
      <c r="I1337" s="2">
        <v>923242</v>
      </c>
      <c r="J1337" s="2" t="s">
        <v>3888</v>
      </c>
      <c r="K1337" s="2" t="s">
        <v>3893</v>
      </c>
      <c r="L1337" s="2">
        <v>2023</v>
      </c>
      <c r="M1337" s="2">
        <v>-60289</v>
      </c>
      <c r="N1337" s="2">
        <f xml:space="preserve"> (Table1[[#This Row],[Variance (USD)]] / Table1[[#This Row],[Actual Spending (USD)]]) * 100</f>
        <v>-6.5301405265358383</v>
      </c>
      <c r="O1337" s="5" t="s">
        <v>3900</v>
      </c>
    </row>
    <row r="1338" spans="1:15" x14ac:dyDescent="0.25">
      <c r="A1338" s="4" t="s">
        <v>1351</v>
      </c>
      <c r="B1338" s="2" t="s">
        <v>3691</v>
      </c>
      <c r="C1338" s="2" t="s">
        <v>3871</v>
      </c>
      <c r="D1338" s="2" t="s">
        <v>3883</v>
      </c>
      <c r="E1338" s="3">
        <v>44940</v>
      </c>
      <c r="F1338" s="3">
        <v>45608</v>
      </c>
      <c r="G1338" s="2" t="s">
        <v>3884</v>
      </c>
      <c r="H1338" s="2">
        <v>366575</v>
      </c>
      <c r="I1338" s="2">
        <v>139955</v>
      </c>
      <c r="J1338" s="2" t="s">
        <v>3888</v>
      </c>
      <c r="K1338" s="2" t="s">
        <v>3895</v>
      </c>
      <c r="L1338" s="2">
        <v>2024</v>
      </c>
      <c r="M1338" s="2">
        <v>226620</v>
      </c>
      <c r="N1338" s="2">
        <f xml:space="preserve"> (Table1[[#This Row],[Variance (USD)]] / Table1[[#This Row],[Actual Spending (USD)]]) * 100</f>
        <v>161.92347540280804</v>
      </c>
      <c r="O1338" s="5" t="s">
        <v>3897</v>
      </c>
    </row>
    <row r="1339" spans="1:15" x14ac:dyDescent="0.25">
      <c r="A1339" s="4" t="s">
        <v>1352</v>
      </c>
      <c r="B1339" s="2" t="s">
        <v>3145</v>
      </c>
      <c r="C1339" s="2" t="s">
        <v>3875</v>
      </c>
      <c r="D1339" s="2" t="s">
        <v>3881</v>
      </c>
      <c r="E1339" s="3">
        <v>45299</v>
      </c>
      <c r="F1339" s="3">
        <v>45465</v>
      </c>
      <c r="G1339" s="2" t="s">
        <v>3886</v>
      </c>
      <c r="H1339" s="2">
        <v>847163</v>
      </c>
      <c r="I1339" s="2">
        <v>966834</v>
      </c>
      <c r="J1339" s="2" t="s">
        <v>3889</v>
      </c>
      <c r="K1339" s="2" t="s">
        <v>3893</v>
      </c>
      <c r="L1339" s="2">
        <v>2024</v>
      </c>
      <c r="M1339" s="2">
        <v>-119671</v>
      </c>
      <c r="N1339" s="2">
        <f xml:space="preserve"> (Table1[[#This Row],[Variance (USD)]] / Table1[[#This Row],[Actual Spending (USD)]]) * 100</f>
        <v>-12.377616012676427</v>
      </c>
      <c r="O1339" s="5" t="s">
        <v>3899</v>
      </c>
    </row>
    <row r="1340" spans="1:15" x14ac:dyDescent="0.25">
      <c r="A1340" s="4" t="s">
        <v>1353</v>
      </c>
      <c r="B1340" s="2" t="s">
        <v>3692</v>
      </c>
      <c r="C1340" s="2" t="s">
        <v>3869</v>
      </c>
      <c r="D1340" s="2" t="s">
        <v>3883</v>
      </c>
      <c r="E1340" s="3">
        <v>45151</v>
      </c>
      <c r="F1340" s="3">
        <v>45761</v>
      </c>
      <c r="G1340" s="2" t="s">
        <v>3884</v>
      </c>
      <c r="H1340" s="2">
        <v>724104</v>
      </c>
      <c r="I1340" s="2">
        <v>766626</v>
      </c>
      <c r="J1340" s="2" t="s">
        <v>3889</v>
      </c>
      <c r="K1340" s="2" t="s">
        <v>3893</v>
      </c>
      <c r="L1340" s="2">
        <v>2025</v>
      </c>
      <c r="M1340" s="2">
        <v>-42522</v>
      </c>
      <c r="N1340" s="2">
        <f xml:space="preserve"> (Table1[[#This Row],[Variance (USD)]] / Table1[[#This Row],[Actual Spending (USD)]]) * 100</f>
        <v>-5.5466420392733875</v>
      </c>
      <c r="O1340" s="5" t="s">
        <v>3897</v>
      </c>
    </row>
    <row r="1341" spans="1:15" x14ac:dyDescent="0.25">
      <c r="A1341" s="4" t="s">
        <v>1354</v>
      </c>
      <c r="B1341" s="2" t="s">
        <v>3149</v>
      </c>
      <c r="C1341" s="2" t="s">
        <v>3873</v>
      </c>
      <c r="D1341" s="2" t="s">
        <v>3880</v>
      </c>
      <c r="E1341" s="3">
        <v>45431</v>
      </c>
      <c r="F1341" s="3">
        <v>45636</v>
      </c>
      <c r="G1341" s="2" t="s">
        <v>3884</v>
      </c>
      <c r="H1341" s="2">
        <v>375238</v>
      </c>
      <c r="I1341" s="2">
        <v>688596</v>
      </c>
      <c r="J1341" s="2" t="s">
        <v>3891</v>
      </c>
      <c r="K1341" s="2" t="s">
        <v>3894</v>
      </c>
      <c r="L1341" s="2">
        <v>2023</v>
      </c>
      <c r="M1341" s="2">
        <v>-313358</v>
      </c>
      <c r="N1341" s="2">
        <f xml:space="preserve"> (Table1[[#This Row],[Variance (USD)]] / Table1[[#This Row],[Actual Spending (USD)]]) * 100</f>
        <v>-45.506799342430106</v>
      </c>
      <c r="O1341" s="5" t="s">
        <v>3897</v>
      </c>
    </row>
    <row r="1342" spans="1:15" x14ac:dyDescent="0.25">
      <c r="A1342" s="4" t="s">
        <v>1355</v>
      </c>
      <c r="B1342" s="2" t="s">
        <v>3301</v>
      </c>
      <c r="C1342" s="2" t="s">
        <v>3871</v>
      </c>
      <c r="D1342" s="2" t="s">
        <v>3880</v>
      </c>
      <c r="E1342" s="3">
        <v>44999</v>
      </c>
      <c r="F1342" s="3">
        <v>45736</v>
      </c>
      <c r="G1342" s="2" t="s">
        <v>3884</v>
      </c>
      <c r="H1342" s="2">
        <v>854855</v>
      </c>
      <c r="I1342" s="2">
        <v>754576</v>
      </c>
      <c r="J1342" s="2" t="s">
        <v>3889</v>
      </c>
      <c r="K1342" s="2" t="s">
        <v>3895</v>
      </c>
      <c r="L1342" s="2">
        <v>2025</v>
      </c>
      <c r="M1342" s="2">
        <v>100279</v>
      </c>
      <c r="N1342" s="2">
        <f xml:space="preserve"> (Table1[[#This Row],[Variance (USD)]] / Table1[[#This Row],[Actual Spending (USD)]]) * 100</f>
        <v>13.289449969254258</v>
      </c>
      <c r="O1342" s="5" t="s">
        <v>3897</v>
      </c>
    </row>
    <row r="1343" spans="1:15" x14ac:dyDescent="0.25">
      <c r="A1343" s="4" t="s">
        <v>1356</v>
      </c>
      <c r="B1343" s="2" t="s">
        <v>3129</v>
      </c>
      <c r="C1343" s="2" t="s">
        <v>3873</v>
      </c>
      <c r="D1343" s="2" t="s">
        <v>3882</v>
      </c>
      <c r="E1343" s="3">
        <v>45175</v>
      </c>
      <c r="F1343" s="3">
        <v>45309</v>
      </c>
      <c r="G1343" s="2" t="s">
        <v>3885</v>
      </c>
      <c r="H1343" s="2">
        <v>426756</v>
      </c>
      <c r="I1343" s="2">
        <v>1188178</v>
      </c>
      <c r="J1343" s="2" t="s">
        <v>3891</v>
      </c>
      <c r="K1343" s="2" t="s">
        <v>3896</v>
      </c>
      <c r="L1343" s="2">
        <v>2024</v>
      </c>
      <c r="M1343" s="2">
        <v>-761422</v>
      </c>
      <c r="N1343" s="2">
        <f xml:space="preserve"> (Table1[[#This Row],[Variance (USD)]] / Table1[[#This Row],[Actual Spending (USD)]]) * 100</f>
        <v>-64.083159257283</v>
      </c>
      <c r="O1343" s="5" t="s">
        <v>3898</v>
      </c>
    </row>
    <row r="1344" spans="1:15" x14ac:dyDescent="0.25">
      <c r="A1344" s="4" t="s">
        <v>1357</v>
      </c>
      <c r="B1344" s="2" t="s">
        <v>3669</v>
      </c>
      <c r="C1344" s="2" t="s">
        <v>3871</v>
      </c>
      <c r="D1344" s="2" t="s">
        <v>3878</v>
      </c>
      <c r="E1344" s="3">
        <v>45437</v>
      </c>
      <c r="F1344" s="3">
        <v>45361</v>
      </c>
      <c r="G1344" s="2" t="s">
        <v>3884</v>
      </c>
      <c r="H1344" s="2">
        <v>985072</v>
      </c>
      <c r="I1344" s="2">
        <v>392315</v>
      </c>
      <c r="J1344" s="2" t="s">
        <v>3892</v>
      </c>
      <c r="K1344" s="2" t="s">
        <v>3893</v>
      </c>
      <c r="L1344" s="2">
        <v>2025</v>
      </c>
      <c r="M1344" s="2">
        <v>592757</v>
      </c>
      <c r="N1344" s="2">
        <f xml:space="preserve"> (Table1[[#This Row],[Variance (USD)]] / Table1[[#This Row],[Actual Spending (USD)]]) * 100</f>
        <v>151.09210710780877</v>
      </c>
      <c r="O1344" s="5" t="s">
        <v>3897</v>
      </c>
    </row>
    <row r="1345" spans="1:15" x14ac:dyDescent="0.25">
      <c r="A1345" s="4" t="s">
        <v>1358</v>
      </c>
      <c r="B1345" s="2" t="s">
        <v>3550</v>
      </c>
      <c r="C1345" s="2" t="s">
        <v>3875</v>
      </c>
      <c r="D1345" s="2" t="s">
        <v>3883</v>
      </c>
      <c r="E1345" s="3">
        <v>45529</v>
      </c>
      <c r="F1345" s="3">
        <v>45629</v>
      </c>
      <c r="G1345" s="2" t="s">
        <v>3886</v>
      </c>
      <c r="H1345" s="2">
        <v>578222</v>
      </c>
      <c r="I1345" s="2">
        <v>354437</v>
      </c>
      <c r="J1345" s="2" t="s">
        <v>3890</v>
      </c>
      <c r="K1345" s="2" t="s">
        <v>3893</v>
      </c>
      <c r="L1345" s="2">
        <v>2025</v>
      </c>
      <c r="M1345" s="2">
        <v>223785</v>
      </c>
      <c r="N1345" s="2">
        <f xml:space="preserve"> (Table1[[#This Row],[Variance (USD)]] / Table1[[#This Row],[Actual Spending (USD)]]) * 100</f>
        <v>63.138159955083694</v>
      </c>
      <c r="O1345" s="5" t="s">
        <v>3899</v>
      </c>
    </row>
    <row r="1346" spans="1:15" x14ac:dyDescent="0.25">
      <c r="A1346" s="4" t="s">
        <v>1359</v>
      </c>
      <c r="B1346" s="2" t="s">
        <v>3693</v>
      </c>
      <c r="C1346" s="2" t="s">
        <v>3875</v>
      </c>
      <c r="D1346" s="2" t="s">
        <v>3880</v>
      </c>
      <c r="E1346" s="3">
        <v>45142</v>
      </c>
      <c r="F1346" s="3">
        <v>45919</v>
      </c>
      <c r="G1346" s="2" t="s">
        <v>3884</v>
      </c>
      <c r="H1346" s="2">
        <v>126945</v>
      </c>
      <c r="I1346" s="2">
        <v>668412</v>
      </c>
      <c r="J1346" s="2" t="s">
        <v>3888</v>
      </c>
      <c r="K1346" s="2" t="s">
        <v>3896</v>
      </c>
      <c r="L1346" s="2">
        <v>2025</v>
      </c>
      <c r="M1346" s="2">
        <v>-541467</v>
      </c>
      <c r="N1346" s="2">
        <f xml:space="preserve"> (Table1[[#This Row],[Variance (USD)]] / Table1[[#This Row],[Actual Spending (USD)]]) * 100</f>
        <v>-81.007971131577534</v>
      </c>
      <c r="O1346" s="5" t="s">
        <v>3897</v>
      </c>
    </row>
    <row r="1347" spans="1:15" x14ac:dyDescent="0.25">
      <c r="A1347" s="4" t="s">
        <v>1360</v>
      </c>
      <c r="B1347" s="2" t="s">
        <v>3219</v>
      </c>
      <c r="C1347" s="2" t="s">
        <v>3870</v>
      </c>
      <c r="D1347" s="2" t="s">
        <v>3876</v>
      </c>
      <c r="E1347" s="3">
        <v>45528</v>
      </c>
      <c r="F1347" s="3">
        <v>45883</v>
      </c>
      <c r="G1347" s="2" t="s">
        <v>3885</v>
      </c>
      <c r="H1347" s="2">
        <v>825842</v>
      </c>
      <c r="I1347" s="2">
        <v>276921</v>
      </c>
      <c r="J1347" s="2" t="s">
        <v>3892</v>
      </c>
      <c r="K1347" s="2" t="s">
        <v>3895</v>
      </c>
      <c r="L1347" s="2">
        <v>2024</v>
      </c>
      <c r="M1347" s="2">
        <v>548921</v>
      </c>
      <c r="N1347" s="2">
        <f xml:space="preserve"> (Table1[[#This Row],[Variance (USD)]] / Table1[[#This Row],[Actual Spending (USD)]]) * 100</f>
        <v>198.22295889441392</v>
      </c>
      <c r="O1347" s="5" t="s">
        <v>3898</v>
      </c>
    </row>
    <row r="1348" spans="1:15" x14ac:dyDescent="0.25">
      <c r="A1348" s="4" t="s">
        <v>1361</v>
      </c>
      <c r="B1348" s="2" t="s">
        <v>3145</v>
      </c>
      <c r="C1348" s="2" t="s">
        <v>3870</v>
      </c>
      <c r="D1348" s="2" t="s">
        <v>3876</v>
      </c>
      <c r="E1348" s="3">
        <v>45467</v>
      </c>
      <c r="F1348" s="3">
        <v>45818</v>
      </c>
      <c r="G1348" s="2" t="s">
        <v>3884</v>
      </c>
      <c r="H1348" s="2">
        <v>966875</v>
      </c>
      <c r="I1348" s="2">
        <v>984192</v>
      </c>
      <c r="J1348" s="2" t="s">
        <v>3892</v>
      </c>
      <c r="K1348" s="2" t="s">
        <v>3894</v>
      </c>
      <c r="L1348" s="2">
        <v>2023</v>
      </c>
      <c r="M1348" s="2">
        <v>-17317</v>
      </c>
      <c r="N1348" s="2">
        <f xml:space="preserve"> (Table1[[#This Row],[Variance (USD)]] / Table1[[#This Row],[Actual Spending (USD)]]) * 100</f>
        <v>-1.7595144036935881</v>
      </c>
      <c r="O1348" s="5" t="s">
        <v>3897</v>
      </c>
    </row>
    <row r="1349" spans="1:15" x14ac:dyDescent="0.25">
      <c r="A1349" s="4" t="s">
        <v>1362</v>
      </c>
      <c r="B1349" s="2" t="s">
        <v>3288</v>
      </c>
      <c r="C1349" s="2" t="s">
        <v>3875</v>
      </c>
      <c r="D1349" s="2" t="s">
        <v>3883</v>
      </c>
      <c r="E1349" s="3">
        <v>45146</v>
      </c>
      <c r="F1349" s="3">
        <v>45979</v>
      </c>
      <c r="G1349" s="2" t="s">
        <v>3886</v>
      </c>
      <c r="H1349" s="2">
        <v>671234</v>
      </c>
      <c r="I1349" s="2">
        <v>185194</v>
      </c>
      <c r="J1349" s="2" t="s">
        <v>3891</v>
      </c>
      <c r="K1349" s="2" t="s">
        <v>3893</v>
      </c>
      <c r="L1349" s="2">
        <v>2025</v>
      </c>
      <c r="M1349" s="2">
        <v>486040</v>
      </c>
      <c r="N1349" s="2">
        <f xml:space="preserve"> (Table1[[#This Row],[Variance (USD)]] / Table1[[#This Row],[Actual Spending (USD)]]) * 100</f>
        <v>262.44910742248669</v>
      </c>
      <c r="O1349" s="5" t="s">
        <v>3899</v>
      </c>
    </row>
    <row r="1350" spans="1:15" x14ac:dyDescent="0.25">
      <c r="A1350" s="4" t="s">
        <v>1363</v>
      </c>
      <c r="B1350" s="2" t="s">
        <v>3391</v>
      </c>
      <c r="C1350" s="2" t="s">
        <v>3872</v>
      </c>
      <c r="D1350" s="2" t="s">
        <v>3881</v>
      </c>
      <c r="E1350" s="3">
        <v>45653</v>
      </c>
      <c r="F1350" s="3">
        <v>45747</v>
      </c>
      <c r="G1350" s="2" t="s">
        <v>3886</v>
      </c>
      <c r="H1350" s="2">
        <v>670632</v>
      </c>
      <c r="I1350" s="2">
        <v>255612</v>
      </c>
      <c r="J1350" s="2" t="s">
        <v>3890</v>
      </c>
      <c r="K1350" s="2" t="s">
        <v>3894</v>
      </c>
      <c r="L1350" s="2">
        <v>2024</v>
      </c>
      <c r="M1350" s="2">
        <v>415020</v>
      </c>
      <c r="N1350" s="2">
        <f xml:space="preserve"> (Table1[[#This Row],[Variance (USD)]] / Table1[[#This Row],[Actual Spending (USD)]]) * 100</f>
        <v>162.3632693300784</v>
      </c>
      <c r="O1350" s="5" t="s">
        <v>3899</v>
      </c>
    </row>
    <row r="1351" spans="1:15" x14ac:dyDescent="0.25">
      <c r="A1351" s="4" t="s">
        <v>1364</v>
      </c>
      <c r="B1351" s="2" t="s">
        <v>3694</v>
      </c>
      <c r="C1351" s="2" t="s">
        <v>3875</v>
      </c>
      <c r="D1351" s="2" t="s">
        <v>3880</v>
      </c>
      <c r="E1351" s="3">
        <v>45147</v>
      </c>
      <c r="F1351" s="3">
        <v>45560</v>
      </c>
      <c r="G1351" s="2" t="s">
        <v>3886</v>
      </c>
      <c r="H1351" s="2">
        <v>189244</v>
      </c>
      <c r="I1351" s="2">
        <v>429547</v>
      </c>
      <c r="J1351" s="2" t="s">
        <v>3891</v>
      </c>
      <c r="K1351" s="2" t="s">
        <v>3895</v>
      </c>
      <c r="L1351" s="2">
        <v>2025</v>
      </c>
      <c r="M1351" s="2">
        <v>-240303</v>
      </c>
      <c r="N1351" s="2">
        <f xml:space="preserve"> (Table1[[#This Row],[Variance (USD)]] / Table1[[#This Row],[Actual Spending (USD)]]) * 100</f>
        <v>-55.94335427787879</v>
      </c>
      <c r="O1351" s="5" t="s">
        <v>3899</v>
      </c>
    </row>
    <row r="1352" spans="1:15" x14ac:dyDescent="0.25">
      <c r="A1352" s="4" t="s">
        <v>1365</v>
      </c>
      <c r="B1352" s="2" t="s">
        <v>3379</v>
      </c>
      <c r="C1352" s="2" t="s">
        <v>3868</v>
      </c>
      <c r="D1352" s="2" t="s">
        <v>3882</v>
      </c>
      <c r="E1352" s="3">
        <v>45315</v>
      </c>
      <c r="F1352" s="3">
        <v>45922</v>
      </c>
      <c r="G1352" s="2" t="s">
        <v>3885</v>
      </c>
      <c r="H1352" s="2">
        <v>601646</v>
      </c>
      <c r="I1352" s="2">
        <v>772462</v>
      </c>
      <c r="J1352" s="2" t="s">
        <v>3892</v>
      </c>
      <c r="K1352" s="2" t="s">
        <v>3896</v>
      </c>
      <c r="L1352" s="2">
        <v>2023</v>
      </c>
      <c r="M1352" s="2">
        <v>-170816</v>
      </c>
      <c r="N1352" s="2">
        <f xml:space="preserve"> (Table1[[#This Row],[Variance (USD)]] / Table1[[#This Row],[Actual Spending (USD)]]) * 100</f>
        <v>-22.113191328505479</v>
      </c>
      <c r="O1352" s="5" t="s">
        <v>3898</v>
      </c>
    </row>
    <row r="1353" spans="1:15" x14ac:dyDescent="0.25">
      <c r="A1353" s="4" t="s">
        <v>1366</v>
      </c>
      <c r="B1353" s="2" t="s">
        <v>3440</v>
      </c>
      <c r="C1353" s="2" t="s">
        <v>3868</v>
      </c>
      <c r="D1353" s="2" t="s">
        <v>3878</v>
      </c>
      <c r="E1353" s="3">
        <v>45480</v>
      </c>
      <c r="F1353" s="3">
        <v>45479</v>
      </c>
      <c r="G1353" s="2" t="s">
        <v>3885</v>
      </c>
      <c r="H1353" s="2">
        <v>771673</v>
      </c>
      <c r="I1353" s="2">
        <v>403555</v>
      </c>
      <c r="J1353" s="2" t="s">
        <v>3888</v>
      </c>
      <c r="K1353" s="2" t="s">
        <v>3894</v>
      </c>
      <c r="L1353" s="2">
        <v>2025</v>
      </c>
      <c r="M1353" s="2">
        <v>368118</v>
      </c>
      <c r="N1353" s="2">
        <f xml:space="preserve"> (Table1[[#This Row],[Variance (USD)]] / Table1[[#This Row],[Actual Spending (USD)]]) * 100</f>
        <v>91.218792977413244</v>
      </c>
      <c r="O1353" s="5" t="s">
        <v>3898</v>
      </c>
    </row>
    <row r="1354" spans="1:15" x14ac:dyDescent="0.25">
      <c r="A1354" s="4" t="s">
        <v>1367</v>
      </c>
      <c r="B1354" s="2" t="s">
        <v>3517</v>
      </c>
      <c r="C1354" s="2" t="s">
        <v>3872</v>
      </c>
      <c r="D1354" s="2" t="s">
        <v>3878</v>
      </c>
      <c r="E1354" s="3">
        <v>45573</v>
      </c>
      <c r="F1354" s="3">
        <v>45860</v>
      </c>
      <c r="G1354" s="2" t="s">
        <v>3884</v>
      </c>
      <c r="H1354" s="2">
        <v>179774</v>
      </c>
      <c r="I1354" s="2">
        <v>72262</v>
      </c>
      <c r="J1354" s="2" t="s">
        <v>3889</v>
      </c>
      <c r="K1354" s="2" t="s">
        <v>3895</v>
      </c>
      <c r="L1354" s="2">
        <v>2023</v>
      </c>
      <c r="M1354" s="2">
        <v>107512</v>
      </c>
      <c r="N1354" s="2">
        <f xml:space="preserve"> (Table1[[#This Row],[Variance (USD)]] / Table1[[#This Row],[Actual Spending (USD)]]) * 100</f>
        <v>148.780825330049</v>
      </c>
      <c r="O1354" s="5" t="s">
        <v>3897</v>
      </c>
    </row>
    <row r="1355" spans="1:15" x14ac:dyDescent="0.25">
      <c r="A1355" s="4" t="s">
        <v>1368</v>
      </c>
      <c r="B1355" s="2" t="s">
        <v>3695</v>
      </c>
      <c r="C1355" s="2" t="s">
        <v>3874</v>
      </c>
      <c r="D1355" s="2" t="s">
        <v>3881</v>
      </c>
      <c r="E1355" s="3">
        <v>44968</v>
      </c>
      <c r="F1355" s="3">
        <v>46002</v>
      </c>
      <c r="G1355" s="2" t="s">
        <v>3884</v>
      </c>
      <c r="H1355" s="2">
        <v>331907</v>
      </c>
      <c r="I1355" s="2">
        <v>1055194</v>
      </c>
      <c r="J1355" s="2" t="s">
        <v>3891</v>
      </c>
      <c r="K1355" s="2" t="s">
        <v>3894</v>
      </c>
      <c r="L1355" s="2">
        <v>2024</v>
      </c>
      <c r="M1355" s="2">
        <v>-723287</v>
      </c>
      <c r="N1355" s="2">
        <f xml:space="preserve"> (Table1[[#This Row],[Variance (USD)]] / Table1[[#This Row],[Actual Spending (USD)]]) * 100</f>
        <v>-68.545404920801289</v>
      </c>
      <c r="O1355" s="5" t="s">
        <v>3897</v>
      </c>
    </row>
    <row r="1356" spans="1:15" x14ac:dyDescent="0.25">
      <c r="A1356" s="4" t="s">
        <v>1369</v>
      </c>
      <c r="B1356" s="2" t="s">
        <v>3455</v>
      </c>
      <c r="C1356" s="2" t="s">
        <v>3869</v>
      </c>
      <c r="D1356" s="2" t="s">
        <v>3882</v>
      </c>
      <c r="E1356" s="3">
        <v>45602</v>
      </c>
      <c r="F1356" s="3">
        <v>45820</v>
      </c>
      <c r="G1356" s="2" t="s">
        <v>3884</v>
      </c>
      <c r="H1356" s="2">
        <v>543938</v>
      </c>
      <c r="I1356" s="2">
        <v>136435</v>
      </c>
      <c r="J1356" s="2" t="s">
        <v>3892</v>
      </c>
      <c r="K1356" s="2" t="s">
        <v>3894</v>
      </c>
      <c r="L1356" s="2">
        <v>2023</v>
      </c>
      <c r="M1356" s="2">
        <v>407503</v>
      </c>
      <c r="N1356" s="2">
        <f xml:space="preserve"> (Table1[[#This Row],[Variance (USD)]] / Table1[[#This Row],[Actual Spending (USD)]]) * 100</f>
        <v>298.67922453915787</v>
      </c>
      <c r="O1356" s="5" t="s">
        <v>3897</v>
      </c>
    </row>
    <row r="1357" spans="1:15" x14ac:dyDescent="0.25">
      <c r="A1357" s="4" t="s">
        <v>1370</v>
      </c>
      <c r="B1357" s="2" t="s">
        <v>3685</v>
      </c>
      <c r="C1357" s="2" t="s">
        <v>3874</v>
      </c>
      <c r="D1357" s="2" t="s">
        <v>3878</v>
      </c>
      <c r="E1357" s="3">
        <v>45209</v>
      </c>
      <c r="F1357" s="3">
        <v>45725</v>
      </c>
      <c r="G1357" s="2" t="s">
        <v>3884</v>
      </c>
      <c r="H1357" s="2">
        <v>539922</v>
      </c>
      <c r="I1357" s="2">
        <v>1057604</v>
      </c>
      <c r="J1357" s="2" t="s">
        <v>3889</v>
      </c>
      <c r="K1357" s="2" t="s">
        <v>3893</v>
      </c>
      <c r="L1357" s="2">
        <v>2023</v>
      </c>
      <c r="M1357" s="2">
        <v>-517682</v>
      </c>
      <c r="N1357" s="2">
        <f xml:space="preserve"> (Table1[[#This Row],[Variance (USD)]] / Table1[[#This Row],[Actual Spending (USD)]]) * 100</f>
        <v>-48.948566760337521</v>
      </c>
      <c r="O1357" s="5" t="s">
        <v>3897</v>
      </c>
    </row>
    <row r="1358" spans="1:15" x14ac:dyDescent="0.25">
      <c r="A1358" s="4" t="s">
        <v>1371</v>
      </c>
      <c r="B1358" s="2" t="s">
        <v>3415</v>
      </c>
      <c r="C1358" s="2" t="s">
        <v>3873</v>
      </c>
      <c r="D1358" s="2" t="s">
        <v>3882</v>
      </c>
      <c r="E1358" s="3">
        <v>44984</v>
      </c>
      <c r="F1358" s="3">
        <v>45579</v>
      </c>
      <c r="G1358" s="2" t="s">
        <v>3884</v>
      </c>
      <c r="H1358" s="2">
        <v>135997</v>
      </c>
      <c r="I1358" s="2">
        <v>744952</v>
      </c>
      <c r="J1358" s="2" t="s">
        <v>3889</v>
      </c>
      <c r="K1358" s="2" t="s">
        <v>3894</v>
      </c>
      <c r="L1358" s="2">
        <v>2024</v>
      </c>
      <c r="M1358" s="2">
        <v>-608955</v>
      </c>
      <c r="N1358" s="2">
        <f xml:space="preserve"> (Table1[[#This Row],[Variance (USD)]] / Table1[[#This Row],[Actual Spending (USD)]]) * 100</f>
        <v>-81.74419291444282</v>
      </c>
      <c r="O1358" s="5" t="s">
        <v>3897</v>
      </c>
    </row>
    <row r="1359" spans="1:15" x14ac:dyDescent="0.25">
      <c r="A1359" s="4" t="s">
        <v>1372</v>
      </c>
      <c r="B1359" s="2" t="s">
        <v>3041</v>
      </c>
      <c r="C1359" s="2" t="s">
        <v>3874</v>
      </c>
      <c r="D1359" s="2" t="s">
        <v>3879</v>
      </c>
      <c r="E1359" s="3">
        <v>45463</v>
      </c>
      <c r="F1359" s="3">
        <v>45858</v>
      </c>
      <c r="G1359" s="2" t="s">
        <v>3884</v>
      </c>
      <c r="H1359" s="2">
        <v>291830</v>
      </c>
      <c r="I1359" s="2">
        <v>719286</v>
      </c>
      <c r="J1359" s="2" t="s">
        <v>3892</v>
      </c>
      <c r="K1359" s="2" t="s">
        <v>3893</v>
      </c>
      <c r="L1359" s="2">
        <v>2023</v>
      </c>
      <c r="M1359" s="2">
        <v>-427456</v>
      </c>
      <c r="N1359" s="2">
        <f xml:space="preserve"> (Table1[[#This Row],[Variance (USD)]] / Table1[[#This Row],[Actual Spending (USD)]]) * 100</f>
        <v>-59.427821478521757</v>
      </c>
      <c r="O1359" s="5" t="s">
        <v>3897</v>
      </c>
    </row>
    <row r="1360" spans="1:15" x14ac:dyDescent="0.25">
      <c r="A1360" s="4" t="s">
        <v>1373</v>
      </c>
      <c r="B1360" s="2" t="s">
        <v>3696</v>
      </c>
      <c r="C1360" s="2" t="s">
        <v>3871</v>
      </c>
      <c r="D1360" s="2" t="s">
        <v>3883</v>
      </c>
      <c r="E1360" s="3">
        <v>44999</v>
      </c>
      <c r="F1360" s="3">
        <v>45790</v>
      </c>
      <c r="G1360" s="2" t="s">
        <v>3884</v>
      </c>
      <c r="H1360" s="2">
        <v>904407</v>
      </c>
      <c r="I1360" s="2">
        <v>902719</v>
      </c>
      <c r="J1360" s="2" t="s">
        <v>3890</v>
      </c>
      <c r="K1360" s="2" t="s">
        <v>3895</v>
      </c>
      <c r="L1360" s="2">
        <v>2023</v>
      </c>
      <c r="M1360" s="2">
        <v>1688</v>
      </c>
      <c r="N1360" s="2">
        <f xml:space="preserve"> (Table1[[#This Row],[Variance (USD)]] / Table1[[#This Row],[Actual Spending (USD)]]) * 100</f>
        <v>0.18699063606725902</v>
      </c>
      <c r="O1360" s="5" t="s">
        <v>3897</v>
      </c>
    </row>
    <row r="1361" spans="1:15" x14ac:dyDescent="0.25">
      <c r="A1361" s="4" t="s">
        <v>1374</v>
      </c>
      <c r="B1361" s="2" t="s">
        <v>3543</v>
      </c>
      <c r="C1361" s="2" t="s">
        <v>3874</v>
      </c>
      <c r="D1361" s="2" t="s">
        <v>3878</v>
      </c>
      <c r="E1361" s="3">
        <v>45055</v>
      </c>
      <c r="F1361" s="3">
        <v>45732</v>
      </c>
      <c r="G1361" s="2" t="s">
        <v>3887</v>
      </c>
      <c r="H1361" s="2">
        <v>188876</v>
      </c>
      <c r="I1361" s="2">
        <v>673606</v>
      </c>
      <c r="J1361" s="2" t="s">
        <v>3892</v>
      </c>
      <c r="K1361" s="2" t="s">
        <v>3895</v>
      </c>
      <c r="L1361" s="2">
        <v>2024</v>
      </c>
      <c r="M1361" s="2">
        <v>-484730</v>
      </c>
      <c r="N1361" s="2">
        <f xml:space="preserve"> (Table1[[#This Row],[Variance (USD)]] / Table1[[#This Row],[Actual Spending (USD)]]) * 100</f>
        <v>-71.960463535063525</v>
      </c>
      <c r="O1361" s="5" t="s">
        <v>3900</v>
      </c>
    </row>
    <row r="1362" spans="1:15" x14ac:dyDescent="0.25">
      <c r="A1362" s="4" t="s">
        <v>1375</v>
      </c>
      <c r="B1362" s="2" t="s">
        <v>3647</v>
      </c>
      <c r="C1362" s="2" t="s">
        <v>3871</v>
      </c>
      <c r="D1362" s="2" t="s">
        <v>3876</v>
      </c>
      <c r="E1362" s="3">
        <v>45525</v>
      </c>
      <c r="F1362" s="3">
        <v>45594</v>
      </c>
      <c r="G1362" s="2" t="s">
        <v>3884</v>
      </c>
      <c r="H1362" s="2">
        <v>259820</v>
      </c>
      <c r="I1362" s="2">
        <v>422278</v>
      </c>
      <c r="J1362" s="2" t="s">
        <v>3888</v>
      </c>
      <c r="K1362" s="2" t="s">
        <v>3893</v>
      </c>
      <c r="L1362" s="2">
        <v>2023</v>
      </c>
      <c r="M1362" s="2">
        <v>-162458</v>
      </c>
      <c r="N1362" s="2">
        <f xml:space="preserve"> (Table1[[#This Row],[Variance (USD)]] / Table1[[#This Row],[Actual Spending (USD)]]) * 100</f>
        <v>-38.471812407939794</v>
      </c>
      <c r="O1362" s="5" t="s">
        <v>3897</v>
      </c>
    </row>
    <row r="1363" spans="1:15" x14ac:dyDescent="0.25">
      <c r="A1363" s="4" t="s">
        <v>1376</v>
      </c>
      <c r="B1363" s="2" t="s">
        <v>3393</v>
      </c>
      <c r="C1363" s="2" t="s">
        <v>3872</v>
      </c>
      <c r="D1363" s="2" t="s">
        <v>3880</v>
      </c>
      <c r="E1363" s="3">
        <v>45352</v>
      </c>
      <c r="F1363" s="3">
        <v>45378</v>
      </c>
      <c r="G1363" s="2" t="s">
        <v>3885</v>
      </c>
      <c r="H1363" s="2">
        <v>661477</v>
      </c>
      <c r="I1363" s="2">
        <v>571816</v>
      </c>
      <c r="J1363" s="2" t="s">
        <v>3889</v>
      </c>
      <c r="K1363" s="2" t="s">
        <v>3896</v>
      </c>
      <c r="L1363" s="2">
        <v>2023</v>
      </c>
      <c r="M1363" s="2">
        <v>89661</v>
      </c>
      <c r="N1363" s="2">
        <f xml:space="preserve"> (Table1[[#This Row],[Variance (USD)]] / Table1[[#This Row],[Actual Spending (USD)]]) * 100</f>
        <v>15.680043930215316</v>
      </c>
      <c r="O1363" s="5" t="s">
        <v>3898</v>
      </c>
    </row>
    <row r="1364" spans="1:15" x14ac:dyDescent="0.25">
      <c r="A1364" s="4" t="s">
        <v>1377</v>
      </c>
      <c r="B1364" s="2" t="s">
        <v>3635</v>
      </c>
      <c r="C1364" s="2" t="s">
        <v>3868</v>
      </c>
      <c r="D1364" s="2" t="s">
        <v>3882</v>
      </c>
      <c r="E1364" s="3">
        <v>45591</v>
      </c>
      <c r="F1364" s="3">
        <v>45729</v>
      </c>
      <c r="G1364" s="2" t="s">
        <v>3884</v>
      </c>
      <c r="H1364" s="2">
        <v>661795</v>
      </c>
      <c r="I1364" s="2">
        <v>1078644</v>
      </c>
      <c r="J1364" s="2" t="s">
        <v>3888</v>
      </c>
      <c r="K1364" s="2" t="s">
        <v>3894</v>
      </c>
      <c r="L1364" s="2">
        <v>2025</v>
      </c>
      <c r="M1364" s="2">
        <v>-416849</v>
      </c>
      <c r="N1364" s="2">
        <f xml:space="preserve"> (Table1[[#This Row],[Variance (USD)]] / Table1[[#This Row],[Actual Spending (USD)]]) * 100</f>
        <v>-38.64565139193283</v>
      </c>
      <c r="O1364" s="5" t="s">
        <v>3897</v>
      </c>
    </row>
    <row r="1365" spans="1:15" x14ac:dyDescent="0.25">
      <c r="A1365" s="4" t="s">
        <v>1378</v>
      </c>
      <c r="B1365" s="2" t="s">
        <v>3616</v>
      </c>
      <c r="C1365" s="2" t="s">
        <v>3870</v>
      </c>
      <c r="D1365" s="2" t="s">
        <v>3882</v>
      </c>
      <c r="E1365" s="3">
        <v>45620</v>
      </c>
      <c r="F1365" s="3">
        <v>45832</v>
      </c>
      <c r="G1365" s="2" t="s">
        <v>3886</v>
      </c>
      <c r="H1365" s="2">
        <v>379669</v>
      </c>
      <c r="I1365" s="2">
        <v>885685</v>
      </c>
      <c r="J1365" s="2" t="s">
        <v>3891</v>
      </c>
      <c r="K1365" s="2" t="s">
        <v>3895</v>
      </c>
      <c r="L1365" s="2">
        <v>2023</v>
      </c>
      <c r="M1365" s="2">
        <v>-506016</v>
      </c>
      <c r="N1365" s="2">
        <f xml:space="preserve"> (Table1[[#This Row],[Variance (USD)]] / Table1[[#This Row],[Actual Spending (USD)]]) * 100</f>
        <v>-57.13272777567645</v>
      </c>
      <c r="O1365" s="5" t="s">
        <v>3899</v>
      </c>
    </row>
    <row r="1366" spans="1:15" x14ac:dyDescent="0.25">
      <c r="A1366" s="4" t="s">
        <v>1379</v>
      </c>
      <c r="B1366" s="2" t="s">
        <v>3130</v>
      </c>
      <c r="C1366" s="2" t="s">
        <v>3871</v>
      </c>
      <c r="D1366" s="2" t="s">
        <v>3877</v>
      </c>
      <c r="E1366" s="3">
        <v>45051</v>
      </c>
      <c r="F1366" s="3">
        <v>45313</v>
      </c>
      <c r="G1366" s="2" t="s">
        <v>3885</v>
      </c>
      <c r="H1366" s="2">
        <v>673536</v>
      </c>
      <c r="I1366" s="2">
        <v>897186</v>
      </c>
      <c r="J1366" s="2" t="s">
        <v>3889</v>
      </c>
      <c r="K1366" s="2" t="s">
        <v>3895</v>
      </c>
      <c r="L1366" s="2">
        <v>2023</v>
      </c>
      <c r="M1366" s="2">
        <v>-223650</v>
      </c>
      <c r="N1366" s="2">
        <f xml:space="preserve"> (Table1[[#This Row],[Variance (USD)]] / Table1[[#This Row],[Actual Spending (USD)]]) * 100</f>
        <v>-24.927941363329342</v>
      </c>
      <c r="O1366" s="5" t="s">
        <v>3898</v>
      </c>
    </row>
    <row r="1367" spans="1:15" x14ac:dyDescent="0.25">
      <c r="A1367" s="4" t="s">
        <v>1380</v>
      </c>
      <c r="B1367" s="2" t="s">
        <v>3129</v>
      </c>
      <c r="C1367" s="2" t="s">
        <v>3868</v>
      </c>
      <c r="D1367" s="2" t="s">
        <v>3881</v>
      </c>
      <c r="E1367" s="3">
        <v>44993</v>
      </c>
      <c r="F1367" s="3">
        <v>45851</v>
      </c>
      <c r="G1367" s="2" t="s">
        <v>3884</v>
      </c>
      <c r="H1367" s="2">
        <v>598892</v>
      </c>
      <c r="I1367" s="2">
        <v>383082</v>
      </c>
      <c r="J1367" s="2" t="s">
        <v>3890</v>
      </c>
      <c r="K1367" s="2" t="s">
        <v>3896</v>
      </c>
      <c r="L1367" s="2">
        <v>2023</v>
      </c>
      <c r="M1367" s="2">
        <v>215810</v>
      </c>
      <c r="N1367" s="2">
        <f xml:space="preserve"> (Table1[[#This Row],[Variance (USD)]] / Table1[[#This Row],[Actual Spending (USD)]]) * 100</f>
        <v>56.335197164053653</v>
      </c>
      <c r="O1367" s="5" t="s">
        <v>3897</v>
      </c>
    </row>
    <row r="1368" spans="1:15" x14ac:dyDescent="0.25">
      <c r="A1368" s="4" t="s">
        <v>1381</v>
      </c>
      <c r="B1368" s="2" t="s">
        <v>3136</v>
      </c>
      <c r="C1368" s="2" t="s">
        <v>3869</v>
      </c>
      <c r="D1368" s="2" t="s">
        <v>3877</v>
      </c>
      <c r="E1368" s="3">
        <v>44932</v>
      </c>
      <c r="F1368" s="3">
        <v>45808</v>
      </c>
      <c r="G1368" s="2" t="s">
        <v>3884</v>
      </c>
      <c r="H1368" s="2">
        <v>953017</v>
      </c>
      <c r="I1368" s="2">
        <v>406140</v>
      </c>
      <c r="J1368" s="2" t="s">
        <v>3892</v>
      </c>
      <c r="K1368" s="2" t="s">
        <v>3895</v>
      </c>
      <c r="L1368" s="2">
        <v>2024</v>
      </c>
      <c r="M1368" s="2">
        <v>546877</v>
      </c>
      <c r="N1368" s="2">
        <f xml:space="preserve"> (Table1[[#This Row],[Variance (USD)]] / Table1[[#This Row],[Actual Spending (USD)]]) * 100</f>
        <v>134.65233663268822</v>
      </c>
      <c r="O1368" s="5" t="s">
        <v>3897</v>
      </c>
    </row>
    <row r="1369" spans="1:15" x14ac:dyDescent="0.25">
      <c r="A1369" s="4" t="s">
        <v>1382</v>
      </c>
      <c r="B1369" s="2" t="s">
        <v>3673</v>
      </c>
      <c r="C1369" s="2" t="s">
        <v>3873</v>
      </c>
      <c r="D1369" s="2" t="s">
        <v>3878</v>
      </c>
      <c r="E1369" s="3">
        <v>45563</v>
      </c>
      <c r="F1369" s="3">
        <v>45966</v>
      </c>
      <c r="G1369" s="2" t="s">
        <v>3884</v>
      </c>
      <c r="H1369" s="2">
        <v>989639</v>
      </c>
      <c r="I1369" s="2">
        <v>1139897</v>
      </c>
      <c r="J1369" s="2" t="s">
        <v>3891</v>
      </c>
      <c r="K1369" s="2" t="s">
        <v>3893</v>
      </c>
      <c r="L1369" s="2">
        <v>2023</v>
      </c>
      <c r="M1369" s="2">
        <v>-150258</v>
      </c>
      <c r="N1369" s="2">
        <f xml:space="preserve"> (Table1[[#This Row],[Variance (USD)]] / Table1[[#This Row],[Actual Spending (USD)]]) * 100</f>
        <v>-13.181717295510035</v>
      </c>
      <c r="O1369" s="5" t="s">
        <v>3897</v>
      </c>
    </row>
    <row r="1370" spans="1:15" x14ac:dyDescent="0.25">
      <c r="A1370" s="4" t="s">
        <v>1383</v>
      </c>
      <c r="B1370" s="2" t="s">
        <v>3129</v>
      </c>
      <c r="C1370" s="2" t="s">
        <v>3869</v>
      </c>
      <c r="D1370" s="2" t="s">
        <v>3877</v>
      </c>
      <c r="E1370" s="3">
        <v>45240</v>
      </c>
      <c r="F1370" s="3">
        <v>45794</v>
      </c>
      <c r="G1370" s="2" t="s">
        <v>3884</v>
      </c>
      <c r="H1370" s="2">
        <v>743278</v>
      </c>
      <c r="I1370" s="2">
        <v>565814</v>
      </c>
      <c r="J1370" s="2" t="s">
        <v>3888</v>
      </c>
      <c r="K1370" s="2" t="s">
        <v>3896</v>
      </c>
      <c r="L1370" s="2">
        <v>2024</v>
      </c>
      <c r="M1370" s="2">
        <v>177464</v>
      </c>
      <c r="N1370" s="2">
        <f xml:space="preserve"> (Table1[[#This Row],[Variance (USD)]] / Table1[[#This Row],[Actual Spending (USD)]]) * 100</f>
        <v>31.364370623561804</v>
      </c>
      <c r="O1370" s="5" t="s">
        <v>3897</v>
      </c>
    </row>
    <row r="1371" spans="1:15" x14ac:dyDescent="0.25">
      <c r="A1371" s="4" t="s">
        <v>1384</v>
      </c>
      <c r="B1371" s="2" t="s">
        <v>3395</v>
      </c>
      <c r="C1371" s="2" t="s">
        <v>3872</v>
      </c>
      <c r="D1371" s="2" t="s">
        <v>3877</v>
      </c>
      <c r="E1371" s="3">
        <v>45252</v>
      </c>
      <c r="F1371" s="3">
        <v>46005</v>
      </c>
      <c r="G1371" s="2" t="s">
        <v>3885</v>
      </c>
      <c r="H1371" s="2">
        <v>179716</v>
      </c>
      <c r="I1371" s="2">
        <v>793871</v>
      </c>
      <c r="J1371" s="2" t="s">
        <v>3891</v>
      </c>
      <c r="K1371" s="2" t="s">
        <v>3895</v>
      </c>
      <c r="L1371" s="2">
        <v>2024</v>
      </c>
      <c r="M1371" s="2">
        <v>-614155</v>
      </c>
      <c r="N1371" s="2">
        <f xml:space="preserve"> (Table1[[#This Row],[Variance (USD)]] / Table1[[#This Row],[Actual Spending (USD)]]) * 100</f>
        <v>-77.362065121411419</v>
      </c>
      <c r="O1371" s="5" t="s">
        <v>3898</v>
      </c>
    </row>
    <row r="1372" spans="1:15" x14ac:dyDescent="0.25">
      <c r="A1372" s="4" t="s">
        <v>1385</v>
      </c>
      <c r="B1372" s="2" t="s">
        <v>3697</v>
      </c>
      <c r="C1372" s="2" t="s">
        <v>3874</v>
      </c>
      <c r="D1372" s="2" t="s">
        <v>3879</v>
      </c>
      <c r="E1372" s="3">
        <v>45491</v>
      </c>
      <c r="F1372" s="3">
        <v>45758</v>
      </c>
      <c r="G1372" s="2" t="s">
        <v>3885</v>
      </c>
      <c r="H1372" s="2">
        <v>756209</v>
      </c>
      <c r="I1372" s="2">
        <v>514780</v>
      </c>
      <c r="J1372" s="2" t="s">
        <v>3890</v>
      </c>
      <c r="K1372" s="2" t="s">
        <v>3896</v>
      </c>
      <c r="L1372" s="2">
        <v>2023</v>
      </c>
      <c r="M1372" s="2">
        <v>241429</v>
      </c>
      <c r="N1372" s="2">
        <f xml:space="preserve"> (Table1[[#This Row],[Variance (USD)]] / Table1[[#This Row],[Actual Spending (USD)]]) * 100</f>
        <v>46.8994521931699</v>
      </c>
      <c r="O1372" s="5" t="s">
        <v>3898</v>
      </c>
    </row>
    <row r="1373" spans="1:15" x14ac:dyDescent="0.25">
      <c r="A1373" s="4" t="s">
        <v>1386</v>
      </c>
      <c r="B1373" s="2" t="s">
        <v>3698</v>
      </c>
      <c r="C1373" s="2" t="s">
        <v>3874</v>
      </c>
      <c r="D1373" s="2" t="s">
        <v>3882</v>
      </c>
      <c r="E1373" s="3">
        <v>45504</v>
      </c>
      <c r="F1373" s="3">
        <v>45392</v>
      </c>
      <c r="G1373" s="2" t="s">
        <v>3884</v>
      </c>
      <c r="H1373" s="2">
        <v>211919</v>
      </c>
      <c r="I1373" s="2">
        <v>137535</v>
      </c>
      <c r="J1373" s="2" t="s">
        <v>3892</v>
      </c>
      <c r="K1373" s="2" t="s">
        <v>3896</v>
      </c>
      <c r="L1373" s="2">
        <v>2023</v>
      </c>
      <c r="M1373" s="2">
        <v>74384</v>
      </c>
      <c r="N1373" s="2">
        <f xml:space="preserve"> (Table1[[#This Row],[Variance (USD)]] / Table1[[#This Row],[Actual Spending (USD)]]) * 100</f>
        <v>54.083687788562905</v>
      </c>
      <c r="O1373" s="5" t="s">
        <v>3897</v>
      </c>
    </row>
    <row r="1374" spans="1:15" x14ac:dyDescent="0.25">
      <c r="A1374" s="4" t="s">
        <v>1387</v>
      </c>
      <c r="B1374" s="2" t="s">
        <v>3371</v>
      </c>
      <c r="C1374" s="2" t="s">
        <v>3875</v>
      </c>
      <c r="D1374" s="2" t="s">
        <v>3876</v>
      </c>
      <c r="E1374" s="3">
        <v>45432</v>
      </c>
      <c r="F1374" s="3">
        <v>45874</v>
      </c>
      <c r="G1374" s="2" t="s">
        <v>3884</v>
      </c>
      <c r="H1374" s="2">
        <v>503925</v>
      </c>
      <c r="I1374" s="2">
        <v>45063</v>
      </c>
      <c r="J1374" s="2" t="s">
        <v>3891</v>
      </c>
      <c r="K1374" s="2" t="s">
        <v>3895</v>
      </c>
      <c r="L1374" s="2">
        <v>2023</v>
      </c>
      <c r="M1374" s="2">
        <v>458862</v>
      </c>
      <c r="N1374" s="2">
        <f xml:space="preserve"> (Table1[[#This Row],[Variance (USD)]] / Table1[[#This Row],[Actual Spending (USD)]]) * 100</f>
        <v>1018.2677584714734</v>
      </c>
      <c r="O1374" s="5" t="s">
        <v>3897</v>
      </c>
    </row>
    <row r="1375" spans="1:15" x14ac:dyDescent="0.25">
      <c r="A1375" s="4" t="s">
        <v>1388</v>
      </c>
      <c r="B1375" s="2" t="s">
        <v>3245</v>
      </c>
      <c r="C1375" s="2" t="s">
        <v>3875</v>
      </c>
      <c r="D1375" s="2" t="s">
        <v>3881</v>
      </c>
      <c r="E1375" s="3">
        <v>45008</v>
      </c>
      <c r="F1375" s="3">
        <v>45966</v>
      </c>
      <c r="G1375" s="2" t="s">
        <v>3884</v>
      </c>
      <c r="H1375" s="2">
        <v>584968</v>
      </c>
      <c r="I1375" s="2">
        <v>1163522</v>
      </c>
      <c r="J1375" s="2" t="s">
        <v>3888</v>
      </c>
      <c r="K1375" s="2" t="s">
        <v>3895</v>
      </c>
      <c r="L1375" s="2">
        <v>2023</v>
      </c>
      <c r="M1375" s="2">
        <v>-578554</v>
      </c>
      <c r="N1375" s="2">
        <f xml:space="preserve"> (Table1[[#This Row],[Variance (USD)]] / Table1[[#This Row],[Actual Spending (USD)]]) * 100</f>
        <v>-49.724371348371584</v>
      </c>
      <c r="O1375" s="5" t="s">
        <v>3897</v>
      </c>
    </row>
    <row r="1376" spans="1:15" x14ac:dyDescent="0.25">
      <c r="A1376" s="4" t="s">
        <v>1389</v>
      </c>
      <c r="B1376" s="2" t="s">
        <v>3219</v>
      </c>
      <c r="C1376" s="2" t="s">
        <v>3875</v>
      </c>
      <c r="D1376" s="2" t="s">
        <v>3876</v>
      </c>
      <c r="E1376" s="3">
        <v>45525</v>
      </c>
      <c r="F1376" s="3">
        <v>45976</v>
      </c>
      <c r="G1376" s="2" t="s">
        <v>3884</v>
      </c>
      <c r="H1376" s="2">
        <v>687796</v>
      </c>
      <c r="I1376" s="2">
        <v>643206</v>
      </c>
      <c r="J1376" s="2" t="s">
        <v>3891</v>
      </c>
      <c r="K1376" s="2" t="s">
        <v>3895</v>
      </c>
      <c r="L1376" s="2">
        <v>2023</v>
      </c>
      <c r="M1376" s="2">
        <v>44590</v>
      </c>
      <c r="N1376" s="2">
        <f xml:space="preserve"> (Table1[[#This Row],[Variance (USD)]] / Table1[[#This Row],[Actual Spending (USD)]]) * 100</f>
        <v>6.9324602071498083</v>
      </c>
      <c r="O1376" s="5" t="s">
        <v>3897</v>
      </c>
    </row>
    <row r="1377" spans="1:15" x14ac:dyDescent="0.25">
      <c r="A1377" s="4" t="s">
        <v>1390</v>
      </c>
      <c r="B1377" s="2" t="s">
        <v>3589</v>
      </c>
      <c r="C1377" s="2" t="s">
        <v>3869</v>
      </c>
      <c r="D1377" s="2" t="s">
        <v>3879</v>
      </c>
      <c r="E1377" s="3">
        <v>44928</v>
      </c>
      <c r="F1377" s="3">
        <v>45432</v>
      </c>
      <c r="G1377" s="2" t="s">
        <v>3886</v>
      </c>
      <c r="H1377" s="2">
        <v>145619</v>
      </c>
      <c r="I1377" s="2">
        <v>1102231</v>
      </c>
      <c r="J1377" s="2" t="s">
        <v>3892</v>
      </c>
      <c r="K1377" s="2" t="s">
        <v>3896</v>
      </c>
      <c r="L1377" s="2">
        <v>2023</v>
      </c>
      <c r="M1377" s="2">
        <v>-956612</v>
      </c>
      <c r="N1377" s="2">
        <f xml:space="preserve"> (Table1[[#This Row],[Variance (USD)]] / Table1[[#This Row],[Actual Spending (USD)]]) * 100</f>
        <v>-86.788704001248377</v>
      </c>
      <c r="O1377" s="5" t="s">
        <v>3899</v>
      </c>
    </row>
    <row r="1378" spans="1:15" x14ac:dyDescent="0.25">
      <c r="A1378" s="4" t="s">
        <v>1391</v>
      </c>
      <c r="B1378" s="2" t="s">
        <v>3699</v>
      </c>
      <c r="C1378" s="2" t="s">
        <v>3871</v>
      </c>
      <c r="D1378" s="2" t="s">
        <v>3879</v>
      </c>
      <c r="E1378" s="3">
        <v>45130</v>
      </c>
      <c r="F1378" s="3">
        <v>45429</v>
      </c>
      <c r="G1378" s="2" t="s">
        <v>3884</v>
      </c>
      <c r="H1378" s="2">
        <v>105037</v>
      </c>
      <c r="I1378" s="2">
        <v>173659</v>
      </c>
      <c r="J1378" s="2" t="s">
        <v>3891</v>
      </c>
      <c r="K1378" s="2" t="s">
        <v>3893</v>
      </c>
      <c r="L1378" s="2">
        <v>2023</v>
      </c>
      <c r="M1378" s="2">
        <v>-68622</v>
      </c>
      <c r="N1378" s="2">
        <f xml:space="preserve"> (Table1[[#This Row],[Variance (USD)]] / Table1[[#This Row],[Actual Spending (USD)]]) * 100</f>
        <v>-39.515372079765513</v>
      </c>
      <c r="O1378" s="5" t="s">
        <v>3897</v>
      </c>
    </row>
    <row r="1379" spans="1:15" x14ac:dyDescent="0.25">
      <c r="A1379" s="4" t="s">
        <v>1392</v>
      </c>
      <c r="B1379" s="2" t="s">
        <v>3700</v>
      </c>
      <c r="C1379" s="2" t="s">
        <v>3873</v>
      </c>
      <c r="D1379" s="2" t="s">
        <v>3877</v>
      </c>
      <c r="E1379" s="3">
        <v>45588</v>
      </c>
      <c r="F1379" s="3">
        <v>45869</v>
      </c>
      <c r="G1379" s="2" t="s">
        <v>3884</v>
      </c>
      <c r="H1379" s="2">
        <v>674257</v>
      </c>
      <c r="I1379" s="2">
        <v>582359</v>
      </c>
      <c r="J1379" s="2" t="s">
        <v>3888</v>
      </c>
      <c r="K1379" s="2" t="s">
        <v>3893</v>
      </c>
      <c r="L1379" s="2">
        <v>2024</v>
      </c>
      <c r="M1379" s="2">
        <v>91898</v>
      </c>
      <c r="N1379" s="2">
        <f xml:space="preserve"> (Table1[[#This Row],[Variance (USD)]] / Table1[[#This Row],[Actual Spending (USD)]]) * 100</f>
        <v>15.780300467580993</v>
      </c>
      <c r="O1379" s="5" t="s">
        <v>3897</v>
      </c>
    </row>
    <row r="1380" spans="1:15" x14ac:dyDescent="0.25">
      <c r="A1380" s="4" t="s">
        <v>1393</v>
      </c>
      <c r="B1380" s="2" t="s">
        <v>3701</v>
      </c>
      <c r="C1380" s="2" t="s">
        <v>3875</v>
      </c>
      <c r="D1380" s="2" t="s">
        <v>3883</v>
      </c>
      <c r="E1380" s="3">
        <v>45330</v>
      </c>
      <c r="F1380" s="3">
        <v>46001</v>
      </c>
      <c r="G1380" s="2" t="s">
        <v>3884</v>
      </c>
      <c r="H1380" s="2">
        <v>161115</v>
      </c>
      <c r="I1380" s="2">
        <v>556491</v>
      </c>
      <c r="J1380" s="2" t="s">
        <v>3892</v>
      </c>
      <c r="K1380" s="2" t="s">
        <v>3894</v>
      </c>
      <c r="L1380" s="2">
        <v>2025</v>
      </c>
      <c r="M1380" s="2">
        <v>-395376</v>
      </c>
      <c r="N1380" s="2">
        <f xml:space="preserve"> (Table1[[#This Row],[Variance (USD)]] / Table1[[#This Row],[Actual Spending (USD)]]) * 100</f>
        <v>-71.04804929459776</v>
      </c>
      <c r="O1380" s="5" t="s">
        <v>3897</v>
      </c>
    </row>
    <row r="1381" spans="1:15" x14ac:dyDescent="0.25">
      <c r="A1381" s="4" t="s">
        <v>1394</v>
      </c>
      <c r="B1381" s="2" t="s">
        <v>3626</v>
      </c>
      <c r="C1381" s="2" t="s">
        <v>3872</v>
      </c>
      <c r="D1381" s="2" t="s">
        <v>3882</v>
      </c>
      <c r="E1381" s="3">
        <v>45029</v>
      </c>
      <c r="F1381" s="3">
        <v>45519</v>
      </c>
      <c r="G1381" s="2" t="s">
        <v>3884</v>
      </c>
      <c r="H1381" s="2">
        <v>108914</v>
      </c>
      <c r="I1381" s="2">
        <v>46944</v>
      </c>
      <c r="J1381" s="2" t="s">
        <v>3890</v>
      </c>
      <c r="K1381" s="2" t="s">
        <v>3895</v>
      </c>
      <c r="L1381" s="2">
        <v>2024</v>
      </c>
      <c r="M1381" s="2">
        <v>61970</v>
      </c>
      <c r="N1381" s="2">
        <f xml:space="preserve"> (Table1[[#This Row],[Variance (USD)]] / Table1[[#This Row],[Actual Spending (USD)]]) * 100</f>
        <v>132.00835037491478</v>
      </c>
      <c r="O1381" s="5" t="s">
        <v>3897</v>
      </c>
    </row>
    <row r="1382" spans="1:15" x14ac:dyDescent="0.25">
      <c r="A1382" s="4" t="s">
        <v>1395</v>
      </c>
      <c r="B1382" s="2" t="s">
        <v>3360</v>
      </c>
      <c r="C1382" s="2" t="s">
        <v>3872</v>
      </c>
      <c r="D1382" s="2" t="s">
        <v>3880</v>
      </c>
      <c r="E1382" s="3">
        <v>45462</v>
      </c>
      <c r="F1382" s="3">
        <v>45572</v>
      </c>
      <c r="G1382" s="2" t="s">
        <v>3886</v>
      </c>
      <c r="H1382" s="2">
        <v>731669</v>
      </c>
      <c r="I1382" s="2">
        <v>229741</v>
      </c>
      <c r="J1382" s="2" t="s">
        <v>3890</v>
      </c>
      <c r="K1382" s="2" t="s">
        <v>3893</v>
      </c>
      <c r="L1382" s="2">
        <v>2023</v>
      </c>
      <c r="M1382" s="2">
        <v>501928</v>
      </c>
      <c r="N1382" s="2">
        <f xml:space="preserve"> (Table1[[#This Row],[Variance (USD)]] / Table1[[#This Row],[Actual Spending (USD)]]) * 100</f>
        <v>218.47558772704915</v>
      </c>
      <c r="O1382" s="5" t="s">
        <v>3899</v>
      </c>
    </row>
    <row r="1383" spans="1:15" x14ac:dyDescent="0.25">
      <c r="A1383" s="4" t="s">
        <v>1396</v>
      </c>
      <c r="B1383" s="2" t="s">
        <v>3212</v>
      </c>
      <c r="C1383" s="2" t="s">
        <v>3875</v>
      </c>
      <c r="D1383" s="2" t="s">
        <v>3882</v>
      </c>
      <c r="E1383" s="3">
        <v>45294</v>
      </c>
      <c r="F1383" s="3">
        <v>45975</v>
      </c>
      <c r="G1383" s="2" t="s">
        <v>3884</v>
      </c>
      <c r="H1383" s="2">
        <v>157255</v>
      </c>
      <c r="I1383" s="2">
        <v>98947</v>
      </c>
      <c r="J1383" s="2" t="s">
        <v>3889</v>
      </c>
      <c r="K1383" s="2" t="s">
        <v>3894</v>
      </c>
      <c r="L1383" s="2">
        <v>2025</v>
      </c>
      <c r="M1383" s="2">
        <v>58308</v>
      </c>
      <c r="N1383" s="2">
        <f xml:space="preserve"> (Table1[[#This Row],[Variance (USD)]] / Table1[[#This Row],[Actual Spending (USD)]]) * 100</f>
        <v>58.928517287032456</v>
      </c>
      <c r="O1383" s="5" t="s">
        <v>3897</v>
      </c>
    </row>
    <row r="1384" spans="1:15" x14ac:dyDescent="0.25">
      <c r="A1384" s="4" t="s">
        <v>1397</v>
      </c>
      <c r="B1384" s="2" t="s">
        <v>3431</v>
      </c>
      <c r="C1384" s="2" t="s">
        <v>3874</v>
      </c>
      <c r="D1384" s="2" t="s">
        <v>3880</v>
      </c>
      <c r="E1384" s="3">
        <v>45138</v>
      </c>
      <c r="F1384" s="3">
        <v>45722</v>
      </c>
      <c r="G1384" s="2" t="s">
        <v>3887</v>
      </c>
      <c r="H1384" s="2">
        <v>584637</v>
      </c>
      <c r="I1384" s="2">
        <v>65191</v>
      </c>
      <c r="J1384" s="2" t="s">
        <v>3891</v>
      </c>
      <c r="K1384" s="2" t="s">
        <v>3894</v>
      </c>
      <c r="L1384" s="2">
        <v>2025</v>
      </c>
      <c r="M1384" s="2">
        <v>519446</v>
      </c>
      <c r="N1384" s="2">
        <f xml:space="preserve"> (Table1[[#This Row],[Variance (USD)]] / Table1[[#This Row],[Actual Spending (USD)]]) * 100</f>
        <v>796.80630761914995</v>
      </c>
      <c r="O1384" s="5" t="s">
        <v>3900</v>
      </c>
    </row>
    <row r="1385" spans="1:15" x14ac:dyDescent="0.25">
      <c r="A1385" s="4" t="s">
        <v>1398</v>
      </c>
      <c r="B1385" s="2" t="s">
        <v>3269</v>
      </c>
      <c r="C1385" s="2" t="s">
        <v>3875</v>
      </c>
      <c r="D1385" s="2" t="s">
        <v>3877</v>
      </c>
      <c r="E1385" s="3">
        <v>45503</v>
      </c>
      <c r="F1385" s="3">
        <v>45331</v>
      </c>
      <c r="G1385" s="2" t="s">
        <v>3885</v>
      </c>
      <c r="H1385" s="2">
        <v>518295</v>
      </c>
      <c r="I1385" s="2">
        <v>277129</v>
      </c>
      <c r="J1385" s="2" t="s">
        <v>3888</v>
      </c>
      <c r="K1385" s="2" t="s">
        <v>3895</v>
      </c>
      <c r="L1385" s="2">
        <v>2023</v>
      </c>
      <c r="M1385" s="2">
        <v>241166</v>
      </c>
      <c r="N1385" s="2">
        <f xml:space="preserve"> (Table1[[#This Row],[Variance (USD)]] / Table1[[#This Row],[Actual Spending (USD)]]) * 100</f>
        <v>87.023010944361658</v>
      </c>
      <c r="O1385" s="5" t="s">
        <v>3898</v>
      </c>
    </row>
    <row r="1386" spans="1:15" x14ac:dyDescent="0.25">
      <c r="A1386" s="4" t="s">
        <v>1399</v>
      </c>
      <c r="B1386" s="2" t="s">
        <v>3702</v>
      </c>
      <c r="C1386" s="2" t="s">
        <v>3873</v>
      </c>
      <c r="D1386" s="2" t="s">
        <v>3880</v>
      </c>
      <c r="E1386" s="3">
        <v>45135</v>
      </c>
      <c r="F1386" s="3">
        <v>45810</v>
      </c>
      <c r="G1386" s="2" t="s">
        <v>3884</v>
      </c>
      <c r="H1386" s="2">
        <v>504036</v>
      </c>
      <c r="I1386" s="2">
        <v>102264</v>
      </c>
      <c r="J1386" s="2" t="s">
        <v>3891</v>
      </c>
      <c r="K1386" s="2" t="s">
        <v>3894</v>
      </c>
      <c r="L1386" s="2">
        <v>2023</v>
      </c>
      <c r="M1386" s="2">
        <v>401772</v>
      </c>
      <c r="N1386" s="2">
        <f xml:space="preserve"> (Table1[[#This Row],[Variance (USD)]] / Table1[[#This Row],[Actual Spending (USD)]]) * 100</f>
        <v>392.87725885942268</v>
      </c>
      <c r="O1386" s="5" t="s">
        <v>3897</v>
      </c>
    </row>
    <row r="1387" spans="1:15" x14ac:dyDescent="0.25">
      <c r="A1387" s="4" t="s">
        <v>1400</v>
      </c>
      <c r="B1387" s="2" t="s">
        <v>3288</v>
      </c>
      <c r="C1387" s="2" t="s">
        <v>3875</v>
      </c>
      <c r="D1387" s="2" t="s">
        <v>3879</v>
      </c>
      <c r="E1387" s="3">
        <v>45043</v>
      </c>
      <c r="F1387" s="3">
        <v>45977</v>
      </c>
      <c r="G1387" s="2" t="s">
        <v>3884</v>
      </c>
      <c r="H1387" s="2">
        <v>256068</v>
      </c>
      <c r="I1387" s="2">
        <v>218996</v>
      </c>
      <c r="J1387" s="2" t="s">
        <v>3892</v>
      </c>
      <c r="K1387" s="2" t="s">
        <v>3893</v>
      </c>
      <c r="L1387" s="2">
        <v>2024</v>
      </c>
      <c r="M1387" s="2">
        <v>37072</v>
      </c>
      <c r="N1387" s="2">
        <f xml:space="preserve"> (Table1[[#This Row],[Variance (USD)]] / Table1[[#This Row],[Actual Spending (USD)]]) * 100</f>
        <v>16.928163071471623</v>
      </c>
      <c r="O1387" s="5" t="s">
        <v>3897</v>
      </c>
    </row>
    <row r="1388" spans="1:15" x14ac:dyDescent="0.25">
      <c r="A1388" s="4" t="s">
        <v>1401</v>
      </c>
      <c r="B1388" s="2" t="s">
        <v>3455</v>
      </c>
      <c r="C1388" s="2" t="s">
        <v>3873</v>
      </c>
      <c r="D1388" s="2" t="s">
        <v>3876</v>
      </c>
      <c r="E1388" s="3">
        <v>45554</v>
      </c>
      <c r="F1388" s="3">
        <v>45954</v>
      </c>
      <c r="G1388" s="2" t="s">
        <v>3885</v>
      </c>
      <c r="H1388" s="2">
        <v>602813</v>
      </c>
      <c r="I1388" s="2">
        <v>511633</v>
      </c>
      <c r="J1388" s="2" t="s">
        <v>3889</v>
      </c>
      <c r="K1388" s="2" t="s">
        <v>3894</v>
      </c>
      <c r="L1388" s="2">
        <v>2025</v>
      </c>
      <c r="M1388" s="2">
        <v>91180</v>
      </c>
      <c r="N1388" s="2">
        <f xml:space="preserve"> (Table1[[#This Row],[Variance (USD)]] / Table1[[#This Row],[Actual Spending (USD)]]) * 100</f>
        <v>17.821368050927131</v>
      </c>
      <c r="O1388" s="5" t="s">
        <v>3898</v>
      </c>
    </row>
    <row r="1389" spans="1:15" x14ac:dyDescent="0.25">
      <c r="A1389" s="4" t="s">
        <v>1402</v>
      </c>
      <c r="B1389" s="2" t="s">
        <v>3032</v>
      </c>
      <c r="C1389" s="2" t="s">
        <v>3872</v>
      </c>
      <c r="D1389" s="2" t="s">
        <v>3880</v>
      </c>
      <c r="E1389" s="3">
        <v>45404</v>
      </c>
      <c r="F1389" s="3">
        <v>45502</v>
      </c>
      <c r="G1389" s="2" t="s">
        <v>3885</v>
      </c>
      <c r="H1389" s="2">
        <v>318092</v>
      </c>
      <c r="I1389" s="2">
        <v>239409</v>
      </c>
      <c r="J1389" s="2" t="s">
        <v>3888</v>
      </c>
      <c r="K1389" s="2" t="s">
        <v>3894</v>
      </c>
      <c r="L1389" s="2">
        <v>2025</v>
      </c>
      <c r="M1389" s="2">
        <v>78683</v>
      </c>
      <c r="N1389" s="2">
        <f xml:space="preserve"> (Table1[[#This Row],[Variance (USD)]] / Table1[[#This Row],[Actual Spending (USD)]]) * 100</f>
        <v>32.865514663191441</v>
      </c>
      <c r="O1389" s="5" t="s">
        <v>3898</v>
      </c>
    </row>
    <row r="1390" spans="1:15" x14ac:dyDescent="0.25">
      <c r="A1390" s="4" t="s">
        <v>1403</v>
      </c>
      <c r="B1390" s="2" t="s">
        <v>3669</v>
      </c>
      <c r="C1390" s="2" t="s">
        <v>3875</v>
      </c>
      <c r="D1390" s="2" t="s">
        <v>3882</v>
      </c>
      <c r="E1390" s="3">
        <v>45031</v>
      </c>
      <c r="F1390" s="3">
        <v>45593</v>
      </c>
      <c r="G1390" s="2" t="s">
        <v>3885</v>
      </c>
      <c r="H1390" s="2">
        <v>588786</v>
      </c>
      <c r="I1390" s="2">
        <v>639251</v>
      </c>
      <c r="J1390" s="2" t="s">
        <v>3891</v>
      </c>
      <c r="K1390" s="2" t="s">
        <v>3893</v>
      </c>
      <c r="L1390" s="2">
        <v>2023</v>
      </c>
      <c r="M1390" s="2">
        <v>-50465</v>
      </c>
      <c r="N1390" s="2">
        <f xml:space="preserve"> (Table1[[#This Row],[Variance (USD)]] / Table1[[#This Row],[Actual Spending (USD)]]) * 100</f>
        <v>-7.8943951593349091</v>
      </c>
      <c r="O1390" s="5" t="s">
        <v>3898</v>
      </c>
    </row>
    <row r="1391" spans="1:15" x14ac:dyDescent="0.25">
      <c r="A1391" s="4" t="s">
        <v>1404</v>
      </c>
      <c r="B1391" s="2" t="s">
        <v>3542</v>
      </c>
      <c r="C1391" s="2" t="s">
        <v>3869</v>
      </c>
      <c r="D1391" s="2" t="s">
        <v>3881</v>
      </c>
      <c r="E1391" s="3">
        <v>45421</v>
      </c>
      <c r="F1391" s="3">
        <v>45377</v>
      </c>
      <c r="G1391" s="2" t="s">
        <v>3884</v>
      </c>
      <c r="H1391" s="2">
        <v>986495</v>
      </c>
      <c r="I1391" s="2">
        <v>167693</v>
      </c>
      <c r="J1391" s="2" t="s">
        <v>3888</v>
      </c>
      <c r="K1391" s="2" t="s">
        <v>3894</v>
      </c>
      <c r="L1391" s="2">
        <v>2023</v>
      </c>
      <c r="M1391" s="2">
        <v>818802</v>
      </c>
      <c r="N1391" s="2">
        <f xml:space="preserve"> (Table1[[#This Row],[Variance (USD)]] / Table1[[#This Row],[Actual Spending (USD)]]) * 100</f>
        <v>488.27440620657984</v>
      </c>
      <c r="O1391" s="5" t="s">
        <v>3897</v>
      </c>
    </row>
    <row r="1392" spans="1:15" x14ac:dyDescent="0.25">
      <c r="A1392" s="4" t="s">
        <v>1405</v>
      </c>
      <c r="B1392" s="2" t="s">
        <v>3703</v>
      </c>
      <c r="C1392" s="2" t="s">
        <v>3870</v>
      </c>
      <c r="D1392" s="2" t="s">
        <v>3877</v>
      </c>
      <c r="E1392" s="3">
        <v>44972</v>
      </c>
      <c r="F1392" s="3">
        <v>45688</v>
      </c>
      <c r="G1392" s="2" t="s">
        <v>3887</v>
      </c>
      <c r="H1392" s="2">
        <v>795870</v>
      </c>
      <c r="I1392" s="2">
        <v>252621</v>
      </c>
      <c r="J1392" s="2" t="s">
        <v>3892</v>
      </c>
      <c r="K1392" s="2" t="s">
        <v>3894</v>
      </c>
      <c r="L1392" s="2">
        <v>2025</v>
      </c>
      <c r="M1392" s="2">
        <v>543249</v>
      </c>
      <c r="N1392" s="2">
        <f xml:space="preserve"> (Table1[[#This Row],[Variance (USD)]] / Table1[[#This Row],[Actual Spending (USD)]]) * 100</f>
        <v>215.04506751220208</v>
      </c>
      <c r="O1392" s="5" t="s">
        <v>3900</v>
      </c>
    </row>
    <row r="1393" spans="1:15" x14ac:dyDescent="0.25">
      <c r="A1393" s="4" t="s">
        <v>1406</v>
      </c>
      <c r="B1393" s="2" t="s">
        <v>3438</v>
      </c>
      <c r="C1393" s="2" t="s">
        <v>3869</v>
      </c>
      <c r="D1393" s="2" t="s">
        <v>3883</v>
      </c>
      <c r="E1393" s="3">
        <v>45257</v>
      </c>
      <c r="F1393" s="3">
        <v>45544</v>
      </c>
      <c r="G1393" s="2" t="s">
        <v>3884</v>
      </c>
      <c r="H1393" s="2">
        <v>109790</v>
      </c>
      <c r="I1393" s="2">
        <v>1128314</v>
      </c>
      <c r="J1393" s="2" t="s">
        <v>3889</v>
      </c>
      <c r="K1393" s="2" t="s">
        <v>3896</v>
      </c>
      <c r="L1393" s="2">
        <v>2025</v>
      </c>
      <c r="M1393" s="2">
        <v>-1018524</v>
      </c>
      <c r="N1393" s="2">
        <f xml:space="preserve"> (Table1[[#This Row],[Variance (USD)]] / Table1[[#This Row],[Actual Spending (USD)]]) * 100</f>
        <v>-90.269552624535365</v>
      </c>
      <c r="O1393" s="5" t="s">
        <v>3897</v>
      </c>
    </row>
    <row r="1394" spans="1:15" x14ac:dyDescent="0.25">
      <c r="A1394" s="4" t="s">
        <v>1407</v>
      </c>
      <c r="B1394" s="2" t="s">
        <v>3543</v>
      </c>
      <c r="C1394" s="2" t="s">
        <v>3872</v>
      </c>
      <c r="D1394" s="2" t="s">
        <v>3877</v>
      </c>
      <c r="E1394" s="3">
        <v>45142</v>
      </c>
      <c r="F1394" s="3">
        <v>45824</v>
      </c>
      <c r="G1394" s="2" t="s">
        <v>3886</v>
      </c>
      <c r="H1394" s="2">
        <v>975164</v>
      </c>
      <c r="I1394" s="2">
        <v>218766</v>
      </c>
      <c r="J1394" s="2" t="s">
        <v>3888</v>
      </c>
      <c r="K1394" s="2" t="s">
        <v>3894</v>
      </c>
      <c r="L1394" s="2">
        <v>2023</v>
      </c>
      <c r="M1394" s="2">
        <v>756398</v>
      </c>
      <c r="N1394" s="2">
        <f xml:space="preserve"> (Table1[[#This Row],[Variance (USD)]] / Table1[[#This Row],[Actual Spending (USD)]]) * 100</f>
        <v>345.75665322764962</v>
      </c>
      <c r="O1394" s="5" t="s">
        <v>3899</v>
      </c>
    </row>
    <row r="1395" spans="1:15" x14ac:dyDescent="0.25">
      <c r="A1395" s="4" t="s">
        <v>1408</v>
      </c>
      <c r="B1395" s="2" t="s">
        <v>3080</v>
      </c>
      <c r="C1395" s="2" t="s">
        <v>3873</v>
      </c>
      <c r="D1395" s="2" t="s">
        <v>3878</v>
      </c>
      <c r="E1395" s="3">
        <v>45418</v>
      </c>
      <c r="F1395" s="3">
        <v>45672</v>
      </c>
      <c r="G1395" s="2" t="s">
        <v>3885</v>
      </c>
      <c r="H1395" s="2">
        <v>76245</v>
      </c>
      <c r="I1395" s="2">
        <v>168426</v>
      </c>
      <c r="J1395" s="2" t="s">
        <v>3892</v>
      </c>
      <c r="K1395" s="2" t="s">
        <v>3894</v>
      </c>
      <c r="L1395" s="2">
        <v>2023</v>
      </c>
      <c r="M1395" s="2">
        <v>-92181</v>
      </c>
      <c r="N1395" s="2">
        <f xml:space="preserve"> (Table1[[#This Row],[Variance (USD)]] / Table1[[#This Row],[Actual Spending (USD)]]) * 100</f>
        <v>-54.730861030957215</v>
      </c>
      <c r="O1395" s="5" t="s">
        <v>3898</v>
      </c>
    </row>
    <row r="1396" spans="1:15" x14ac:dyDescent="0.25">
      <c r="A1396" s="4" t="s">
        <v>1409</v>
      </c>
      <c r="B1396" s="2" t="s">
        <v>3340</v>
      </c>
      <c r="C1396" s="2" t="s">
        <v>3869</v>
      </c>
      <c r="D1396" s="2" t="s">
        <v>3877</v>
      </c>
      <c r="E1396" s="3">
        <v>45375</v>
      </c>
      <c r="F1396" s="3">
        <v>45735</v>
      </c>
      <c r="G1396" s="2" t="s">
        <v>3884</v>
      </c>
      <c r="H1396" s="2">
        <v>181310</v>
      </c>
      <c r="I1396" s="2">
        <v>919327</v>
      </c>
      <c r="J1396" s="2" t="s">
        <v>3890</v>
      </c>
      <c r="K1396" s="2" t="s">
        <v>3896</v>
      </c>
      <c r="L1396" s="2">
        <v>2023</v>
      </c>
      <c r="M1396" s="2">
        <v>-738017</v>
      </c>
      <c r="N1396" s="2">
        <f xml:space="preserve"> (Table1[[#This Row],[Variance (USD)]] / Table1[[#This Row],[Actual Spending (USD)]]) * 100</f>
        <v>-80.277964206424912</v>
      </c>
      <c r="O1396" s="5" t="s">
        <v>3897</v>
      </c>
    </row>
    <row r="1397" spans="1:15" x14ac:dyDescent="0.25">
      <c r="A1397" s="4" t="s">
        <v>1410</v>
      </c>
      <c r="B1397" s="2" t="s">
        <v>3641</v>
      </c>
      <c r="C1397" s="2" t="s">
        <v>3873</v>
      </c>
      <c r="D1397" s="2" t="s">
        <v>3879</v>
      </c>
      <c r="E1397" s="3">
        <v>45462</v>
      </c>
      <c r="F1397" s="3">
        <v>45324</v>
      </c>
      <c r="G1397" s="2" t="s">
        <v>3885</v>
      </c>
      <c r="H1397" s="2">
        <v>987424</v>
      </c>
      <c r="I1397" s="2">
        <v>249831</v>
      </c>
      <c r="J1397" s="2" t="s">
        <v>3888</v>
      </c>
      <c r="K1397" s="2" t="s">
        <v>3896</v>
      </c>
      <c r="L1397" s="2">
        <v>2024</v>
      </c>
      <c r="M1397" s="2">
        <v>737593</v>
      </c>
      <c r="N1397" s="2">
        <f xml:space="preserve"> (Table1[[#This Row],[Variance (USD)]] / Table1[[#This Row],[Actual Spending (USD)]]) * 100</f>
        <v>295.23678006332278</v>
      </c>
      <c r="O1397" s="5" t="s">
        <v>3898</v>
      </c>
    </row>
    <row r="1398" spans="1:15" x14ac:dyDescent="0.25">
      <c r="A1398" s="4" t="s">
        <v>1411</v>
      </c>
      <c r="B1398" s="2" t="s">
        <v>3490</v>
      </c>
      <c r="C1398" s="2" t="s">
        <v>3869</v>
      </c>
      <c r="D1398" s="2" t="s">
        <v>3876</v>
      </c>
      <c r="E1398" s="3">
        <v>45437</v>
      </c>
      <c r="F1398" s="3">
        <v>45551</v>
      </c>
      <c r="G1398" s="2" t="s">
        <v>3884</v>
      </c>
      <c r="H1398" s="2">
        <v>96659</v>
      </c>
      <c r="I1398" s="2">
        <v>154750</v>
      </c>
      <c r="J1398" s="2" t="s">
        <v>3889</v>
      </c>
      <c r="K1398" s="2" t="s">
        <v>3896</v>
      </c>
      <c r="L1398" s="2">
        <v>2024</v>
      </c>
      <c r="M1398" s="2">
        <v>-58091</v>
      </c>
      <c r="N1398" s="2">
        <f xml:space="preserve"> (Table1[[#This Row],[Variance (USD)]] / Table1[[#This Row],[Actual Spending (USD)]]) * 100</f>
        <v>-37.538610662358643</v>
      </c>
      <c r="O1398" s="5" t="s">
        <v>3897</v>
      </c>
    </row>
    <row r="1399" spans="1:15" x14ac:dyDescent="0.25">
      <c r="A1399" s="4" t="s">
        <v>1412</v>
      </c>
      <c r="B1399" s="2" t="s">
        <v>3171</v>
      </c>
      <c r="C1399" s="2" t="s">
        <v>3869</v>
      </c>
      <c r="D1399" s="2" t="s">
        <v>3876</v>
      </c>
      <c r="E1399" s="3">
        <v>45384</v>
      </c>
      <c r="F1399" s="3">
        <v>45525</v>
      </c>
      <c r="G1399" s="2" t="s">
        <v>3887</v>
      </c>
      <c r="H1399" s="2">
        <v>561765</v>
      </c>
      <c r="I1399" s="2">
        <v>988736</v>
      </c>
      <c r="J1399" s="2" t="s">
        <v>3888</v>
      </c>
      <c r="K1399" s="2" t="s">
        <v>3895</v>
      </c>
      <c r="L1399" s="2">
        <v>2023</v>
      </c>
      <c r="M1399" s="2">
        <v>-426971</v>
      </c>
      <c r="N1399" s="2">
        <f xml:space="preserve"> (Table1[[#This Row],[Variance (USD)]] / Table1[[#This Row],[Actual Spending (USD)]]) * 100</f>
        <v>-43.183519159816171</v>
      </c>
      <c r="O1399" s="5" t="s">
        <v>3900</v>
      </c>
    </row>
    <row r="1400" spans="1:15" x14ac:dyDescent="0.25">
      <c r="A1400" s="4" t="s">
        <v>1413</v>
      </c>
      <c r="B1400" s="2" t="s">
        <v>3704</v>
      </c>
      <c r="C1400" s="2" t="s">
        <v>3873</v>
      </c>
      <c r="D1400" s="2" t="s">
        <v>3881</v>
      </c>
      <c r="E1400" s="3">
        <v>45473</v>
      </c>
      <c r="F1400" s="3">
        <v>45806</v>
      </c>
      <c r="G1400" s="2" t="s">
        <v>3884</v>
      </c>
      <c r="H1400" s="2">
        <v>962415</v>
      </c>
      <c r="I1400" s="2">
        <v>881168</v>
      </c>
      <c r="J1400" s="2" t="s">
        <v>3888</v>
      </c>
      <c r="K1400" s="2" t="s">
        <v>3895</v>
      </c>
      <c r="L1400" s="2">
        <v>2024</v>
      </c>
      <c r="M1400" s="2">
        <v>81247</v>
      </c>
      <c r="N1400" s="2">
        <f xml:space="preserve"> (Table1[[#This Row],[Variance (USD)]] / Table1[[#This Row],[Actual Spending (USD)]]) * 100</f>
        <v>9.2203756831841375</v>
      </c>
      <c r="O1400" s="5" t="s">
        <v>3897</v>
      </c>
    </row>
    <row r="1401" spans="1:15" x14ac:dyDescent="0.25">
      <c r="A1401" s="4" t="s">
        <v>1414</v>
      </c>
      <c r="B1401" s="2" t="s">
        <v>3683</v>
      </c>
      <c r="C1401" s="2" t="s">
        <v>3871</v>
      </c>
      <c r="D1401" s="2" t="s">
        <v>3880</v>
      </c>
      <c r="E1401" s="3">
        <v>45462</v>
      </c>
      <c r="F1401" s="3">
        <v>45599</v>
      </c>
      <c r="G1401" s="2" t="s">
        <v>3887</v>
      </c>
      <c r="H1401" s="2">
        <v>649162</v>
      </c>
      <c r="I1401" s="2">
        <v>846700</v>
      </c>
      <c r="J1401" s="2" t="s">
        <v>3892</v>
      </c>
      <c r="K1401" s="2" t="s">
        <v>3893</v>
      </c>
      <c r="L1401" s="2">
        <v>2025</v>
      </c>
      <c r="M1401" s="2">
        <v>-197538</v>
      </c>
      <c r="N1401" s="2">
        <f xml:space="preserve"> (Table1[[#This Row],[Variance (USD)]] / Table1[[#This Row],[Actual Spending (USD)]]) * 100</f>
        <v>-23.33034132514468</v>
      </c>
      <c r="O1401" s="5" t="s">
        <v>3900</v>
      </c>
    </row>
    <row r="1402" spans="1:15" x14ac:dyDescent="0.25">
      <c r="A1402" s="4" t="s">
        <v>1415</v>
      </c>
      <c r="B1402" s="2" t="s">
        <v>3705</v>
      </c>
      <c r="C1402" s="2" t="s">
        <v>3869</v>
      </c>
      <c r="D1402" s="2" t="s">
        <v>3879</v>
      </c>
      <c r="E1402" s="3">
        <v>45466</v>
      </c>
      <c r="F1402" s="3">
        <v>45361</v>
      </c>
      <c r="G1402" s="2" t="s">
        <v>3884</v>
      </c>
      <c r="H1402" s="2">
        <v>354661</v>
      </c>
      <c r="I1402" s="2">
        <v>1074332</v>
      </c>
      <c r="J1402" s="2" t="s">
        <v>3891</v>
      </c>
      <c r="K1402" s="2" t="s">
        <v>3894</v>
      </c>
      <c r="L1402" s="2">
        <v>2025</v>
      </c>
      <c r="M1402" s="2">
        <v>-719671</v>
      </c>
      <c r="N1402" s="2">
        <f xml:space="preserve"> (Table1[[#This Row],[Variance (USD)]] / Table1[[#This Row],[Actual Spending (USD)]]) * 100</f>
        <v>-66.987765420745177</v>
      </c>
      <c r="O1402" s="5" t="s">
        <v>3897</v>
      </c>
    </row>
    <row r="1403" spans="1:15" x14ac:dyDescent="0.25">
      <c r="A1403" s="4" t="s">
        <v>1416</v>
      </c>
      <c r="B1403" s="2" t="s">
        <v>3640</v>
      </c>
      <c r="C1403" s="2" t="s">
        <v>3875</v>
      </c>
      <c r="D1403" s="2" t="s">
        <v>3878</v>
      </c>
      <c r="E1403" s="3">
        <v>45410</v>
      </c>
      <c r="F1403" s="3">
        <v>45745</v>
      </c>
      <c r="G1403" s="2" t="s">
        <v>3886</v>
      </c>
      <c r="H1403" s="2">
        <v>700906</v>
      </c>
      <c r="I1403" s="2">
        <v>535871</v>
      </c>
      <c r="J1403" s="2" t="s">
        <v>3891</v>
      </c>
      <c r="K1403" s="2" t="s">
        <v>3893</v>
      </c>
      <c r="L1403" s="2">
        <v>2023</v>
      </c>
      <c r="M1403" s="2">
        <v>165035</v>
      </c>
      <c r="N1403" s="2">
        <f xml:space="preserve"> (Table1[[#This Row],[Variance (USD)]] / Table1[[#This Row],[Actual Spending (USD)]]) * 100</f>
        <v>30.797524030970141</v>
      </c>
      <c r="O1403" s="5" t="s">
        <v>3899</v>
      </c>
    </row>
    <row r="1404" spans="1:15" x14ac:dyDescent="0.25">
      <c r="A1404" s="4" t="s">
        <v>1417</v>
      </c>
      <c r="B1404" s="2" t="s">
        <v>3683</v>
      </c>
      <c r="C1404" s="2" t="s">
        <v>3870</v>
      </c>
      <c r="D1404" s="2" t="s">
        <v>3879</v>
      </c>
      <c r="E1404" s="3">
        <v>44942</v>
      </c>
      <c r="F1404" s="3">
        <v>45730</v>
      </c>
      <c r="G1404" s="2" t="s">
        <v>3884</v>
      </c>
      <c r="H1404" s="2">
        <v>650173</v>
      </c>
      <c r="I1404" s="2">
        <v>689650</v>
      </c>
      <c r="J1404" s="2" t="s">
        <v>3888</v>
      </c>
      <c r="K1404" s="2" t="s">
        <v>3895</v>
      </c>
      <c r="L1404" s="2">
        <v>2025</v>
      </c>
      <c r="M1404" s="2">
        <v>-39477</v>
      </c>
      <c r="N1404" s="2">
        <f xml:space="preserve"> (Table1[[#This Row],[Variance (USD)]] / Table1[[#This Row],[Actual Spending (USD)]]) * 100</f>
        <v>-5.7242079315594863</v>
      </c>
      <c r="O1404" s="5" t="s">
        <v>3897</v>
      </c>
    </row>
    <row r="1405" spans="1:15" x14ac:dyDescent="0.25">
      <c r="A1405" s="4" t="s">
        <v>1418</v>
      </c>
      <c r="B1405" s="2" t="s">
        <v>3369</v>
      </c>
      <c r="C1405" s="2" t="s">
        <v>3872</v>
      </c>
      <c r="D1405" s="2" t="s">
        <v>3877</v>
      </c>
      <c r="E1405" s="3">
        <v>45497</v>
      </c>
      <c r="F1405" s="3">
        <v>45655</v>
      </c>
      <c r="G1405" s="2" t="s">
        <v>3884</v>
      </c>
      <c r="H1405" s="2">
        <v>620638</v>
      </c>
      <c r="I1405" s="2">
        <v>478250</v>
      </c>
      <c r="J1405" s="2" t="s">
        <v>3889</v>
      </c>
      <c r="K1405" s="2" t="s">
        <v>3894</v>
      </c>
      <c r="L1405" s="2">
        <v>2025</v>
      </c>
      <c r="M1405" s="2">
        <v>142388</v>
      </c>
      <c r="N1405" s="2">
        <f xml:space="preserve"> (Table1[[#This Row],[Variance (USD)]] / Table1[[#This Row],[Actual Spending (USD)]]) * 100</f>
        <v>29.772713016204914</v>
      </c>
      <c r="O1405" s="5" t="s">
        <v>3897</v>
      </c>
    </row>
    <row r="1406" spans="1:15" x14ac:dyDescent="0.25">
      <c r="A1406" s="4" t="s">
        <v>1419</v>
      </c>
      <c r="B1406" s="2" t="s">
        <v>3706</v>
      </c>
      <c r="C1406" s="2" t="s">
        <v>3871</v>
      </c>
      <c r="D1406" s="2" t="s">
        <v>3879</v>
      </c>
      <c r="E1406" s="3">
        <v>45169</v>
      </c>
      <c r="F1406" s="3">
        <v>45772</v>
      </c>
      <c r="G1406" s="2" t="s">
        <v>3884</v>
      </c>
      <c r="H1406" s="2">
        <v>913611</v>
      </c>
      <c r="I1406" s="2">
        <v>416794</v>
      </c>
      <c r="J1406" s="2" t="s">
        <v>3889</v>
      </c>
      <c r="K1406" s="2" t="s">
        <v>3894</v>
      </c>
      <c r="L1406" s="2">
        <v>2025</v>
      </c>
      <c r="M1406" s="2">
        <v>496817</v>
      </c>
      <c r="N1406" s="2">
        <f xml:space="preserve"> (Table1[[#This Row],[Variance (USD)]] / Table1[[#This Row],[Actual Spending (USD)]]) * 100</f>
        <v>119.19965258616966</v>
      </c>
      <c r="O1406" s="5" t="s">
        <v>3897</v>
      </c>
    </row>
    <row r="1407" spans="1:15" x14ac:dyDescent="0.25">
      <c r="A1407" s="4" t="s">
        <v>1420</v>
      </c>
      <c r="B1407" s="2" t="s">
        <v>3046</v>
      </c>
      <c r="C1407" s="2" t="s">
        <v>3873</v>
      </c>
      <c r="D1407" s="2" t="s">
        <v>3879</v>
      </c>
      <c r="E1407" s="3">
        <v>45133</v>
      </c>
      <c r="F1407" s="3">
        <v>45435</v>
      </c>
      <c r="G1407" s="2" t="s">
        <v>3886</v>
      </c>
      <c r="H1407" s="2">
        <v>828539</v>
      </c>
      <c r="I1407" s="2">
        <v>829864</v>
      </c>
      <c r="J1407" s="2" t="s">
        <v>3892</v>
      </c>
      <c r="K1407" s="2" t="s">
        <v>3896</v>
      </c>
      <c r="L1407" s="2">
        <v>2025</v>
      </c>
      <c r="M1407" s="2">
        <v>-1325</v>
      </c>
      <c r="N1407" s="2">
        <f xml:space="preserve"> (Table1[[#This Row],[Variance (USD)]] / Table1[[#This Row],[Actual Spending (USD)]]) * 100</f>
        <v>-0.15966471614626013</v>
      </c>
      <c r="O1407" s="5" t="s">
        <v>3899</v>
      </c>
    </row>
    <row r="1408" spans="1:15" x14ac:dyDescent="0.25">
      <c r="A1408" s="4" t="s">
        <v>1421</v>
      </c>
      <c r="B1408" s="2" t="s">
        <v>3707</v>
      </c>
      <c r="C1408" s="2" t="s">
        <v>3871</v>
      </c>
      <c r="D1408" s="2" t="s">
        <v>3881</v>
      </c>
      <c r="E1408" s="3">
        <v>45197</v>
      </c>
      <c r="F1408" s="3">
        <v>45315</v>
      </c>
      <c r="G1408" s="2" t="s">
        <v>3884</v>
      </c>
      <c r="H1408" s="2">
        <v>995778</v>
      </c>
      <c r="I1408" s="2">
        <v>88175</v>
      </c>
      <c r="J1408" s="2" t="s">
        <v>3888</v>
      </c>
      <c r="K1408" s="2" t="s">
        <v>3895</v>
      </c>
      <c r="L1408" s="2">
        <v>2025</v>
      </c>
      <c r="M1408" s="2">
        <v>907603</v>
      </c>
      <c r="N1408" s="2">
        <f xml:space="preserve"> (Table1[[#This Row],[Variance (USD)]] / Table1[[#This Row],[Actual Spending (USD)]]) * 100</f>
        <v>1029.3201020697477</v>
      </c>
      <c r="O1408" s="5" t="s">
        <v>3897</v>
      </c>
    </row>
    <row r="1409" spans="1:15" x14ac:dyDescent="0.25">
      <c r="A1409" s="4" t="s">
        <v>1422</v>
      </c>
      <c r="B1409" s="2" t="s">
        <v>3697</v>
      </c>
      <c r="C1409" s="2" t="s">
        <v>3868</v>
      </c>
      <c r="D1409" s="2" t="s">
        <v>3878</v>
      </c>
      <c r="E1409" s="3">
        <v>45631</v>
      </c>
      <c r="F1409" s="3">
        <v>45716</v>
      </c>
      <c r="G1409" s="2" t="s">
        <v>3886</v>
      </c>
      <c r="H1409" s="2">
        <v>357157</v>
      </c>
      <c r="I1409" s="2">
        <v>1111905</v>
      </c>
      <c r="J1409" s="2" t="s">
        <v>3888</v>
      </c>
      <c r="K1409" s="2" t="s">
        <v>3894</v>
      </c>
      <c r="L1409" s="2">
        <v>2024</v>
      </c>
      <c r="M1409" s="2">
        <v>-754748</v>
      </c>
      <c r="N1409" s="2">
        <f xml:space="preserve"> (Table1[[#This Row],[Variance (USD)]] / Table1[[#This Row],[Actual Spending (USD)]]) * 100</f>
        <v>-67.878820582693663</v>
      </c>
      <c r="O1409" s="5" t="s">
        <v>3899</v>
      </c>
    </row>
    <row r="1410" spans="1:15" x14ac:dyDescent="0.25">
      <c r="A1410" s="4" t="s">
        <v>1423</v>
      </c>
      <c r="B1410" s="2" t="s">
        <v>3505</v>
      </c>
      <c r="C1410" s="2" t="s">
        <v>3868</v>
      </c>
      <c r="D1410" s="2" t="s">
        <v>3877</v>
      </c>
      <c r="E1410" s="3">
        <v>45656</v>
      </c>
      <c r="F1410" s="3">
        <v>45466</v>
      </c>
      <c r="G1410" s="2" t="s">
        <v>3884</v>
      </c>
      <c r="H1410" s="2">
        <v>811563</v>
      </c>
      <c r="I1410" s="2">
        <v>457463</v>
      </c>
      <c r="J1410" s="2" t="s">
        <v>3891</v>
      </c>
      <c r="K1410" s="2" t="s">
        <v>3896</v>
      </c>
      <c r="L1410" s="2">
        <v>2024</v>
      </c>
      <c r="M1410" s="2">
        <v>354100</v>
      </c>
      <c r="N1410" s="2">
        <f xml:space="preserve"> (Table1[[#This Row],[Variance (USD)]] / Table1[[#This Row],[Actual Spending (USD)]]) * 100</f>
        <v>77.40516719384955</v>
      </c>
      <c r="O1410" s="5" t="s">
        <v>3897</v>
      </c>
    </row>
    <row r="1411" spans="1:15" x14ac:dyDescent="0.25">
      <c r="A1411" s="4" t="s">
        <v>1424</v>
      </c>
      <c r="B1411" s="2" t="s">
        <v>3708</v>
      </c>
      <c r="C1411" s="2" t="s">
        <v>3869</v>
      </c>
      <c r="D1411" s="2" t="s">
        <v>3883</v>
      </c>
      <c r="E1411" s="3">
        <v>45041</v>
      </c>
      <c r="F1411" s="3">
        <v>45616</v>
      </c>
      <c r="G1411" s="2" t="s">
        <v>3887</v>
      </c>
      <c r="H1411" s="2">
        <v>89913</v>
      </c>
      <c r="I1411" s="2">
        <v>298821</v>
      </c>
      <c r="J1411" s="2" t="s">
        <v>3892</v>
      </c>
      <c r="K1411" s="2" t="s">
        <v>3894</v>
      </c>
      <c r="L1411" s="2">
        <v>2023</v>
      </c>
      <c r="M1411" s="2">
        <v>-208908</v>
      </c>
      <c r="N1411" s="2">
        <f xml:space="preserve"> (Table1[[#This Row],[Variance (USD)]] / Table1[[#This Row],[Actual Spending (USD)]]) * 100</f>
        <v>-69.910749244531019</v>
      </c>
      <c r="O1411" s="5" t="s">
        <v>3900</v>
      </c>
    </row>
    <row r="1412" spans="1:15" x14ac:dyDescent="0.25">
      <c r="A1412" s="4" t="s">
        <v>1425</v>
      </c>
      <c r="B1412" s="2" t="s">
        <v>3161</v>
      </c>
      <c r="C1412" s="2" t="s">
        <v>3869</v>
      </c>
      <c r="D1412" s="2" t="s">
        <v>3881</v>
      </c>
      <c r="E1412" s="3">
        <v>45506</v>
      </c>
      <c r="F1412" s="3">
        <v>45962</v>
      </c>
      <c r="G1412" s="2" t="s">
        <v>3884</v>
      </c>
      <c r="H1412" s="2">
        <v>285237</v>
      </c>
      <c r="I1412" s="2">
        <v>1009314</v>
      </c>
      <c r="J1412" s="2" t="s">
        <v>3890</v>
      </c>
      <c r="K1412" s="2" t="s">
        <v>3895</v>
      </c>
      <c r="L1412" s="2">
        <v>2025</v>
      </c>
      <c r="M1412" s="2">
        <v>-724077</v>
      </c>
      <c r="N1412" s="2">
        <f xml:space="preserve"> (Table1[[#This Row],[Variance (USD)]] / Table1[[#This Row],[Actual Spending (USD)]]) * 100</f>
        <v>-71.739518128154373</v>
      </c>
      <c r="O1412" s="5" t="s">
        <v>3897</v>
      </c>
    </row>
    <row r="1413" spans="1:15" x14ac:dyDescent="0.25">
      <c r="A1413" s="4" t="s">
        <v>1426</v>
      </c>
      <c r="B1413" s="2" t="s">
        <v>3153</v>
      </c>
      <c r="C1413" s="2" t="s">
        <v>3875</v>
      </c>
      <c r="D1413" s="2" t="s">
        <v>3883</v>
      </c>
      <c r="E1413" s="3">
        <v>45225</v>
      </c>
      <c r="F1413" s="3">
        <v>45639</v>
      </c>
      <c r="G1413" s="2" t="s">
        <v>3884</v>
      </c>
      <c r="H1413" s="2">
        <v>357963</v>
      </c>
      <c r="I1413" s="2">
        <v>80357</v>
      </c>
      <c r="J1413" s="2" t="s">
        <v>3889</v>
      </c>
      <c r="K1413" s="2" t="s">
        <v>3893</v>
      </c>
      <c r="L1413" s="2">
        <v>2024</v>
      </c>
      <c r="M1413" s="2">
        <v>277606</v>
      </c>
      <c r="N1413" s="2">
        <f xml:space="preserve"> (Table1[[#This Row],[Variance (USD)]] / Table1[[#This Row],[Actual Spending (USD)]]) * 100</f>
        <v>345.46585860597088</v>
      </c>
      <c r="O1413" s="5" t="s">
        <v>3897</v>
      </c>
    </row>
    <row r="1414" spans="1:15" x14ac:dyDescent="0.25">
      <c r="A1414" s="4" t="s">
        <v>1427</v>
      </c>
      <c r="B1414" s="2" t="s">
        <v>3410</v>
      </c>
      <c r="C1414" s="2" t="s">
        <v>3870</v>
      </c>
      <c r="D1414" s="2" t="s">
        <v>3881</v>
      </c>
      <c r="E1414" s="3">
        <v>45409</v>
      </c>
      <c r="F1414" s="3">
        <v>45309</v>
      </c>
      <c r="G1414" s="2" t="s">
        <v>3884</v>
      </c>
      <c r="H1414" s="2">
        <v>132168</v>
      </c>
      <c r="I1414" s="2">
        <v>1134388</v>
      </c>
      <c r="J1414" s="2" t="s">
        <v>3889</v>
      </c>
      <c r="K1414" s="2" t="s">
        <v>3893</v>
      </c>
      <c r="L1414" s="2">
        <v>2024</v>
      </c>
      <c r="M1414" s="2">
        <v>-1002220</v>
      </c>
      <c r="N1414" s="2">
        <f xml:space="preserve"> (Table1[[#This Row],[Variance (USD)]] / Table1[[#This Row],[Actual Spending (USD)]]) * 100</f>
        <v>-88.348959967841694</v>
      </c>
      <c r="O1414" s="5" t="s">
        <v>3897</v>
      </c>
    </row>
    <row r="1415" spans="1:15" x14ac:dyDescent="0.25">
      <c r="A1415" s="4" t="s">
        <v>1428</v>
      </c>
      <c r="B1415" s="2" t="s">
        <v>3097</v>
      </c>
      <c r="C1415" s="2" t="s">
        <v>3872</v>
      </c>
      <c r="D1415" s="2" t="s">
        <v>3876</v>
      </c>
      <c r="E1415" s="3">
        <v>45323</v>
      </c>
      <c r="F1415" s="3">
        <v>45335</v>
      </c>
      <c r="G1415" s="2" t="s">
        <v>3884</v>
      </c>
      <c r="H1415" s="2">
        <v>404824</v>
      </c>
      <c r="I1415" s="2">
        <v>595904</v>
      </c>
      <c r="J1415" s="2" t="s">
        <v>3888</v>
      </c>
      <c r="K1415" s="2" t="s">
        <v>3894</v>
      </c>
      <c r="L1415" s="2">
        <v>2024</v>
      </c>
      <c r="M1415" s="2">
        <v>-191080</v>
      </c>
      <c r="N1415" s="2">
        <f xml:space="preserve"> (Table1[[#This Row],[Variance (USD)]] / Table1[[#This Row],[Actual Spending (USD)]]) * 100</f>
        <v>-32.065567608205349</v>
      </c>
      <c r="O1415" s="5" t="s">
        <v>3897</v>
      </c>
    </row>
    <row r="1416" spans="1:15" x14ac:dyDescent="0.25">
      <c r="A1416" s="4" t="s">
        <v>1429</v>
      </c>
      <c r="B1416" s="2" t="s">
        <v>3404</v>
      </c>
      <c r="C1416" s="2" t="s">
        <v>3871</v>
      </c>
      <c r="D1416" s="2" t="s">
        <v>3882</v>
      </c>
      <c r="E1416" s="3">
        <v>45320</v>
      </c>
      <c r="F1416" s="3">
        <v>45446</v>
      </c>
      <c r="G1416" s="2" t="s">
        <v>3884</v>
      </c>
      <c r="H1416" s="2">
        <v>406936</v>
      </c>
      <c r="I1416" s="2">
        <v>484500</v>
      </c>
      <c r="J1416" s="2" t="s">
        <v>3892</v>
      </c>
      <c r="K1416" s="2" t="s">
        <v>3896</v>
      </c>
      <c r="L1416" s="2">
        <v>2025</v>
      </c>
      <c r="M1416" s="2">
        <v>-77564</v>
      </c>
      <c r="N1416" s="2">
        <f xml:space="preserve"> (Table1[[#This Row],[Variance (USD)]] / Table1[[#This Row],[Actual Spending (USD)]]) * 100</f>
        <v>-16.009081527347782</v>
      </c>
      <c r="O1416" s="5" t="s">
        <v>3897</v>
      </c>
    </row>
    <row r="1417" spans="1:15" x14ac:dyDescent="0.25">
      <c r="A1417" s="4" t="s">
        <v>1430</v>
      </c>
      <c r="B1417" s="2" t="s">
        <v>3709</v>
      </c>
      <c r="C1417" s="2" t="s">
        <v>3868</v>
      </c>
      <c r="D1417" s="2" t="s">
        <v>3881</v>
      </c>
      <c r="E1417" s="3">
        <v>45001</v>
      </c>
      <c r="F1417" s="3">
        <v>45668</v>
      </c>
      <c r="G1417" s="2" t="s">
        <v>3884</v>
      </c>
      <c r="H1417" s="2">
        <v>770270</v>
      </c>
      <c r="I1417" s="2">
        <v>215128</v>
      </c>
      <c r="J1417" s="2" t="s">
        <v>3890</v>
      </c>
      <c r="K1417" s="2" t="s">
        <v>3896</v>
      </c>
      <c r="L1417" s="2">
        <v>2024</v>
      </c>
      <c r="M1417" s="2">
        <v>555142</v>
      </c>
      <c r="N1417" s="2">
        <f xml:space="preserve"> (Table1[[#This Row],[Variance (USD)]] / Table1[[#This Row],[Actual Spending (USD)]]) * 100</f>
        <v>258.05195046669888</v>
      </c>
      <c r="O1417" s="5" t="s">
        <v>3897</v>
      </c>
    </row>
    <row r="1418" spans="1:15" x14ac:dyDescent="0.25">
      <c r="A1418" s="4" t="s">
        <v>1431</v>
      </c>
      <c r="B1418" s="2" t="s">
        <v>3710</v>
      </c>
      <c r="C1418" s="2" t="s">
        <v>3869</v>
      </c>
      <c r="D1418" s="2" t="s">
        <v>3880</v>
      </c>
      <c r="E1418" s="3">
        <v>45408</v>
      </c>
      <c r="F1418" s="3">
        <v>45693</v>
      </c>
      <c r="G1418" s="2" t="s">
        <v>3885</v>
      </c>
      <c r="H1418" s="2">
        <v>728845</v>
      </c>
      <c r="I1418" s="2">
        <v>514699</v>
      </c>
      <c r="J1418" s="2" t="s">
        <v>3889</v>
      </c>
      <c r="K1418" s="2" t="s">
        <v>3896</v>
      </c>
      <c r="L1418" s="2">
        <v>2023</v>
      </c>
      <c r="M1418" s="2">
        <v>214146</v>
      </c>
      <c r="N1418" s="2">
        <f xml:space="preserve"> (Table1[[#This Row],[Variance (USD)]] / Table1[[#This Row],[Actual Spending (USD)]]) * 100</f>
        <v>41.606064903953573</v>
      </c>
      <c r="O1418" s="5" t="s">
        <v>3898</v>
      </c>
    </row>
    <row r="1419" spans="1:15" x14ac:dyDescent="0.25">
      <c r="A1419" s="4" t="s">
        <v>1432</v>
      </c>
      <c r="B1419" s="2" t="s">
        <v>3381</v>
      </c>
      <c r="C1419" s="2" t="s">
        <v>3874</v>
      </c>
      <c r="D1419" s="2" t="s">
        <v>3879</v>
      </c>
      <c r="E1419" s="3">
        <v>45029</v>
      </c>
      <c r="F1419" s="3">
        <v>45516</v>
      </c>
      <c r="G1419" s="2" t="s">
        <v>3886</v>
      </c>
      <c r="H1419" s="2">
        <v>446076</v>
      </c>
      <c r="I1419" s="2">
        <v>337678</v>
      </c>
      <c r="J1419" s="2" t="s">
        <v>3892</v>
      </c>
      <c r="K1419" s="2" t="s">
        <v>3895</v>
      </c>
      <c r="L1419" s="2">
        <v>2023</v>
      </c>
      <c r="M1419" s="2">
        <v>108398</v>
      </c>
      <c r="N1419" s="2">
        <f xml:space="preserve"> (Table1[[#This Row],[Variance (USD)]] / Table1[[#This Row],[Actual Spending (USD)]]) * 100</f>
        <v>32.10099562304918</v>
      </c>
      <c r="O1419" s="5" t="s">
        <v>3899</v>
      </c>
    </row>
    <row r="1420" spans="1:15" x14ac:dyDescent="0.25">
      <c r="A1420" s="4" t="s">
        <v>1433</v>
      </c>
      <c r="B1420" s="2" t="s">
        <v>3518</v>
      </c>
      <c r="C1420" s="2" t="s">
        <v>3874</v>
      </c>
      <c r="D1420" s="2" t="s">
        <v>3876</v>
      </c>
      <c r="E1420" s="3">
        <v>45223</v>
      </c>
      <c r="F1420" s="3">
        <v>45508</v>
      </c>
      <c r="G1420" s="2" t="s">
        <v>3886</v>
      </c>
      <c r="H1420" s="2">
        <v>99875</v>
      </c>
      <c r="I1420" s="2">
        <v>240128</v>
      </c>
      <c r="J1420" s="2" t="s">
        <v>3890</v>
      </c>
      <c r="K1420" s="2" t="s">
        <v>3893</v>
      </c>
      <c r="L1420" s="2">
        <v>2025</v>
      </c>
      <c r="M1420" s="2">
        <v>-140253</v>
      </c>
      <c r="N1420" s="2">
        <f xml:space="preserve"> (Table1[[#This Row],[Variance (USD)]] / Table1[[#This Row],[Actual Spending (USD)]]) * 100</f>
        <v>-58.407599280383792</v>
      </c>
      <c r="O1420" s="5" t="s">
        <v>3899</v>
      </c>
    </row>
    <row r="1421" spans="1:15" x14ac:dyDescent="0.25">
      <c r="A1421" s="4" t="s">
        <v>1434</v>
      </c>
      <c r="B1421" s="2" t="s">
        <v>3111</v>
      </c>
      <c r="C1421" s="2" t="s">
        <v>3872</v>
      </c>
      <c r="D1421" s="2" t="s">
        <v>3878</v>
      </c>
      <c r="E1421" s="3">
        <v>45104</v>
      </c>
      <c r="F1421" s="3">
        <v>45859</v>
      </c>
      <c r="G1421" s="2" t="s">
        <v>3884</v>
      </c>
      <c r="H1421" s="2">
        <v>195991</v>
      </c>
      <c r="I1421" s="2">
        <v>912412</v>
      </c>
      <c r="J1421" s="2" t="s">
        <v>3888</v>
      </c>
      <c r="K1421" s="2" t="s">
        <v>3893</v>
      </c>
      <c r="L1421" s="2">
        <v>2023</v>
      </c>
      <c r="M1421" s="2">
        <v>-716421</v>
      </c>
      <c r="N1421" s="2">
        <f xml:space="preserve"> (Table1[[#This Row],[Variance (USD)]] / Table1[[#This Row],[Actual Spending (USD)]]) * 100</f>
        <v>-78.519462698868494</v>
      </c>
      <c r="O1421" s="5" t="s">
        <v>3897</v>
      </c>
    </row>
    <row r="1422" spans="1:15" x14ac:dyDescent="0.25">
      <c r="A1422" s="4" t="s">
        <v>1435</v>
      </c>
      <c r="B1422" s="2" t="s">
        <v>3115</v>
      </c>
      <c r="C1422" s="2" t="s">
        <v>3871</v>
      </c>
      <c r="D1422" s="2" t="s">
        <v>3883</v>
      </c>
      <c r="E1422" s="3">
        <v>45141</v>
      </c>
      <c r="F1422" s="3">
        <v>45322</v>
      </c>
      <c r="G1422" s="2" t="s">
        <v>3886</v>
      </c>
      <c r="H1422" s="2">
        <v>542089</v>
      </c>
      <c r="I1422" s="2">
        <v>836575</v>
      </c>
      <c r="J1422" s="2" t="s">
        <v>3891</v>
      </c>
      <c r="K1422" s="2" t="s">
        <v>3894</v>
      </c>
      <c r="L1422" s="2">
        <v>2024</v>
      </c>
      <c r="M1422" s="2">
        <v>-294486</v>
      </c>
      <c r="N1422" s="2">
        <f xml:space="preserve"> (Table1[[#This Row],[Variance (USD)]] / Table1[[#This Row],[Actual Spending (USD)]]) * 100</f>
        <v>-35.201386606102261</v>
      </c>
      <c r="O1422" s="5" t="s">
        <v>3899</v>
      </c>
    </row>
    <row r="1423" spans="1:15" x14ac:dyDescent="0.25">
      <c r="A1423" s="4" t="s">
        <v>1436</v>
      </c>
      <c r="B1423" s="2" t="s">
        <v>3711</v>
      </c>
      <c r="C1423" s="2" t="s">
        <v>3869</v>
      </c>
      <c r="D1423" s="2" t="s">
        <v>3882</v>
      </c>
      <c r="E1423" s="3">
        <v>45241</v>
      </c>
      <c r="F1423" s="3">
        <v>45350</v>
      </c>
      <c r="G1423" s="2" t="s">
        <v>3884</v>
      </c>
      <c r="H1423" s="2">
        <v>910379</v>
      </c>
      <c r="I1423" s="2">
        <v>1023332</v>
      </c>
      <c r="J1423" s="2" t="s">
        <v>3889</v>
      </c>
      <c r="K1423" s="2" t="s">
        <v>3893</v>
      </c>
      <c r="L1423" s="2">
        <v>2025</v>
      </c>
      <c r="M1423" s="2">
        <v>-112953</v>
      </c>
      <c r="N1423" s="2">
        <f xml:space="preserve"> (Table1[[#This Row],[Variance (USD)]] / Table1[[#This Row],[Actual Spending (USD)]]) * 100</f>
        <v>-11.037766824451889</v>
      </c>
      <c r="O1423" s="5" t="s">
        <v>3897</v>
      </c>
    </row>
    <row r="1424" spans="1:15" x14ac:dyDescent="0.25">
      <c r="A1424" s="4" t="s">
        <v>1437</v>
      </c>
      <c r="B1424" s="2" t="s">
        <v>3164</v>
      </c>
      <c r="C1424" s="2" t="s">
        <v>3869</v>
      </c>
      <c r="D1424" s="2" t="s">
        <v>3882</v>
      </c>
      <c r="E1424" s="3">
        <v>44965</v>
      </c>
      <c r="F1424" s="3">
        <v>45644</v>
      </c>
      <c r="G1424" s="2" t="s">
        <v>3886</v>
      </c>
      <c r="H1424" s="2">
        <v>59586</v>
      </c>
      <c r="I1424" s="2">
        <v>1186956</v>
      </c>
      <c r="J1424" s="2" t="s">
        <v>3889</v>
      </c>
      <c r="K1424" s="2" t="s">
        <v>3896</v>
      </c>
      <c r="L1424" s="2">
        <v>2023</v>
      </c>
      <c r="M1424" s="2">
        <v>-1127370</v>
      </c>
      <c r="N1424" s="2">
        <f xml:space="preserve"> (Table1[[#This Row],[Variance (USD)]] / Table1[[#This Row],[Actual Spending (USD)]]) * 100</f>
        <v>-94.97993185931071</v>
      </c>
      <c r="O1424" s="5" t="s">
        <v>3899</v>
      </c>
    </row>
    <row r="1425" spans="1:15" x14ac:dyDescent="0.25">
      <c r="A1425" s="4" t="s">
        <v>1438</v>
      </c>
      <c r="B1425" s="2" t="s">
        <v>3277</v>
      </c>
      <c r="C1425" s="2" t="s">
        <v>3868</v>
      </c>
      <c r="D1425" s="2" t="s">
        <v>3881</v>
      </c>
      <c r="E1425" s="3">
        <v>45185</v>
      </c>
      <c r="F1425" s="3">
        <v>45736</v>
      </c>
      <c r="G1425" s="2" t="s">
        <v>3884</v>
      </c>
      <c r="H1425" s="2">
        <v>101986</v>
      </c>
      <c r="I1425" s="2">
        <v>747833</v>
      </c>
      <c r="J1425" s="2" t="s">
        <v>3890</v>
      </c>
      <c r="K1425" s="2" t="s">
        <v>3895</v>
      </c>
      <c r="L1425" s="2">
        <v>2025</v>
      </c>
      <c r="M1425" s="2">
        <v>-645847</v>
      </c>
      <c r="N1425" s="2">
        <f xml:space="preserve"> (Table1[[#This Row],[Variance (USD)]] / Table1[[#This Row],[Actual Spending (USD)]]) * 100</f>
        <v>-86.362463277229011</v>
      </c>
      <c r="O1425" s="5" t="s">
        <v>3897</v>
      </c>
    </row>
    <row r="1426" spans="1:15" x14ac:dyDescent="0.25">
      <c r="A1426" s="4" t="s">
        <v>1439</v>
      </c>
      <c r="B1426" s="2" t="s">
        <v>3158</v>
      </c>
      <c r="C1426" s="2" t="s">
        <v>3868</v>
      </c>
      <c r="D1426" s="2" t="s">
        <v>3879</v>
      </c>
      <c r="E1426" s="3">
        <v>45642</v>
      </c>
      <c r="F1426" s="3">
        <v>45526</v>
      </c>
      <c r="G1426" s="2" t="s">
        <v>3884</v>
      </c>
      <c r="H1426" s="2">
        <v>926280</v>
      </c>
      <c r="I1426" s="2">
        <v>177089</v>
      </c>
      <c r="J1426" s="2" t="s">
        <v>3891</v>
      </c>
      <c r="K1426" s="2" t="s">
        <v>3896</v>
      </c>
      <c r="L1426" s="2">
        <v>2024</v>
      </c>
      <c r="M1426" s="2">
        <v>749191</v>
      </c>
      <c r="N1426" s="2">
        <f xml:space="preserve"> (Table1[[#This Row],[Variance (USD)]] / Table1[[#This Row],[Actual Spending (USD)]]) * 100</f>
        <v>423.05902681702418</v>
      </c>
      <c r="O1426" s="5" t="s">
        <v>3897</v>
      </c>
    </row>
    <row r="1427" spans="1:15" x14ac:dyDescent="0.25">
      <c r="A1427" s="4" t="s">
        <v>1440</v>
      </c>
      <c r="B1427" s="2" t="s">
        <v>3169</v>
      </c>
      <c r="C1427" s="2" t="s">
        <v>3869</v>
      </c>
      <c r="D1427" s="2" t="s">
        <v>3878</v>
      </c>
      <c r="E1427" s="3">
        <v>44933</v>
      </c>
      <c r="F1427" s="3">
        <v>45398</v>
      </c>
      <c r="G1427" s="2" t="s">
        <v>3884</v>
      </c>
      <c r="H1427" s="2">
        <v>335199</v>
      </c>
      <c r="I1427" s="2">
        <v>1119999</v>
      </c>
      <c r="J1427" s="2" t="s">
        <v>3892</v>
      </c>
      <c r="K1427" s="2" t="s">
        <v>3896</v>
      </c>
      <c r="L1427" s="2">
        <v>2023</v>
      </c>
      <c r="M1427" s="2">
        <v>-784800</v>
      </c>
      <c r="N1427" s="2">
        <f xml:space="preserve"> (Table1[[#This Row],[Variance (USD)]] / Table1[[#This Row],[Actual Spending (USD)]]) * 100</f>
        <v>-70.071491135259947</v>
      </c>
      <c r="O1427" s="5" t="s">
        <v>3897</v>
      </c>
    </row>
    <row r="1428" spans="1:15" x14ac:dyDescent="0.25">
      <c r="A1428" s="4" t="s">
        <v>1441</v>
      </c>
      <c r="B1428" s="2" t="s">
        <v>3712</v>
      </c>
      <c r="C1428" s="2" t="s">
        <v>3873</v>
      </c>
      <c r="D1428" s="2" t="s">
        <v>3880</v>
      </c>
      <c r="E1428" s="3">
        <v>44975</v>
      </c>
      <c r="F1428" s="3">
        <v>45482</v>
      </c>
      <c r="G1428" s="2" t="s">
        <v>3885</v>
      </c>
      <c r="H1428" s="2">
        <v>478106</v>
      </c>
      <c r="I1428" s="2">
        <v>71713</v>
      </c>
      <c r="J1428" s="2" t="s">
        <v>3888</v>
      </c>
      <c r="K1428" s="2" t="s">
        <v>3893</v>
      </c>
      <c r="L1428" s="2">
        <v>2024</v>
      </c>
      <c r="M1428" s="2">
        <v>406393</v>
      </c>
      <c r="N1428" s="2">
        <f xml:space="preserve"> (Table1[[#This Row],[Variance (USD)]] / Table1[[#This Row],[Actual Spending (USD)]]) * 100</f>
        <v>566.69362598134228</v>
      </c>
      <c r="O1428" s="5" t="s">
        <v>3898</v>
      </c>
    </row>
    <row r="1429" spans="1:15" x14ac:dyDescent="0.25">
      <c r="A1429" s="4" t="s">
        <v>1442</v>
      </c>
      <c r="B1429" s="2" t="s">
        <v>3167</v>
      </c>
      <c r="C1429" s="2" t="s">
        <v>3869</v>
      </c>
      <c r="D1429" s="2" t="s">
        <v>3878</v>
      </c>
      <c r="E1429" s="3">
        <v>45464</v>
      </c>
      <c r="F1429" s="3">
        <v>45821</v>
      </c>
      <c r="G1429" s="2" t="s">
        <v>3884</v>
      </c>
      <c r="H1429" s="2">
        <v>506297</v>
      </c>
      <c r="I1429" s="2">
        <v>628598</v>
      </c>
      <c r="J1429" s="2" t="s">
        <v>3892</v>
      </c>
      <c r="K1429" s="2" t="s">
        <v>3895</v>
      </c>
      <c r="L1429" s="2">
        <v>2023</v>
      </c>
      <c r="M1429" s="2">
        <v>-122301</v>
      </c>
      <c r="N1429" s="2">
        <f xml:space="preserve"> (Table1[[#This Row],[Variance (USD)]] / Table1[[#This Row],[Actual Spending (USD)]]) * 100</f>
        <v>-19.456154808001298</v>
      </c>
      <c r="O1429" s="5" t="s">
        <v>3897</v>
      </c>
    </row>
    <row r="1430" spans="1:15" x14ac:dyDescent="0.25">
      <c r="A1430" s="4" t="s">
        <v>1443</v>
      </c>
      <c r="B1430" s="2" t="s">
        <v>3577</v>
      </c>
      <c r="C1430" s="2" t="s">
        <v>3872</v>
      </c>
      <c r="D1430" s="2" t="s">
        <v>3879</v>
      </c>
      <c r="E1430" s="3">
        <v>45087</v>
      </c>
      <c r="F1430" s="3">
        <v>45970</v>
      </c>
      <c r="G1430" s="2" t="s">
        <v>3886</v>
      </c>
      <c r="H1430" s="2">
        <v>603095</v>
      </c>
      <c r="I1430" s="2">
        <v>818637</v>
      </c>
      <c r="J1430" s="2" t="s">
        <v>3890</v>
      </c>
      <c r="K1430" s="2" t="s">
        <v>3895</v>
      </c>
      <c r="L1430" s="2">
        <v>2025</v>
      </c>
      <c r="M1430" s="2">
        <v>-215542</v>
      </c>
      <c r="N1430" s="2">
        <f xml:space="preserve"> (Table1[[#This Row],[Variance (USD)]] / Table1[[#This Row],[Actual Spending (USD)]]) * 100</f>
        <v>-26.329374313645733</v>
      </c>
      <c r="O1430" s="5" t="s">
        <v>3899</v>
      </c>
    </row>
    <row r="1431" spans="1:15" x14ac:dyDescent="0.25">
      <c r="A1431" s="4" t="s">
        <v>1444</v>
      </c>
      <c r="B1431" s="2" t="s">
        <v>3080</v>
      </c>
      <c r="C1431" s="2" t="s">
        <v>3869</v>
      </c>
      <c r="D1431" s="2" t="s">
        <v>3880</v>
      </c>
      <c r="E1431" s="3">
        <v>45102</v>
      </c>
      <c r="F1431" s="3">
        <v>45874</v>
      </c>
      <c r="G1431" s="2" t="s">
        <v>3884</v>
      </c>
      <c r="H1431" s="2">
        <v>266992</v>
      </c>
      <c r="I1431" s="2">
        <v>345410</v>
      </c>
      <c r="J1431" s="2" t="s">
        <v>3889</v>
      </c>
      <c r="K1431" s="2" t="s">
        <v>3896</v>
      </c>
      <c r="L1431" s="2">
        <v>2023</v>
      </c>
      <c r="M1431" s="2">
        <v>-78418</v>
      </c>
      <c r="N1431" s="2">
        <f xml:space="preserve"> (Table1[[#This Row],[Variance (USD)]] / Table1[[#This Row],[Actual Spending (USD)]]) * 100</f>
        <v>-22.702874844387829</v>
      </c>
      <c r="O1431" s="5" t="s">
        <v>3897</v>
      </c>
    </row>
    <row r="1432" spans="1:15" x14ac:dyDescent="0.25">
      <c r="A1432" s="4" t="s">
        <v>1445</v>
      </c>
      <c r="B1432" s="2" t="s">
        <v>3713</v>
      </c>
      <c r="C1432" s="2" t="s">
        <v>3875</v>
      </c>
      <c r="D1432" s="2" t="s">
        <v>3878</v>
      </c>
      <c r="E1432" s="3">
        <v>45517</v>
      </c>
      <c r="F1432" s="3">
        <v>45857</v>
      </c>
      <c r="G1432" s="2" t="s">
        <v>3886</v>
      </c>
      <c r="H1432" s="2">
        <v>883609</v>
      </c>
      <c r="I1432" s="2">
        <v>697702</v>
      </c>
      <c r="J1432" s="2" t="s">
        <v>3889</v>
      </c>
      <c r="K1432" s="2" t="s">
        <v>3894</v>
      </c>
      <c r="L1432" s="2">
        <v>2023</v>
      </c>
      <c r="M1432" s="2">
        <v>185907</v>
      </c>
      <c r="N1432" s="2">
        <f xml:space="preserve"> (Table1[[#This Row],[Variance (USD)]] / Table1[[#This Row],[Actual Spending (USD)]]) * 100</f>
        <v>26.645616609956686</v>
      </c>
      <c r="O1432" s="5" t="s">
        <v>3899</v>
      </c>
    </row>
    <row r="1433" spans="1:15" x14ac:dyDescent="0.25">
      <c r="A1433" s="4" t="s">
        <v>1446</v>
      </c>
      <c r="B1433" s="2" t="s">
        <v>3301</v>
      </c>
      <c r="C1433" s="2" t="s">
        <v>3870</v>
      </c>
      <c r="D1433" s="2" t="s">
        <v>3880</v>
      </c>
      <c r="E1433" s="3">
        <v>44928</v>
      </c>
      <c r="F1433" s="3">
        <v>45536</v>
      </c>
      <c r="G1433" s="2" t="s">
        <v>3885</v>
      </c>
      <c r="H1433" s="2">
        <v>537677</v>
      </c>
      <c r="I1433" s="2">
        <v>748550</v>
      </c>
      <c r="J1433" s="2" t="s">
        <v>3892</v>
      </c>
      <c r="K1433" s="2" t="s">
        <v>3893</v>
      </c>
      <c r="L1433" s="2">
        <v>2023</v>
      </c>
      <c r="M1433" s="2">
        <v>-210873</v>
      </c>
      <c r="N1433" s="2">
        <f xml:space="preserve"> (Table1[[#This Row],[Variance (USD)]] / Table1[[#This Row],[Actual Spending (USD)]]) * 100</f>
        <v>-28.170863669761538</v>
      </c>
      <c r="O1433" s="5" t="s">
        <v>3898</v>
      </c>
    </row>
    <row r="1434" spans="1:15" x14ac:dyDescent="0.25">
      <c r="A1434" s="4" t="s">
        <v>1447</v>
      </c>
      <c r="B1434" s="2" t="s">
        <v>3529</v>
      </c>
      <c r="C1434" s="2" t="s">
        <v>3875</v>
      </c>
      <c r="D1434" s="2" t="s">
        <v>3881</v>
      </c>
      <c r="E1434" s="3">
        <v>45381</v>
      </c>
      <c r="F1434" s="3">
        <v>45367</v>
      </c>
      <c r="G1434" s="2" t="s">
        <v>3884</v>
      </c>
      <c r="H1434" s="2">
        <v>118625</v>
      </c>
      <c r="I1434" s="2">
        <v>706560</v>
      </c>
      <c r="J1434" s="2" t="s">
        <v>3888</v>
      </c>
      <c r="K1434" s="2" t="s">
        <v>3894</v>
      </c>
      <c r="L1434" s="2">
        <v>2025</v>
      </c>
      <c r="M1434" s="2">
        <v>-587935</v>
      </c>
      <c r="N1434" s="2">
        <f xml:space="preserve"> (Table1[[#This Row],[Variance (USD)]] / Table1[[#This Row],[Actual Spending (USD)]]) * 100</f>
        <v>-83.210909193840578</v>
      </c>
      <c r="O1434" s="5" t="s">
        <v>3897</v>
      </c>
    </row>
    <row r="1435" spans="1:15" x14ac:dyDescent="0.25">
      <c r="A1435" s="4" t="s">
        <v>1448</v>
      </c>
      <c r="B1435" s="2" t="s">
        <v>3370</v>
      </c>
      <c r="C1435" s="2" t="s">
        <v>3875</v>
      </c>
      <c r="D1435" s="2" t="s">
        <v>3881</v>
      </c>
      <c r="E1435" s="3">
        <v>45570</v>
      </c>
      <c r="F1435" s="3">
        <v>45838</v>
      </c>
      <c r="G1435" s="2" t="s">
        <v>3884</v>
      </c>
      <c r="H1435" s="2">
        <v>981746</v>
      </c>
      <c r="I1435" s="2">
        <v>168260</v>
      </c>
      <c r="J1435" s="2" t="s">
        <v>3890</v>
      </c>
      <c r="K1435" s="2" t="s">
        <v>3896</v>
      </c>
      <c r="L1435" s="2">
        <v>2023</v>
      </c>
      <c r="M1435" s="2">
        <v>813486</v>
      </c>
      <c r="N1435" s="2">
        <f xml:space="preserve"> (Table1[[#This Row],[Variance (USD)]] / Table1[[#This Row],[Actual Spending (USD)]]) * 100</f>
        <v>483.46963033400687</v>
      </c>
      <c r="O1435" s="5" t="s">
        <v>3897</v>
      </c>
    </row>
    <row r="1436" spans="1:15" x14ac:dyDescent="0.25">
      <c r="A1436" s="4" t="s">
        <v>1449</v>
      </c>
      <c r="B1436" s="2" t="s">
        <v>3538</v>
      </c>
      <c r="C1436" s="2" t="s">
        <v>3873</v>
      </c>
      <c r="D1436" s="2" t="s">
        <v>3879</v>
      </c>
      <c r="E1436" s="3">
        <v>45202</v>
      </c>
      <c r="F1436" s="3">
        <v>45558</v>
      </c>
      <c r="G1436" s="2" t="s">
        <v>3885</v>
      </c>
      <c r="H1436" s="2">
        <v>368461</v>
      </c>
      <c r="I1436" s="2">
        <v>294952</v>
      </c>
      <c r="J1436" s="2" t="s">
        <v>3888</v>
      </c>
      <c r="K1436" s="2" t="s">
        <v>3893</v>
      </c>
      <c r="L1436" s="2">
        <v>2024</v>
      </c>
      <c r="M1436" s="2">
        <v>73509</v>
      </c>
      <c r="N1436" s="2">
        <f xml:space="preserve"> (Table1[[#This Row],[Variance (USD)]] / Table1[[#This Row],[Actual Spending (USD)]]) * 100</f>
        <v>24.922360248447205</v>
      </c>
      <c r="O1436" s="5" t="s">
        <v>3898</v>
      </c>
    </row>
    <row r="1437" spans="1:15" x14ac:dyDescent="0.25">
      <c r="A1437" s="4" t="s">
        <v>1450</v>
      </c>
      <c r="B1437" s="2" t="s">
        <v>3402</v>
      </c>
      <c r="C1437" s="2" t="s">
        <v>3873</v>
      </c>
      <c r="D1437" s="2" t="s">
        <v>3879</v>
      </c>
      <c r="E1437" s="3">
        <v>45424</v>
      </c>
      <c r="F1437" s="3">
        <v>45608</v>
      </c>
      <c r="G1437" s="2" t="s">
        <v>3884</v>
      </c>
      <c r="H1437" s="2">
        <v>483194</v>
      </c>
      <c r="I1437" s="2">
        <v>305995</v>
      </c>
      <c r="J1437" s="2" t="s">
        <v>3890</v>
      </c>
      <c r="K1437" s="2" t="s">
        <v>3894</v>
      </c>
      <c r="L1437" s="2">
        <v>2025</v>
      </c>
      <c r="M1437" s="2">
        <v>177199</v>
      </c>
      <c r="N1437" s="2">
        <f xml:space="preserve"> (Table1[[#This Row],[Variance (USD)]] / Table1[[#This Row],[Actual Spending (USD)]]) * 100</f>
        <v>57.909116162028795</v>
      </c>
      <c r="O1437" s="5" t="s">
        <v>3897</v>
      </c>
    </row>
    <row r="1438" spans="1:15" x14ac:dyDescent="0.25">
      <c r="A1438" s="4" t="s">
        <v>1451</v>
      </c>
      <c r="B1438" s="2" t="s">
        <v>3064</v>
      </c>
      <c r="C1438" s="2" t="s">
        <v>3874</v>
      </c>
      <c r="D1438" s="2" t="s">
        <v>3880</v>
      </c>
      <c r="E1438" s="3">
        <v>45555</v>
      </c>
      <c r="F1438" s="3">
        <v>45412</v>
      </c>
      <c r="G1438" s="2" t="s">
        <v>3884</v>
      </c>
      <c r="H1438" s="2">
        <v>328577</v>
      </c>
      <c r="I1438" s="2">
        <v>504106</v>
      </c>
      <c r="J1438" s="2" t="s">
        <v>3888</v>
      </c>
      <c r="K1438" s="2" t="s">
        <v>3894</v>
      </c>
      <c r="L1438" s="2">
        <v>2025</v>
      </c>
      <c r="M1438" s="2">
        <v>-175529</v>
      </c>
      <c r="N1438" s="2">
        <f xml:space="preserve"> (Table1[[#This Row],[Variance (USD)]] / Table1[[#This Row],[Actual Spending (USD)]]) * 100</f>
        <v>-34.819859315302729</v>
      </c>
      <c r="O1438" s="5" t="s">
        <v>3897</v>
      </c>
    </row>
    <row r="1439" spans="1:15" x14ac:dyDescent="0.25">
      <c r="A1439" s="4" t="s">
        <v>1452</v>
      </c>
      <c r="B1439" s="2" t="s">
        <v>3714</v>
      </c>
      <c r="C1439" s="2" t="s">
        <v>3869</v>
      </c>
      <c r="D1439" s="2" t="s">
        <v>3877</v>
      </c>
      <c r="E1439" s="3">
        <v>45602</v>
      </c>
      <c r="F1439" s="3">
        <v>45316</v>
      </c>
      <c r="G1439" s="2" t="s">
        <v>3886</v>
      </c>
      <c r="H1439" s="2">
        <v>83282</v>
      </c>
      <c r="I1439" s="2">
        <v>553047</v>
      </c>
      <c r="J1439" s="2" t="s">
        <v>3892</v>
      </c>
      <c r="K1439" s="2" t="s">
        <v>3894</v>
      </c>
      <c r="L1439" s="2">
        <v>2024</v>
      </c>
      <c r="M1439" s="2">
        <v>-469765</v>
      </c>
      <c r="N1439" s="2">
        <f xml:space="preserve"> (Table1[[#This Row],[Variance (USD)]] / Table1[[#This Row],[Actual Spending (USD)]]) * 100</f>
        <v>-84.941243691765806</v>
      </c>
      <c r="O1439" s="5" t="s">
        <v>3899</v>
      </c>
    </row>
    <row r="1440" spans="1:15" x14ac:dyDescent="0.25">
      <c r="A1440" s="4" t="s">
        <v>1453</v>
      </c>
      <c r="B1440" s="2" t="s">
        <v>3715</v>
      </c>
      <c r="C1440" s="2" t="s">
        <v>3875</v>
      </c>
      <c r="D1440" s="2" t="s">
        <v>3876</v>
      </c>
      <c r="E1440" s="3">
        <v>44954</v>
      </c>
      <c r="F1440" s="3">
        <v>45723</v>
      </c>
      <c r="G1440" s="2" t="s">
        <v>3886</v>
      </c>
      <c r="H1440" s="2">
        <v>650807</v>
      </c>
      <c r="I1440" s="2">
        <v>438274</v>
      </c>
      <c r="J1440" s="2" t="s">
        <v>3891</v>
      </c>
      <c r="K1440" s="2" t="s">
        <v>3893</v>
      </c>
      <c r="L1440" s="2">
        <v>2025</v>
      </c>
      <c r="M1440" s="2">
        <v>212533</v>
      </c>
      <c r="N1440" s="2">
        <f xml:space="preserve"> (Table1[[#This Row],[Variance (USD)]] / Table1[[#This Row],[Actual Spending (USD)]]) * 100</f>
        <v>48.493180065438516</v>
      </c>
      <c r="O1440" s="5" t="s">
        <v>3899</v>
      </c>
    </row>
    <row r="1441" spans="1:15" x14ac:dyDescent="0.25">
      <c r="A1441" s="4" t="s">
        <v>1454</v>
      </c>
      <c r="B1441" s="2" t="s">
        <v>3716</v>
      </c>
      <c r="C1441" s="2" t="s">
        <v>3873</v>
      </c>
      <c r="D1441" s="2" t="s">
        <v>3882</v>
      </c>
      <c r="E1441" s="3">
        <v>45259</v>
      </c>
      <c r="F1441" s="3">
        <v>45451</v>
      </c>
      <c r="G1441" s="2" t="s">
        <v>3884</v>
      </c>
      <c r="H1441" s="2">
        <v>814634</v>
      </c>
      <c r="I1441" s="2">
        <v>568908</v>
      </c>
      <c r="J1441" s="2" t="s">
        <v>3890</v>
      </c>
      <c r="K1441" s="2" t="s">
        <v>3894</v>
      </c>
      <c r="L1441" s="2">
        <v>2023</v>
      </c>
      <c r="M1441" s="2">
        <v>245726</v>
      </c>
      <c r="N1441" s="2">
        <f xml:space="preserve"> (Table1[[#This Row],[Variance (USD)]] / Table1[[#This Row],[Actual Spending (USD)]]) * 100</f>
        <v>43.192572437019692</v>
      </c>
      <c r="O1441" s="5" t="s">
        <v>3897</v>
      </c>
    </row>
    <row r="1442" spans="1:15" x14ac:dyDescent="0.25">
      <c r="A1442" s="4" t="s">
        <v>1455</v>
      </c>
      <c r="B1442" s="2" t="s">
        <v>3036</v>
      </c>
      <c r="C1442" s="2" t="s">
        <v>3868</v>
      </c>
      <c r="D1442" s="2" t="s">
        <v>3878</v>
      </c>
      <c r="E1442" s="3">
        <v>44927</v>
      </c>
      <c r="F1442" s="3">
        <v>45887</v>
      </c>
      <c r="G1442" s="2" t="s">
        <v>3885</v>
      </c>
      <c r="H1442" s="2">
        <v>880010</v>
      </c>
      <c r="I1442" s="2">
        <v>1000259</v>
      </c>
      <c r="J1442" s="2" t="s">
        <v>3892</v>
      </c>
      <c r="K1442" s="2" t="s">
        <v>3895</v>
      </c>
      <c r="L1442" s="2">
        <v>2025</v>
      </c>
      <c r="M1442" s="2">
        <v>-120249</v>
      </c>
      <c r="N1442" s="2">
        <f xml:space="preserve"> (Table1[[#This Row],[Variance (USD)]] / Table1[[#This Row],[Actual Spending (USD)]]) * 100</f>
        <v>-12.02178635733345</v>
      </c>
      <c r="O1442" s="5" t="s">
        <v>3898</v>
      </c>
    </row>
    <row r="1443" spans="1:15" x14ac:dyDescent="0.25">
      <c r="A1443" s="4" t="s">
        <v>1456</v>
      </c>
      <c r="B1443" s="2" t="s">
        <v>3654</v>
      </c>
      <c r="C1443" s="2" t="s">
        <v>3869</v>
      </c>
      <c r="D1443" s="2" t="s">
        <v>3878</v>
      </c>
      <c r="E1443" s="3">
        <v>45114</v>
      </c>
      <c r="F1443" s="3">
        <v>45405</v>
      </c>
      <c r="G1443" s="2" t="s">
        <v>3884</v>
      </c>
      <c r="H1443" s="2">
        <v>180843</v>
      </c>
      <c r="I1443" s="2">
        <v>617283</v>
      </c>
      <c r="J1443" s="2" t="s">
        <v>3889</v>
      </c>
      <c r="K1443" s="2" t="s">
        <v>3896</v>
      </c>
      <c r="L1443" s="2">
        <v>2024</v>
      </c>
      <c r="M1443" s="2">
        <v>-436440</v>
      </c>
      <c r="N1443" s="2">
        <f xml:space="preserve"> (Table1[[#This Row],[Variance (USD)]] / Table1[[#This Row],[Actual Spending (USD)]]) * 100</f>
        <v>-70.703388883218878</v>
      </c>
      <c r="O1443" s="5" t="s">
        <v>3897</v>
      </c>
    </row>
    <row r="1444" spans="1:15" x14ac:dyDescent="0.25">
      <c r="A1444" s="4" t="s">
        <v>1457</v>
      </c>
      <c r="B1444" s="2" t="s">
        <v>3106</v>
      </c>
      <c r="C1444" s="2" t="s">
        <v>3872</v>
      </c>
      <c r="D1444" s="2" t="s">
        <v>3877</v>
      </c>
      <c r="E1444" s="3">
        <v>44982</v>
      </c>
      <c r="F1444" s="3">
        <v>45793</v>
      </c>
      <c r="G1444" s="2" t="s">
        <v>3884</v>
      </c>
      <c r="H1444" s="2">
        <v>682621</v>
      </c>
      <c r="I1444" s="2">
        <v>590969</v>
      </c>
      <c r="J1444" s="2" t="s">
        <v>3889</v>
      </c>
      <c r="K1444" s="2" t="s">
        <v>3893</v>
      </c>
      <c r="L1444" s="2">
        <v>2025</v>
      </c>
      <c r="M1444" s="2">
        <v>91652</v>
      </c>
      <c r="N1444" s="2">
        <f xml:space="preserve"> (Table1[[#This Row],[Variance (USD)]] / Table1[[#This Row],[Actual Spending (USD)]]) * 100</f>
        <v>15.508766111251182</v>
      </c>
      <c r="O1444" s="5" t="s">
        <v>3897</v>
      </c>
    </row>
    <row r="1445" spans="1:15" x14ac:dyDescent="0.25">
      <c r="A1445" s="4" t="s">
        <v>1458</v>
      </c>
      <c r="B1445" s="2" t="s">
        <v>3016</v>
      </c>
      <c r="C1445" s="2" t="s">
        <v>3870</v>
      </c>
      <c r="D1445" s="2" t="s">
        <v>3877</v>
      </c>
      <c r="E1445" s="3">
        <v>45473</v>
      </c>
      <c r="F1445" s="3">
        <v>45457</v>
      </c>
      <c r="G1445" s="2" t="s">
        <v>3886</v>
      </c>
      <c r="H1445" s="2">
        <v>205205</v>
      </c>
      <c r="I1445" s="2">
        <v>880941</v>
      </c>
      <c r="J1445" s="2" t="s">
        <v>3888</v>
      </c>
      <c r="K1445" s="2" t="s">
        <v>3895</v>
      </c>
      <c r="L1445" s="2">
        <v>2024</v>
      </c>
      <c r="M1445" s="2">
        <v>-675736</v>
      </c>
      <c r="N1445" s="2">
        <f xml:space="preserve"> (Table1[[#This Row],[Variance (USD)]] / Table1[[#This Row],[Actual Spending (USD)]]) * 100</f>
        <v>-76.706158528210182</v>
      </c>
      <c r="O1445" s="5" t="s">
        <v>3899</v>
      </c>
    </row>
    <row r="1446" spans="1:15" x14ac:dyDescent="0.25">
      <c r="A1446" s="4" t="s">
        <v>1459</v>
      </c>
      <c r="B1446" s="2" t="s">
        <v>3717</v>
      </c>
      <c r="C1446" s="2" t="s">
        <v>3871</v>
      </c>
      <c r="D1446" s="2" t="s">
        <v>3877</v>
      </c>
      <c r="E1446" s="3">
        <v>45038</v>
      </c>
      <c r="F1446" s="3">
        <v>45994</v>
      </c>
      <c r="G1446" s="2" t="s">
        <v>3884</v>
      </c>
      <c r="H1446" s="2">
        <v>573566</v>
      </c>
      <c r="I1446" s="2">
        <v>506555</v>
      </c>
      <c r="J1446" s="2" t="s">
        <v>3889</v>
      </c>
      <c r="K1446" s="2" t="s">
        <v>3894</v>
      </c>
      <c r="L1446" s="2">
        <v>2025</v>
      </c>
      <c r="M1446" s="2">
        <v>67011</v>
      </c>
      <c r="N1446" s="2">
        <f xml:space="preserve"> (Table1[[#This Row],[Variance (USD)]] / Table1[[#This Row],[Actual Spending (USD)]]) * 100</f>
        <v>13.228770814620328</v>
      </c>
      <c r="O1446" s="5" t="s">
        <v>3897</v>
      </c>
    </row>
    <row r="1447" spans="1:15" x14ac:dyDescent="0.25">
      <c r="A1447" s="4" t="s">
        <v>1460</v>
      </c>
      <c r="B1447" s="2" t="s">
        <v>3408</v>
      </c>
      <c r="C1447" s="2" t="s">
        <v>3869</v>
      </c>
      <c r="D1447" s="2" t="s">
        <v>3883</v>
      </c>
      <c r="E1447" s="3">
        <v>45236</v>
      </c>
      <c r="F1447" s="3">
        <v>45466</v>
      </c>
      <c r="G1447" s="2" t="s">
        <v>3884</v>
      </c>
      <c r="H1447" s="2">
        <v>624605</v>
      </c>
      <c r="I1447" s="2">
        <v>97703</v>
      </c>
      <c r="J1447" s="2" t="s">
        <v>3891</v>
      </c>
      <c r="K1447" s="2" t="s">
        <v>3896</v>
      </c>
      <c r="L1447" s="2">
        <v>2024</v>
      </c>
      <c r="M1447" s="2">
        <v>526902</v>
      </c>
      <c r="N1447" s="2">
        <f xml:space="preserve"> (Table1[[#This Row],[Variance (USD)]] / Table1[[#This Row],[Actual Spending (USD)]]) * 100</f>
        <v>539.28947934045016</v>
      </c>
      <c r="O1447" s="5" t="s">
        <v>3897</v>
      </c>
    </row>
    <row r="1448" spans="1:15" x14ac:dyDescent="0.25">
      <c r="A1448" s="4" t="s">
        <v>1461</v>
      </c>
      <c r="B1448" s="2" t="s">
        <v>3636</v>
      </c>
      <c r="C1448" s="2" t="s">
        <v>3871</v>
      </c>
      <c r="D1448" s="2" t="s">
        <v>3883</v>
      </c>
      <c r="E1448" s="3">
        <v>44962</v>
      </c>
      <c r="F1448" s="3">
        <v>45292</v>
      </c>
      <c r="G1448" s="2" t="s">
        <v>3886</v>
      </c>
      <c r="H1448" s="2">
        <v>177878</v>
      </c>
      <c r="I1448" s="2">
        <v>753040</v>
      </c>
      <c r="J1448" s="2" t="s">
        <v>3890</v>
      </c>
      <c r="K1448" s="2" t="s">
        <v>3894</v>
      </c>
      <c r="L1448" s="2">
        <v>2025</v>
      </c>
      <c r="M1448" s="2">
        <v>-575162</v>
      </c>
      <c r="N1448" s="2">
        <f xml:space="preserve"> (Table1[[#This Row],[Variance (USD)]] / Table1[[#This Row],[Actual Spending (USD)]]) * 100</f>
        <v>-76.378678423456918</v>
      </c>
      <c r="O1448" s="5" t="s">
        <v>3899</v>
      </c>
    </row>
    <row r="1449" spans="1:15" x14ac:dyDescent="0.25">
      <c r="A1449" s="4" t="s">
        <v>1462</v>
      </c>
      <c r="B1449" s="2" t="s">
        <v>3718</v>
      </c>
      <c r="C1449" s="2" t="s">
        <v>3875</v>
      </c>
      <c r="D1449" s="2" t="s">
        <v>3880</v>
      </c>
      <c r="E1449" s="3">
        <v>45365</v>
      </c>
      <c r="F1449" s="3">
        <v>45377</v>
      </c>
      <c r="G1449" s="2" t="s">
        <v>3885</v>
      </c>
      <c r="H1449" s="2">
        <v>158745</v>
      </c>
      <c r="I1449" s="2">
        <v>334280</v>
      </c>
      <c r="J1449" s="2" t="s">
        <v>3888</v>
      </c>
      <c r="K1449" s="2" t="s">
        <v>3895</v>
      </c>
      <c r="L1449" s="2">
        <v>2023</v>
      </c>
      <c r="M1449" s="2">
        <v>-175535</v>
      </c>
      <c r="N1449" s="2">
        <f xml:space="preserve"> (Table1[[#This Row],[Variance (USD)]] / Table1[[#This Row],[Actual Spending (USD)]]) * 100</f>
        <v>-52.511367715687449</v>
      </c>
      <c r="O1449" s="5" t="s">
        <v>3898</v>
      </c>
    </row>
    <row r="1450" spans="1:15" x14ac:dyDescent="0.25">
      <c r="A1450" s="4" t="s">
        <v>1463</v>
      </c>
      <c r="B1450" s="2" t="s">
        <v>3183</v>
      </c>
      <c r="C1450" s="2" t="s">
        <v>3870</v>
      </c>
      <c r="D1450" s="2" t="s">
        <v>3883</v>
      </c>
      <c r="E1450" s="3">
        <v>45655</v>
      </c>
      <c r="F1450" s="3">
        <v>45865</v>
      </c>
      <c r="G1450" s="2" t="s">
        <v>3885</v>
      </c>
      <c r="H1450" s="2">
        <v>441374</v>
      </c>
      <c r="I1450" s="2">
        <v>543795</v>
      </c>
      <c r="J1450" s="2" t="s">
        <v>3890</v>
      </c>
      <c r="K1450" s="2" t="s">
        <v>3894</v>
      </c>
      <c r="L1450" s="2">
        <v>2024</v>
      </c>
      <c r="M1450" s="2">
        <v>-102421</v>
      </c>
      <c r="N1450" s="2">
        <f xml:space="preserve"> (Table1[[#This Row],[Variance (USD)]] / Table1[[#This Row],[Actual Spending (USD)]]) * 100</f>
        <v>-18.834487260824393</v>
      </c>
      <c r="O1450" s="5" t="s">
        <v>3898</v>
      </c>
    </row>
    <row r="1451" spans="1:15" x14ac:dyDescent="0.25">
      <c r="A1451" s="4" t="s">
        <v>1464</v>
      </c>
      <c r="B1451" s="2" t="s">
        <v>3065</v>
      </c>
      <c r="C1451" s="2" t="s">
        <v>3871</v>
      </c>
      <c r="D1451" s="2" t="s">
        <v>3881</v>
      </c>
      <c r="E1451" s="3">
        <v>45518</v>
      </c>
      <c r="F1451" s="3">
        <v>45611</v>
      </c>
      <c r="G1451" s="2" t="s">
        <v>3887</v>
      </c>
      <c r="H1451" s="2">
        <v>640238</v>
      </c>
      <c r="I1451" s="2">
        <v>113086</v>
      </c>
      <c r="J1451" s="2" t="s">
        <v>3890</v>
      </c>
      <c r="K1451" s="2" t="s">
        <v>3893</v>
      </c>
      <c r="L1451" s="2">
        <v>2024</v>
      </c>
      <c r="M1451" s="2">
        <v>527152</v>
      </c>
      <c r="N1451" s="2">
        <f xml:space="preserve"> (Table1[[#This Row],[Variance (USD)]] / Table1[[#This Row],[Actual Spending (USD)]]) * 100</f>
        <v>466.15142457952351</v>
      </c>
      <c r="O1451" s="5" t="s">
        <v>3900</v>
      </c>
    </row>
    <row r="1452" spans="1:15" x14ac:dyDescent="0.25">
      <c r="A1452" s="4" t="s">
        <v>1465</v>
      </c>
      <c r="B1452" s="2" t="s">
        <v>3644</v>
      </c>
      <c r="C1452" s="2" t="s">
        <v>3875</v>
      </c>
      <c r="D1452" s="2" t="s">
        <v>3881</v>
      </c>
      <c r="E1452" s="3">
        <v>45521</v>
      </c>
      <c r="F1452" s="3">
        <v>45692</v>
      </c>
      <c r="G1452" s="2" t="s">
        <v>3885</v>
      </c>
      <c r="H1452" s="2">
        <v>633900</v>
      </c>
      <c r="I1452" s="2">
        <v>310398</v>
      </c>
      <c r="J1452" s="2" t="s">
        <v>3892</v>
      </c>
      <c r="K1452" s="2" t="s">
        <v>3895</v>
      </c>
      <c r="L1452" s="2">
        <v>2025</v>
      </c>
      <c r="M1452" s="2">
        <v>323502</v>
      </c>
      <c r="N1452" s="2">
        <f xml:space="preserve"> (Table1[[#This Row],[Variance (USD)]] / Table1[[#This Row],[Actual Spending (USD)]]) * 100</f>
        <v>104.22167668606113</v>
      </c>
      <c r="O1452" s="5" t="s">
        <v>3898</v>
      </c>
    </row>
    <row r="1453" spans="1:15" x14ac:dyDescent="0.25">
      <c r="A1453" s="4" t="s">
        <v>1466</v>
      </c>
      <c r="B1453" s="2" t="s">
        <v>3463</v>
      </c>
      <c r="C1453" s="2" t="s">
        <v>3868</v>
      </c>
      <c r="D1453" s="2" t="s">
        <v>3879</v>
      </c>
      <c r="E1453" s="3">
        <v>45503</v>
      </c>
      <c r="F1453" s="3">
        <v>45673</v>
      </c>
      <c r="G1453" s="2" t="s">
        <v>3884</v>
      </c>
      <c r="H1453" s="2">
        <v>114873</v>
      </c>
      <c r="I1453" s="2">
        <v>353417</v>
      </c>
      <c r="J1453" s="2" t="s">
        <v>3889</v>
      </c>
      <c r="K1453" s="2" t="s">
        <v>3893</v>
      </c>
      <c r="L1453" s="2">
        <v>2025</v>
      </c>
      <c r="M1453" s="2">
        <v>-238544</v>
      </c>
      <c r="N1453" s="2">
        <f xml:space="preserve"> (Table1[[#This Row],[Variance (USD)]] / Table1[[#This Row],[Actual Spending (USD)]]) * 100</f>
        <v>-67.496470175458455</v>
      </c>
      <c r="O1453" s="5" t="s">
        <v>3897</v>
      </c>
    </row>
    <row r="1454" spans="1:15" x14ac:dyDescent="0.25">
      <c r="A1454" s="4" t="s">
        <v>1467</v>
      </c>
      <c r="B1454" s="2" t="s">
        <v>3469</v>
      </c>
      <c r="C1454" s="2" t="s">
        <v>3871</v>
      </c>
      <c r="D1454" s="2" t="s">
        <v>3882</v>
      </c>
      <c r="E1454" s="3">
        <v>45251</v>
      </c>
      <c r="F1454" s="3">
        <v>46009</v>
      </c>
      <c r="G1454" s="2" t="s">
        <v>3884</v>
      </c>
      <c r="H1454" s="2">
        <v>818757</v>
      </c>
      <c r="I1454" s="2">
        <v>147574</v>
      </c>
      <c r="J1454" s="2" t="s">
        <v>3890</v>
      </c>
      <c r="K1454" s="2" t="s">
        <v>3896</v>
      </c>
      <c r="L1454" s="2">
        <v>2025</v>
      </c>
      <c r="M1454" s="2">
        <v>671183</v>
      </c>
      <c r="N1454" s="2">
        <f xml:space="preserve"> (Table1[[#This Row],[Variance (USD)]] / Table1[[#This Row],[Actual Spending (USD)]]) * 100</f>
        <v>454.81114559475247</v>
      </c>
      <c r="O1454" s="5" t="s">
        <v>3897</v>
      </c>
    </row>
    <row r="1455" spans="1:15" x14ac:dyDescent="0.25">
      <c r="A1455" s="4" t="s">
        <v>1468</v>
      </c>
      <c r="B1455" s="2" t="s">
        <v>3041</v>
      </c>
      <c r="C1455" s="2" t="s">
        <v>3870</v>
      </c>
      <c r="D1455" s="2" t="s">
        <v>3880</v>
      </c>
      <c r="E1455" s="3">
        <v>45566</v>
      </c>
      <c r="F1455" s="3">
        <v>45908</v>
      </c>
      <c r="G1455" s="2" t="s">
        <v>3885</v>
      </c>
      <c r="H1455" s="2">
        <v>690080</v>
      </c>
      <c r="I1455" s="2">
        <v>669135</v>
      </c>
      <c r="J1455" s="2" t="s">
        <v>3891</v>
      </c>
      <c r="K1455" s="2" t="s">
        <v>3893</v>
      </c>
      <c r="L1455" s="2">
        <v>2023</v>
      </c>
      <c r="M1455" s="2">
        <v>20945</v>
      </c>
      <c r="N1455" s="2">
        <f xml:space="preserve"> (Table1[[#This Row],[Variance (USD)]] / Table1[[#This Row],[Actual Spending (USD)]]) * 100</f>
        <v>3.1301605804508803</v>
      </c>
      <c r="O1455" s="5" t="s">
        <v>3898</v>
      </c>
    </row>
    <row r="1456" spans="1:15" x14ac:dyDescent="0.25">
      <c r="A1456" s="4" t="s">
        <v>1469</v>
      </c>
      <c r="B1456" s="2" t="s">
        <v>3042</v>
      </c>
      <c r="C1456" s="2" t="s">
        <v>3874</v>
      </c>
      <c r="D1456" s="2" t="s">
        <v>3882</v>
      </c>
      <c r="E1456" s="3">
        <v>45233</v>
      </c>
      <c r="F1456" s="3">
        <v>45609</v>
      </c>
      <c r="G1456" s="2" t="s">
        <v>3884</v>
      </c>
      <c r="H1456" s="2">
        <v>792138</v>
      </c>
      <c r="I1456" s="2">
        <v>135547</v>
      </c>
      <c r="J1456" s="2" t="s">
        <v>3891</v>
      </c>
      <c r="K1456" s="2" t="s">
        <v>3893</v>
      </c>
      <c r="L1456" s="2">
        <v>2025</v>
      </c>
      <c r="M1456" s="2">
        <v>656591</v>
      </c>
      <c r="N1456" s="2">
        <f xml:space="preserve"> (Table1[[#This Row],[Variance (USD)]] / Table1[[#This Row],[Actual Spending (USD)]]) * 100</f>
        <v>484.40098268497269</v>
      </c>
      <c r="O1456" s="5" t="s">
        <v>3897</v>
      </c>
    </row>
    <row r="1457" spans="1:15" x14ac:dyDescent="0.25">
      <c r="A1457" s="4" t="s">
        <v>1470</v>
      </c>
      <c r="B1457" s="2" t="s">
        <v>3705</v>
      </c>
      <c r="C1457" s="2" t="s">
        <v>3869</v>
      </c>
      <c r="D1457" s="2" t="s">
        <v>3878</v>
      </c>
      <c r="E1457" s="3">
        <v>45460</v>
      </c>
      <c r="F1457" s="3">
        <v>45541</v>
      </c>
      <c r="G1457" s="2" t="s">
        <v>3886</v>
      </c>
      <c r="H1457" s="2">
        <v>243074</v>
      </c>
      <c r="I1457" s="2">
        <v>567214</v>
      </c>
      <c r="J1457" s="2" t="s">
        <v>3889</v>
      </c>
      <c r="K1457" s="2" t="s">
        <v>3894</v>
      </c>
      <c r="L1457" s="2">
        <v>2024</v>
      </c>
      <c r="M1457" s="2">
        <v>-324140</v>
      </c>
      <c r="N1457" s="2">
        <f xml:space="preserve"> (Table1[[#This Row],[Variance (USD)]] / Table1[[#This Row],[Actual Spending (USD)]]) * 100</f>
        <v>-57.145980176793941</v>
      </c>
      <c r="O1457" s="5" t="s">
        <v>3899</v>
      </c>
    </row>
    <row r="1458" spans="1:15" x14ac:dyDescent="0.25">
      <c r="A1458" s="4" t="s">
        <v>1471</v>
      </c>
      <c r="B1458" s="2" t="s">
        <v>3053</v>
      </c>
      <c r="C1458" s="2" t="s">
        <v>3875</v>
      </c>
      <c r="D1458" s="2" t="s">
        <v>3876</v>
      </c>
      <c r="E1458" s="3">
        <v>45654</v>
      </c>
      <c r="F1458" s="3">
        <v>45816</v>
      </c>
      <c r="G1458" s="2" t="s">
        <v>3886</v>
      </c>
      <c r="H1458" s="2">
        <v>543936</v>
      </c>
      <c r="I1458" s="2">
        <v>784719</v>
      </c>
      <c r="J1458" s="2" t="s">
        <v>3889</v>
      </c>
      <c r="K1458" s="2" t="s">
        <v>3894</v>
      </c>
      <c r="L1458" s="2">
        <v>2025</v>
      </c>
      <c r="M1458" s="2">
        <v>-240783</v>
      </c>
      <c r="N1458" s="2">
        <f xml:space="preserve"> (Table1[[#This Row],[Variance (USD)]] / Table1[[#This Row],[Actual Spending (USD)]]) * 100</f>
        <v>-30.683977321818386</v>
      </c>
      <c r="O1458" s="5" t="s">
        <v>3899</v>
      </c>
    </row>
    <row r="1459" spans="1:15" x14ac:dyDescent="0.25">
      <c r="A1459" s="4" t="s">
        <v>1472</v>
      </c>
      <c r="B1459" s="2" t="s">
        <v>3464</v>
      </c>
      <c r="C1459" s="2" t="s">
        <v>3869</v>
      </c>
      <c r="D1459" s="2" t="s">
        <v>3879</v>
      </c>
      <c r="E1459" s="3">
        <v>45545</v>
      </c>
      <c r="F1459" s="3">
        <v>45966</v>
      </c>
      <c r="G1459" s="2" t="s">
        <v>3884</v>
      </c>
      <c r="H1459" s="2">
        <v>743739</v>
      </c>
      <c r="I1459" s="2">
        <v>538237</v>
      </c>
      <c r="J1459" s="2" t="s">
        <v>3888</v>
      </c>
      <c r="K1459" s="2" t="s">
        <v>3895</v>
      </c>
      <c r="L1459" s="2">
        <v>2023</v>
      </c>
      <c r="M1459" s="2">
        <v>205502</v>
      </c>
      <c r="N1459" s="2">
        <f xml:space="preserve"> (Table1[[#This Row],[Variance (USD)]] / Table1[[#This Row],[Actual Spending (USD)]]) * 100</f>
        <v>38.180578444068317</v>
      </c>
      <c r="O1459" s="5" t="s">
        <v>3897</v>
      </c>
    </row>
    <row r="1460" spans="1:15" x14ac:dyDescent="0.25">
      <c r="A1460" s="4" t="s">
        <v>1473</v>
      </c>
      <c r="B1460" s="2" t="s">
        <v>3719</v>
      </c>
      <c r="C1460" s="2" t="s">
        <v>3870</v>
      </c>
      <c r="D1460" s="2" t="s">
        <v>3878</v>
      </c>
      <c r="E1460" s="3">
        <v>45035</v>
      </c>
      <c r="F1460" s="3">
        <v>45846</v>
      </c>
      <c r="G1460" s="2" t="s">
        <v>3885</v>
      </c>
      <c r="H1460" s="2">
        <v>961246</v>
      </c>
      <c r="I1460" s="2">
        <v>541500</v>
      </c>
      <c r="J1460" s="2" t="s">
        <v>3888</v>
      </c>
      <c r="K1460" s="2" t="s">
        <v>3896</v>
      </c>
      <c r="L1460" s="2">
        <v>2025</v>
      </c>
      <c r="M1460" s="2">
        <v>419746</v>
      </c>
      <c r="N1460" s="2">
        <f xml:space="preserve"> (Table1[[#This Row],[Variance (USD)]] / Table1[[#This Row],[Actual Spending (USD)]]) * 100</f>
        <v>77.515420129270538</v>
      </c>
      <c r="O1460" s="5" t="s">
        <v>3898</v>
      </c>
    </row>
    <row r="1461" spans="1:15" x14ac:dyDescent="0.25">
      <c r="A1461" s="4" t="s">
        <v>1474</v>
      </c>
      <c r="B1461" s="2" t="s">
        <v>3720</v>
      </c>
      <c r="C1461" s="2" t="s">
        <v>3873</v>
      </c>
      <c r="D1461" s="2" t="s">
        <v>3878</v>
      </c>
      <c r="E1461" s="3">
        <v>45298</v>
      </c>
      <c r="F1461" s="3">
        <v>45914</v>
      </c>
      <c r="G1461" s="2" t="s">
        <v>3884</v>
      </c>
      <c r="H1461" s="2">
        <v>589519</v>
      </c>
      <c r="I1461" s="2">
        <v>399531</v>
      </c>
      <c r="J1461" s="2" t="s">
        <v>3888</v>
      </c>
      <c r="K1461" s="2" t="s">
        <v>3895</v>
      </c>
      <c r="L1461" s="2">
        <v>2025</v>
      </c>
      <c r="M1461" s="2">
        <v>189988</v>
      </c>
      <c r="N1461" s="2">
        <f xml:space="preserve"> (Table1[[#This Row],[Variance (USD)]] / Table1[[#This Row],[Actual Spending (USD)]]) * 100</f>
        <v>47.552755605947972</v>
      </c>
      <c r="O1461" s="5" t="s">
        <v>3897</v>
      </c>
    </row>
    <row r="1462" spans="1:15" x14ac:dyDescent="0.25">
      <c r="A1462" s="4" t="s">
        <v>1475</v>
      </c>
      <c r="B1462" s="2" t="s">
        <v>3205</v>
      </c>
      <c r="C1462" s="2" t="s">
        <v>3875</v>
      </c>
      <c r="D1462" s="2" t="s">
        <v>3880</v>
      </c>
      <c r="E1462" s="3">
        <v>45283</v>
      </c>
      <c r="F1462" s="3">
        <v>46008</v>
      </c>
      <c r="G1462" s="2" t="s">
        <v>3884</v>
      </c>
      <c r="H1462" s="2">
        <v>399529</v>
      </c>
      <c r="I1462" s="2">
        <v>978192</v>
      </c>
      <c r="J1462" s="2" t="s">
        <v>3889</v>
      </c>
      <c r="K1462" s="2" t="s">
        <v>3896</v>
      </c>
      <c r="L1462" s="2">
        <v>2024</v>
      </c>
      <c r="M1462" s="2">
        <v>-578663</v>
      </c>
      <c r="N1462" s="2">
        <f xml:space="preserve"> (Table1[[#This Row],[Variance (USD)]] / Table1[[#This Row],[Actual Spending (USD)]]) * 100</f>
        <v>-59.156382387097828</v>
      </c>
      <c r="O1462" s="5" t="s">
        <v>3897</v>
      </c>
    </row>
    <row r="1463" spans="1:15" x14ac:dyDescent="0.25">
      <c r="A1463" s="4" t="s">
        <v>1476</v>
      </c>
      <c r="B1463" s="2" t="s">
        <v>3063</v>
      </c>
      <c r="C1463" s="2" t="s">
        <v>3871</v>
      </c>
      <c r="D1463" s="2" t="s">
        <v>3877</v>
      </c>
      <c r="E1463" s="3">
        <v>45107</v>
      </c>
      <c r="F1463" s="3">
        <v>45547</v>
      </c>
      <c r="G1463" s="2" t="s">
        <v>3887</v>
      </c>
      <c r="H1463" s="2">
        <v>615451</v>
      </c>
      <c r="I1463" s="2">
        <v>1042063</v>
      </c>
      <c r="J1463" s="2" t="s">
        <v>3890</v>
      </c>
      <c r="K1463" s="2" t="s">
        <v>3896</v>
      </c>
      <c r="L1463" s="2">
        <v>2025</v>
      </c>
      <c r="M1463" s="2">
        <v>-426612</v>
      </c>
      <c r="N1463" s="2">
        <f xml:space="preserve"> (Table1[[#This Row],[Variance (USD)]] / Table1[[#This Row],[Actual Spending (USD)]]) * 100</f>
        <v>-40.939175462520019</v>
      </c>
      <c r="O1463" s="5" t="s">
        <v>3900</v>
      </c>
    </row>
    <row r="1464" spans="1:15" x14ac:dyDescent="0.25">
      <c r="A1464" s="4" t="s">
        <v>1477</v>
      </c>
      <c r="B1464" s="2" t="s">
        <v>3595</v>
      </c>
      <c r="C1464" s="2" t="s">
        <v>3875</v>
      </c>
      <c r="D1464" s="2" t="s">
        <v>3877</v>
      </c>
      <c r="E1464" s="3">
        <v>45282</v>
      </c>
      <c r="F1464" s="3">
        <v>45598</v>
      </c>
      <c r="G1464" s="2" t="s">
        <v>3884</v>
      </c>
      <c r="H1464" s="2">
        <v>958312</v>
      </c>
      <c r="I1464" s="2">
        <v>817357</v>
      </c>
      <c r="J1464" s="2" t="s">
        <v>3892</v>
      </c>
      <c r="K1464" s="2" t="s">
        <v>3893</v>
      </c>
      <c r="L1464" s="2">
        <v>2023</v>
      </c>
      <c r="M1464" s="2">
        <v>140955</v>
      </c>
      <c r="N1464" s="2">
        <f xml:space="preserve"> (Table1[[#This Row],[Variance (USD)]] / Table1[[#This Row],[Actual Spending (USD)]]) * 100</f>
        <v>17.245218429645799</v>
      </c>
      <c r="O1464" s="5" t="s">
        <v>3897</v>
      </c>
    </row>
    <row r="1465" spans="1:15" x14ac:dyDescent="0.25">
      <c r="A1465" s="4" t="s">
        <v>1478</v>
      </c>
      <c r="B1465" s="2" t="s">
        <v>3689</v>
      </c>
      <c r="C1465" s="2" t="s">
        <v>3869</v>
      </c>
      <c r="D1465" s="2" t="s">
        <v>3882</v>
      </c>
      <c r="E1465" s="3">
        <v>45602</v>
      </c>
      <c r="F1465" s="3">
        <v>45435</v>
      </c>
      <c r="G1465" s="2" t="s">
        <v>3884</v>
      </c>
      <c r="H1465" s="2">
        <v>999180</v>
      </c>
      <c r="I1465" s="2">
        <v>1067711</v>
      </c>
      <c r="J1465" s="2" t="s">
        <v>3888</v>
      </c>
      <c r="K1465" s="2" t="s">
        <v>3894</v>
      </c>
      <c r="L1465" s="2">
        <v>2025</v>
      </c>
      <c r="M1465" s="2">
        <v>-68531</v>
      </c>
      <c r="N1465" s="2">
        <f xml:space="preserve"> (Table1[[#This Row],[Variance (USD)]] / Table1[[#This Row],[Actual Spending (USD)]]) * 100</f>
        <v>-6.4184971401437281</v>
      </c>
      <c r="O1465" s="5" t="s">
        <v>3897</v>
      </c>
    </row>
    <row r="1466" spans="1:15" x14ac:dyDescent="0.25">
      <c r="A1466" s="4" t="s">
        <v>1479</v>
      </c>
      <c r="B1466" s="2" t="s">
        <v>3529</v>
      </c>
      <c r="C1466" s="2" t="s">
        <v>3868</v>
      </c>
      <c r="D1466" s="2" t="s">
        <v>3879</v>
      </c>
      <c r="E1466" s="3">
        <v>44994</v>
      </c>
      <c r="F1466" s="3">
        <v>45949</v>
      </c>
      <c r="G1466" s="2" t="s">
        <v>3884</v>
      </c>
      <c r="H1466" s="2">
        <v>924024</v>
      </c>
      <c r="I1466" s="2">
        <v>605883</v>
      </c>
      <c r="J1466" s="2" t="s">
        <v>3892</v>
      </c>
      <c r="K1466" s="2" t="s">
        <v>3896</v>
      </c>
      <c r="L1466" s="2">
        <v>2025</v>
      </c>
      <c r="M1466" s="2">
        <v>318141</v>
      </c>
      <c r="N1466" s="2">
        <f xml:space="preserve"> (Table1[[#This Row],[Variance (USD)]] / Table1[[#This Row],[Actual Spending (USD)]]) * 100</f>
        <v>52.5086526606622</v>
      </c>
      <c r="O1466" s="5" t="s">
        <v>3897</v>
      </c>
    </row>
    <row r="1467" spans="1:15" x14ac:dyDescent="0.25">
      <c r="A1467" s="4" t="s">
        <v>1480</v>
      </c>
      <c r="B1467" s="2" t="s">
        <v>3033</v>
      </c>
      <c r="C1467" s="2" t="s">
        <v>3875</v>
      </c>
      <c r="D1467" s="2" t="s">
        <v>3877</v>
      </c>
      <c r="E1467" s="3">
        <v>45218</v>
      </c>
      <c r="F1467" s="3">
        <v>45682</v>
      </c>
      <c r="G1467" s="2" t="s">
        <v>3885</v>
      </c>
      <c r="H1467" s="2">
        <v>418708</v>
      </c>
      <c r="I1467" s="2">
        <v>570609</v>
      </c>
      <c r="J1467" s="2" t="s">
        <v>3891</v>
      </c>
      <c r="K1467" s="2" t="s">
        <v>3894</v>
      </c>
      <c r="L1467" s="2">
        <v>2024</v>
      </c>
      <c r="M1467" s="2">
        <v>-151901</v>
      </c>
      <c r="N1467" s="2">
        <f xml:space="preserve"> (Table1[[#This Row],[Variance (USD)]] / Table1[[#This Row],[Actual Spending (USD)]]) * 100</f>
        <v>-26.620855962664454</v>
      </c>
      <c r="O1467" s="5" t="s">
        <v>3898</v>
      </c>
    </row>
    <row r="1468" spans="1:15" x14ac:dyDescent="0.25">
      <c r="A1468" s="4" t="s">
        <v>1481</v>
      </c>
      <c r="B1468" s="2" t="s">
        <v>3496</v>
      </c>
      <c r="C1468" s="2" t="s">
        <v>3871</v>
      </c>
      <c r="D1468" s="2" t="s">
        <v>3878</v>
      </c>
      <c r="E1468" s="3">
        <v>45618</v>
      </c>
      <c r="F1468" s="3">
        <v>45967</v>
      </c>
      <c r="G1468" s="2" t="s">
        <v>3886</v>
      </c>
      <c r="H1468" s="2">
        <v>828755</v>
      </c>
      <c r="I1468" s="2">
        <v>1154709</v>
      </c>
      <c r="J1468" s="2" t="s">
        <v>3889</v>
      </c>
      <c r="K1468" s="2" t="s">
        <v>3896</v>
      </c>
      <c r="L1468" s="2">
        <v>2025</v>
      </c>
      <c r="M1468" s="2">
        <v>-325954</v>
      </c>
      <c r="N1468" s="2">
        <f xml:space="preserve"> (Table1[[#This Row],[Variance (USD)]] / Table1[[#This Row],[Actual Spending (USD)]]) * 100</f>
        <v>-28.228237590596418</v>
      </c>
      <c r="O1468" s="5" t="s">
        <v>3899</v>
      </c>
    </row>
    <row r="1469" spans="1:15" x14ac:dyDescent="0.25">
      <c r="A1469" s="4" t="s">
        <v>1482</v>
      </c>
      <c r="B1469" s="2" t="s">
        <v>3442</v>
      </c>
      <c r="C1469" s="2" t="s">
        <v>3873</v>
      </c>
      <c r="D1469" s="2" t="s">
        <v>3877</v>
      </c>
      <c r="E1469" s="3">
        <v>45107</v>
      </c>
      <c r="F1469" s="3">
        <v>45460</v>
      </c>
      <c r="G1469" s="2" t="s">
        <v>3886</v>
      </c>
      <c r="H1469" s="2">
        <v>629823</v>
      </c>
      <c r="I1469" s="2">
        <v>64187</v>
      </c>
      <c r="J1469" s="2" t="s">
        <v>3891</v>
      </c>
      <c r="K1469" s="2" t="s">
        <v>3894</v>
      </c>
      <c r="L1469" s="2">
        <v>2024</v>
      </c>
      <c r="M1469" s="2">
        <v>565636</v>
      </c>
      <c r="N1469" s="2">
        <f xml:space="preserve"> (Table1[[#This Row],[Variance (USD)]] / Table1[[#This Row],[Actual Spending (USD)]]) * 100</f>
        <v>881.23140199728914</v>
      </c>
      <c r="O1469" s="5" t="s">
        <v>3899</v>
      </c>
    </row>
    <row r="1470" spans="1:15" x14ac:dyDescent="0.25">
      <c r="A1470" s="4" t="s">
        <v>1483</v>
      </c>
      <c r="B1470" s="2" t="s">
        <v>3218</v>
      </c>
      <c r="C1470" s="2" t="s">
        <v>3874</v>
      </c>
      <c r="D1470" s="2" t="s">
        <v>3883</v>
      </c>
      <c r="E1470" s="3">
        <v>45392</v>
      </c>
      <c r="F1470" s="3">
        <v>45589</v>
      </c>
      <c r="G1470" s="2" t="s">
        <v>3886</v>
      </c>
      <c r="H1470" s="2">
        <v>423096</v>
      </c>
      <c r="I1470" s="2">
        <v>73835</v>
      </c>
      <c r="J1470" s="2" t="s">
        <v>3888</v>
      </c>
      <c r="K1470" s="2" t="s">
        <v>3895</v>
      </c>
      <c r="L1470" s="2">
        <v>2024</v>
      </c>
      <c r="M1470" s="2">
        <v>349261</v>
      </c>
      <c r="N1470" s="2">
        <f xml:space="preserve"> (Table1[[#This Row],[Variance (USD)]] / Table1[[#This Row],[Actual Spending (USD)]]) * 100</f>
        <v>473.02905126295116</v>
      </c>
      <c r="O1470" s="5" t="s">
        <v>3899</v>
      </c>
    </row>
    <row r="1471" spans="1:15" x14ac:dyDescent="0.25">
      <c r="A1471" s="4" t="s">
        <v>1484</v>
      </c>
      <c r="B1471" s="2" t="s">
        <v>3468</v>
      </c>
      <c r="C1471" s="2" t="s">
        <v>3872</v>
      </c>
      <c r="D1471" s="2" t="s">
        <v>3877</v>
      </c>
      <c r="E1471" s="3">
        <v>45360</v>
      </c>
      <c r="F1471" s="3">
        <v>45524</v>
      </c>
      <c r="G1471" s="2" t="s">
        <v>3884</v>
      </c>
      <c r="H1471" s="2">
        <v>227182</v>
      </c>
      <c r="I1471" s="2">
        <v>1105811</v>
      </c>
      <c r="J1471" s="2" t="s">
        <v>3890</v>
      </c>
      <c r="K1471" s="2" t="s">
        <v>3894</v>
      </c>
      <c r="L1471" s="2">
        <v>2025</v>
      </c>
      <c r="M1471" s="2">
        <v>-878629</v>
      </c>
      <c r="N1471" s="2">
        <f xml:space="preserve"> (Table1[[#This Row],[Variance (USD)]] / Table1[[#This Row],[Actual Spending (USD)]]) * 100</f>
        <v>-79.455621258967398</v>
      </c>
      <c r="O1471" s="5" t="s">
        <v>3897</v>
      </c>
    </row>
    <row r="1472" spans="1:15" x14ac:dyDescent="0.25">
      <c r="A1472" s="4" t="s">
        <v>1485</v>
      </c>
      <c r="B1472" s="2" t="s">
        <v>3721</v>
      </c>
      <c r="C1472" s="2" t="s">
        <v>3868</v>
      </c>
      <c r="D1472" s="2" t="s">
        <v>3878</v>
      </c>
      <c r="E1472" s="3">
        <v>45390</v>
      </c>
      <c r="F1472" s="3">
        <v>45562</v>
      </c>
      <c r="G1472" s="2" t="s">
        <v>3885</v>
      </c>
      <c r="H1472" s="2">
        <v>752338</v>
      </c>
      <c r="I1472" s="2">
        <v>648496</v>
      </c>
      <c r="J1472" s="2" t="s">
        <v>3888</v>
      </c>
      <c r="K1472" s="2" t="s">
        <v>3893</v>
      </c>
      <c r="L1472" s="2">
        <v>2024</v>
      </c>
      <c r="M1472" s="2">
        <v>103842</v>
      </c>
      <c r="N1472" s="2">
        <f xml:space="preserve"> (Table1[[#This Row],[Variance (USD)]] / Table1[[#This Row],[Actual Spending (USD)]]) * 100</f>
        <v>16.012743332264193</v>
      </c>
      <c r="O1472" s="5" t="s">
        <v>3898</v>
      </c>
    </row>
    <row r="1473" spans="1:15" x14ac:dyDescent="0.25">
      <c r="A1473" s="4" t="s">
        <v>1486</v>
      </c>
      <c r="B1473" s="2" t="s">
        <v>3045</v>
      </c>
      <c r="C1473" s="2" t="s">
        <v>3874</v>
      </c>
      <c r="D1473" s="2" t="s">
        <v>3882</v>
      </c>
      <c r="E1473" s="3">
        <v>45607</v>
      </c>
      <c r="F1473" s="3">
        <v>45351</v>
      </c>
      <c r="G1473" s="2" t="s">
        <v>3885</v>
      </c>
      <c r="H1473" s="2">
        <v>796178</v>
      </c>
      <c r="I1473" s="2">
        <v>97114</v>
      </c>
      <c r="J1473" s="2" t="s">
        <v>3892</v>
      </c>
      <c r="K1473" s="2" t="s">
        <v>3896</v>
      </c>
      <c r="L1473" s="2">
        <v>2024</v>
      </c>
      <c r="M1473" s="2">
        <v>699064</v>
      </c>
      <c r="N1473" s="2">
        <f xml:space="preserve"> (Table1[[#This Row],[Variance (USD)]] / Table1[[#This Row],[Actual Spending (USD)]]) * 100</f>
        <v>719.83854027225732</v>
      </c>
      <c r="O1473" s="5" t="s">
        <v>3898</v>
      </c>
    </row>
    <row r="1474" spans="1:15" x14ac:dyDescent="0.25">
      <c r="A1474" s="4" t="s">
        <v>1487</v>
      </c>
      <c r="B1474" s="2" t="s">
        <v>3489</v>
      </c>
      <c r="C1474" s="2" t="s">
        <v>3873</v>
      </c>
      <c r="D1474" s="2" t="s">
        <v>3880</v>
      </c>
      <c r="E1474" s="3">
        <v>45460</v>
      </c>
      <c r="F1474" s="3">
        <v>45587</v>
      </c>
      <c r="G1474" s="2" t="s">
        <v>3884</v>
      </c>
      <c r="H1474" s="2">
        <v>777729</v>
      </c>
      <c r="I1474" s="2">
        <v>683479</v>
      </c>
      <c r="J1474" s="2" t="s">
        <v>3888</v>
      </c>
      <c r="K1474" s="2" t="s">
        <v>3893</v>
      </c>
      <c r="L1474" s="2">
        <v>2025</v>
      </c>
      <c r="M1474" s="2">
        <v>94250</v>
      </c>
      <c r="N1474" s="2">
        <f xml:space="preserve"> (Table1[[#This Row],[Variance (USD)]] / Table1[[#This Row],[Actual Spending (USD)]]) * 100</f>
        <v>13.789743357147769</v>
      </c>
      <c r="O1474" s="5" t="s">
        <v>3897</v>
      </c>
    </row>
    <row r="1475" spans="1:15" x14ac:dyDescent="0.25">
      <c r="A1475" s="4" t="s">
        <v>1488</v>
      </c>
      <c r="B1475" s="2" t="s">
        <v>3430</v>
      </c>
      <c r="C1475" s="2" t="s">
        <v>3875</v>
      </c>
      <c r="D1475" s="2" t="s">
        <v>3879</v>
      </c>
      <c r="E1475" s="3">
        <v>44992</v>
      </c>
      <c r="F1475" s="3">
        <v>45758</v>
      </c>
      <c r="G1475" s="2" t="s">
        <v>3884</v>
      </c>
      <c r="H1475" s="2">
        <v>447968</v>
      </c>
      <c r="I1475" s="2">
        <v>1110736</v>
      </c>
      <c r="J1475" s="2" t="s">
        <v>3890</v>
      </c>
      <c r="K1475" s="2" t="s">
        <v>3896</v>
      </c>
      <c r="L1475" s="2">
        <v>2025</v>
      </c>
      <c r="M1475" s="2">
        <v>-662768</v>
      </c>
      <c r="N1475" s="2">
        <f xml:space="preserve"> (Table1[[#This Row],[Variance (USD)]] / Table1[[#This Row],[Actual Spending (USD)]]) * 100</f>
        <v>-59.669264343642411</v>
      </c>
      <c r="O1475" s="5" t="s">
        <v>3897</v>
      </c>
    </row>
    <row r="1476" spans="1:15" x14ac:dyDescent="0.25">
      <c r="A1476" s="4" t="s">
        <v>1489</v>
      </c>
      <c r="B1476" s="2" t="s">
        <v>3138</v>
      </c>
      <c r="C1476" s="2" t="s">
        <v>3869</v>
      </c>
      <c r="D1476" s="2" t="s">
        <v>3876</v>
      </c>
      <c r="E1476" s="3">
        <v>44947</v>
      </c>
      <c r="F1476" s="3">
        <v>45526</v>
      </c>
      <c r="G1476" s="2" t="s">
        <v>3887</v>
      </c>
      <c r="H1476" s="2">
        <v>598795</v>
      </c>
      <c r="I1476" s="2">
        <v>915443</v>
      </c>
      <c r="J1476" s="2" t="s">
        <v>3890</v>
      </c>
      <c r="K1476" s="2" t="s">
        <v>3893</v>
      </c>
      <c r="L1476" s="2">
        <v>2023</v>
      </c>
      <c r="M1476" s="2">
        <v>-316648</v>
      </c>
      <c r="N1476" s="2">
        <f xml:space="preserve"> (Table1[[#This Row],[Variance (USD)]] / Table1[[#This Row],[Actual Spending (USD)]]) * 100</f>
        <v>-34.589592142820472</v>
      </c>
      <c r="O1476" s="5" t="s">
        <v>3900</v>
      </c>
    </row>
    <row r="1477" spans="1:15" x14ac:dyDescent="0.25">
      <c r="A1477" s="4" t="s">
        <v>1490</v>
      </c>
      <c r="B1477" s="2" t="s">
        <v>3035</v>
      </c>
      <c r="C1477" s="2" t="s">
        <v>3870</v>
      </c>
      <c r="D1477" s="2" t="s">
        <v>3877</v>
      </c>
      <c r="E1477" s="3">
        <v>45538</v>
      </c>
      <c r="F1477" s="3">
        <v>45968</v>
      </c>
      <c r="G1477" s="2" t="s">
        <v>3885</v>
      </c>
      <c r="H1477" s="2">
        <v>528921</v>
      </c>
      <c r="I1477" s="2">
        <v>949284</v>
      </c>
      <c r="J1477" s="2" t="s">
        <v>3889</v>
      </c>
      <c r="K1477" s="2" t="s">
        <v>3896</v>
      </c>
      <c r="L1477" s="2">
        <v>2023</v>
      </c>
      <c r="M1477" s="2">
        <v>-420363</v>
      </c>
      <c r="N1477" s="2">
        <f xml:space="preserve"> (Table1[[#This Row],[Variance (USD)]] / Table1[[#This Row],[Actual Spending (USD)]]) * 100</f>
        <v>-44.282111570404645</v>
      </c>
      <c r="O1477" s="5" t="s">
        <v>3898</v>
      </c>
    </row>
    <row r="1478" spans="1:15" x14ac:dyDescent="0.25">
      <c r="A1478" s="4" t="s">
        <v>1491</v>
      </c>
      <c r="B1478" s="2" t="s">
        <v>3636</v>
      </c>
      <c r="C1478" s="2" t="s">
        <v>3869</v>
      </c>
      <c r="D1478" s="2" t="s">
        <v>3881</v>
      </c>
      <c r="E1478" s="3">
        <v>45310</v>
      </c>
      <c r="F1478" s="3">
        <v>45997</v>
      </c>
      <c r="G1478" s="2" t="s">
        <v>3885</v>
      </c>
      <c r="H1478" s="2">
        <v>698513</v>
      </c>
      <c r="I1478" s="2">
        <v>1075843</v>
      </c>
      <c r="J1478" s="2" t="s">
        <v>3889</v>
      </c>
      <c r="K1478" s="2" t="s">
        <v>3894</v>
      </c>
      <c r="L1478" s="2">
        <v>2024</v>
      </c>
      <c r="M1478" s="2">
        <v>-377330</v>
      </c>
      <c r="N1478" s="2">
        <f xml:space="preserve"> (Table1[[#This Row],[Variance (USD)]] / Table1[[#This Row],[Actual Spending (USD)]]) * 100</f>
        <v>-35.072961389347704</v>
      </c>
      <c r="O1478" s="5" t="s">
        <v>3898</v>
      </c>
    </row>
    <row r="1479" spans="1:15" x14ac:dyDescent="0.25">
      <c r="A1479" s="4" t="s">
        <v>1492</v>
      </c>
      <c r="B1479" s="2" t="s">
        <v>3722</v>
      </c>
      <c r="C1479" s="2" t="s">
        <v>3874</v>
      </c>
      <c r="D1479" s="2" t="s">
        <v>3881</v>
      </c>
      <c r="E1479" s="3">
        <v>45541</v>
      </c>
      <c r="F1479" s="3">
        <v>45525</v>
      </c>
      <c r="G1479" s="2" t="s">
        <v>3885</v>
      </c>
      <c r="H1479" s="2">
        <v>304295</v>
      </c>
      <c r="I1479" s="2">
        <v>671137</v>
      </c>
      <c r="J1479" s="2" t="s">
        <v>3890</v>
      </c>
      <c r="K1479" s="2" t="s">
        <v>3896</v>
      </c>
      <c r="L1479" s="2">
        <v>2024</v>
      </c>
      <c r="M1479" s="2">
        <v>-366842</v>
      </c>
      <c r="N1479" s="2">
        <f xml:space="preserve"> (Table1[[#This Row],[Variance (USD)]] / Table1[[#This Row],[Actual Spending (USD)]]) * 100</f>
        <v>-54.659778852901866</v>
      </c>
      <c r="O1479" s="5" t="s">
        <v>3898</v>
      </c>
    </row>
    <row r="1480" spans="1:15" x14ac:dyDescent="0.25">
      <c r="A1480" s="4" t="s">
        <v>1493</v>
      </c>
      <c r="B1480" s="2" t="s">
        <v>3723</v>
      </c>
      <c r="C1480" s="2" t="s">
        <v>3871</v>
      </c>
      <c r="D1480" s="2" t="s">
        <v>3882</v>
      </c>
      <c r="E1480" s="3">
        <v>45485</v>
      </c>
      <c r="F1480" s="3">
        <v>45659</v>
      </c>
      <c r="G1480" s="2" t="s">
        <v>3884</v>
      </c>
      <c r="H1480" s="2">
        <v>160282</v>
      </c>
      <c r="I1480" s="2">
        <v>127052</v>
      </c>
      <c r="J1480" s="2" t="s">
        <v>3890</v>
      </c>
      <c r="K1480" s="2" t="s">
        <v>3893</v>
      </c>
      <c r="L1480" s="2">
        <v>2025</v>
      </c>
      <c r="M1480" s="2">
        <v>33230</v>
      </c>
      <c r="N1480" s="2">
        <f xml:space="preserve"> (Table1[[#This Row],[Variance (USD)]] / Table1[[#This Row],[Actual Spending (USD)]]) * 100</f>
        <v>26.154645342064665</v>
      </c>
      <c r="O1480" s="5" t="s">
        <v>3897</v>
      </c>
    </row>
    <row r="1481" spans="1:15" x14ac:dyDescent="0.25">
      <c r="A1481" s="4" t="s">
        <v>1494</v>
      </c>
      <c r="B1481" s="2" t="s">
        <v>3498</v>
      </c>
      <c r="C1481" s="2" t="s">
        <v>3869</v>
      </c>
      <c r="D1481" s="2" t="s">
        <v>3878</v>
      </c>
      <c r="E1481" s="3">
        <v>44965</v>
      </c>
      <c r="F1481" s="3">
        <v>45986</v>
      </c>
      <c r="G1481" s="2" t="s">
        <v>3886</v>
      </c>
      <c r="H1481" s="2">
        <v>271538</v>
      </c>
      <c r="I1481" s="2">
        <v>682182</v>
      </c>
      <c r="J1481" s="2" t="s">
        <v>3892</v>
      </c>
      <c r="K1481" s="2" t="s">
        <v>3893</v>
      </c>
      <c r="L1481" s="2">
        <v>2023</v>
      </c>
      <c r="M1481" s="2">
        <v>-410644</v>
      </c>
      <c r="N1481" s="2">
        <f xml:space="preserve"> (Table1[[#This Row],[Variance (USD)]] / Table1[[#This Row],[Actual Spending (USD)]]) * 100</f>
        <v>-60.195666259150784</v>
      </c>
      <c r="O1481" s="5" t="s">
        <v>3899</v>
      </c>
    </row>
    <row r="1482" spans="1:15" x14ac:dyDescent="0.25">
      <c r="A1482" s="4" t="s">
        <v>1495</v>
      </c>
      <c r="B1482" s="2" t="s">
        <v>3333</v>
      </c>
      <c r="C1482" s="2" t="s">
        <v>3868</v>
      </c>
      <c r="D1482" s="2" t="s">
        <v>3876</v>
      </c>
      <c r="E1482" s="3">
        <v>45211</v>
      </c>
      <c r="F1482" s="3">
        <v>45523</v>
      </c>
      <c r="G1482" s="2" t="s">
        <v>3884</v>
      </c>
      <c r="H1482" s="2">
        <v>241958</v>
      </c>
      <c r="I1482" s="2">
        <v>193233</v>
      </c>
      <c r="J1482" s="2" t="s">
        <v>3888</v>
      </c>
      <c r="K1482" s="2" t="s">
        <v>3896</v>
      </c>
      <c r="L1482" s="2">
        <v>2023</v>
      </c>
      <c r="M1482" s="2">
        <v>48725</v>
      </c>
      <c r="N1482" s="2">
        <f xml:space="preserve"> (Table1[[#This Row],[Variance (USD)]] / Table1[[#This Row],[Actual Spending (USD)]]) * 100</f>
        <v>25.215672271299418</v>
      </c>
      <c r="O1482" s="5" t="s">
        <v>3897</v>
      </c>
    </row>
    <row r="1483" spans="1:15" x14ac:dyDescent="0.25">
      <c r="A1483" s="4" t="s">
        <v>1496</v>
      </c>
      <c r="B1483" s="2" t="s">
        <v>3460</v>
      </c>
      <c r="C1483" s="2" t="s">
        <v>3869</v>
      </c>
      <c r="D1483" s="2" t="s">
        <v>3876</v>
      </c>
      <c r="E1483" s="3">
        <v>45528</v>
      </c>
      <c r="F1483" s="3">
        <v>45782</v>
      </c>
      <c r="G1483" s="2" t="s">
        <v>3884</v>
      </c>
      <c r="H1483" s="2">
        <v>382703</v>
      </c>
      <c r="I1483" s="2">
        <v>467715</v>
      </c>
      <c r="J1483" s="2" t="s">
        <v>3889</v>
      </c>
      <c r="K1483" s="2" t="s">
        <v>3896</v>
      </c>
      <c r="L1483" s="2">
        <v>2025</v>
      </c>
      <c r="M1483" s="2">
        <v>-85012</v>
      </c>
      <c r="N1483" s="2">
        <f xml:space="preserve"> (Table1[[#This Row],[Variance (USD)]] / Table1[[#This Row],[Actual Spending (USD)]]) * 100</f>
        <v>-18.176025998738549</v>
      </c>
      <c r="O1483" s="5" t="s">
        <v>3897</v>
      </c>
    </row>
    <row r="1484" spans="1:15" x14ac:dyDescent="0.25">
      <c r="A1484" s="4" t="s">
        <v>1497</v>
      </c>
      <c r="B1484" s="2" t="s">
        <v>3724</v>
      </c>
      <c r="C1484" s="2" t="s">
        <v>3871</v>
      </c>
      <c r="D1484" s="2" t="s">
        <v>3883</v>
      </c>
      <c r="E1484" s="3">
        <v>45523</v>
      </c>
      <c r="F1484" s="3">
        <v>45910</v>
      </c>
      <c r="G1484" s="2" t="s">
        <v>3886</v>
      </c>
      <c r="H1484" s="2">
        <v>575270</v>
      </c>
      <c r="I1484" s="2">
        <v>717246</v>
      </c>
      <c r="J1484" s="2" t="s">
        <v>3892</v>
      </c>
      <c r="K1484" s="2" t="s">
        <v>3895</v>
      </c>
      <c r="L1484" s="2">
        <v>2025</v>
      </c>
      <c r="M1484" s="2">
        <v>-141976</v>
      </c>
      <c r="N1484" s="2">
        <f xml:space="preserve"> (Table1[[#This Row],[Variance (USD)]] / Table1[[#This Row],[Actual Spending (USD)]]) * 100</f>
        <v>-19.794603246306007</v>
      </c>
      <c r="O1484" s="5" t="s">
        <v>3899</v>
      </c>
    </row>
    <row r="1485" spans="1:15" x14ac:dyDescent="0.25">
      <c r="A1485" s="4" t="s">
        <v>1498</v>
      </c>
      <c r="B1485" s="2" t="s">
        <v>3537</v>
      </c>
      <c r="C1485" s="2" t="s">
        <v>3872</v>
      </c>
      <c r="D1485" s="2" t="s">
        <v>3876</v>
      </c>
      <c r="E1485" s="3">
        <v>45262</v>
      </c>
      <c r="F1485" s="3">
        <v>45794</v>
      </c>
      <c r="G1485" s="2" t="s">
        <v>3884</v>
      </c>
      <c r="H1485" s="2">
        <v>260913</v>
      </c>
      <c r="I1485" s="2">
        <v>432016</v>
      </c>
      <c r="J1485" s="2" t="s">
        <v>3888</v>
      </c>
      <c r="K1485" s="2" t="s">
        <v>3895</v>
      </c>
      <c r="L1485" s="2">
        <v>2025</v>
      </c>
      <c r="M1485" s="2">
        <v>-171103</v>
      </c>
      <c r="N1485" s="2">
        <f xml:space="preserve"> (Table1[[#This Row],[Variance (USD)]] / Table1[[#This Row],[Actual Spending (USD)]]) * 100</f>
        <v>-39.605709047813043</v>
      </c>
      <c r="O1485" s="5" t="s">
        <v>3897</v>
      </c>
    </row>
    <row r="1486" spans="1:15" x14ac:dyDescent="0.25">
      <c r="A1486" s="4" t="s">
        <v>1499</v>
      </c>
      <c r="B1486" s="2" t="s">
        <v>3478</v>
      </c>
      <c r="C1486" s="2" t="s">
        <v>3875</v>
      </c>
      <c r="D1486" s="2" t="s">
        <v>3881</v>
      </c>
      <c r="E1486" s="3">
        <v>45114</v>
      </c>
      <c r="F1486" s="3">
        <v>45883</v>
      </c>
      <c r="G1486" s="2" t="s">
        <v>3886</v>
      </c>
      <c r="H1486" s="2">
        <v>703416</v>
      </c>
      <c r="I1486" s="2">
        <v>79460</v>
      </c>
      <c r="J1486" s="2" t="s">
        <v>3889</v>
      </c>
      <c r="K1486" s="2" t="s">
        <v>3894</v>
      </c>
      <c r="L1486" s="2">
        <v>2025</v>
      </c>
      <c r="M1486" s="2">
        <v>623956</v>
      </c>
      <c r="N1486" s="2">
        <f xml:space="preserve"> (Table1[[#This Row],[Variance (USD)]] / Table1[[#This Row],[Actual Spending (USD)]]) * 100</f>
        <v>785.24540649383334</v>
      </c>
      <c r="O1486" s="5" t="s">
        <v>3899</v>
      </c>
    </row>
    <row r="1487" spans="1:15" x14ac:dyDescent="0.25">
      <c r="A1487" s="4" t="s">
        <v>1500</v>
      </c>
      <c r="B1487" s="2" t="s">
        <v>3271</v>
      </c>
      <c r="C1487" s="2" t="s">
        <v>3870</v>
      </c>
      <c r="D1487" s="2" t="s">
        <v>3880</v>
      </c>
      <c r="E1487" s="3">
        <v>45597</v>
      </c>
      <c r="F1487" s="3">
        <v>45672</v>
      </c>
      <c r="G1487" s="2" t="s">
        <v>3884</v>
      </c>
      <c r="H1487" s="2">
        <v>459362</v>
      </c>
      <c r="I1487" s="2">
        <v>100975</v>
      </c>
      <c r="J1487" s="2" t="s">
        <v>3892</v>
      </c>
      <c r="K1487" s="2" t="s">
        <v>3894</v>
      </c>
      <c r="L1487" s="2">
        <v>2023</v>
      </c>
      <c r="M1487" s="2">
        <v>358387</v>
      </c>
      <c r="N1487" s="2">
        <f xml:space="preserve"> (Table1[[#This Row],[Variance (USD)]] / Table1[[#This Row],[Actual Spending (USD)]]) * 100</f>
        <v>354.9264669472642</v>
      </c>
      <c r="O1487" s="5" t="s">
        <v>3897</v>
      </c>
    </row>
    <row r="1488" spans="1:15" x14ac:dyDescent="0.25">
      <c r="A1488" s="4" t="s">
        <v>1501</v>
      </c>
      <c r="B1488" s="2" t="s">
        <v>3725</v>
      </c>
      <c r="C1488" s="2" t="s">
        <v>3874</v>
      </c>
      <c r="D1488" s="2" t="s">
        <v>3878</v>
      </c>
      <c r="E1488" s="3">
        <v>45169</v>
      </c>
      <c r="F1488" s="3">
        <v>45987</v>
      </c>
      <c r="G1488" s="2" t="s">
        <v>3884</v>
      </c>
      <c r="H1488" s="2">
        <v>821393</v>
      </c>
      <c r="I1488" s="2">
        <v>949868</v>
      </c>
      <c r="J1488" s="2" t="s">
        <v>3891</v>
      </c>
      <c r="K1488" s="2" t="s">
        <v>3894</v>
      </c>
      <c r="L1488" s="2">
        <v>2025</v>
      </c>
      <c r="M1488" s="2">
        <v>-128475</v>
      </c>
      <c r="N1488" s="2">
        <f xml:space="preserve"> (Table1[[#This Row],[Variance (USD)]] / Table1[[#This Row],[Actual Spending (USD)]]) * 100</f>
        <v>-13.525563551988276</v>
      </c>
      <c r="O1488" s="5" t="s">
        <v>3897</v>
      </c>
    </row>
    <row r="1489" spans="1:15" x14ac:dyDescent="0.25">
      <c r="A1489" s="4" t="s">
        <v>1502</v>
      </c>
      <c r="B1489" s="2" t="s">
        <v>3386</v>
      </c>
      <c r="C1489" s="2" t="s">
        <v>3875</v>
      </c>
      <c r="D1489" s="2" t="s">
        <v>3878</v>
      </c>
      <c r="E1489" s="3">
        <v>44999</v>
      </c>
      <c r="F1489" s="3">
        <v>45719</v>
      </c>
      <c r="G1489" s="2" t="s">
        <v>3884</v>
      </c>
      <c r="H1489" s="2">
        <v>235915</v>
      </c>
      <c r="I1489" s="2">
        <v>95781</v>
      </c>
      <c r="J1489" s="2" t="s">
        <v>3891</v>
      </c>
      <c r="K1489" s="2" t="s">
        <v>3894</v>
      </c>
      <c r="L1489" s="2">
        <v>2025</v>
      </c>
      <c r="M1489" s="2">
        <v>140134</v>
      </c>
      <c r="N1489" s="2">
        <f xml:space="preserve"> (Table1[[#This Row],[Variance (USD)]] / Table1[[#This Row],[Actual Spending (USD)]]) * 100</f>
        <v>146.30667877762812</v>
      </c>
      <c r="O1489" s="5" t="s">
        <v>3897</v>
      </c>
    </row>
    <row r="1490" spans="1:15" x14ac:dyDescent="0.25">
      <c r="A1490" s="4" t="s">
        <v>1503</v>
      </c>
      <c r="B1490" s="2" t="s">
        <v>3057</v>
      </c>
      <c r="C1490" s="2" t="s">
        <v>3869</v>
      </c>
      <c r="D1490" s="2" t="s">
        <v>3877</v>
      </c>
      <c r="E1490" s="3">
        <v>45405</v>
      </c>
      <c r="F1490" s="3">
        <v>45988</v>
      </c>
      <c r="G1490" s="2" t="s">
        <v>3884</v>
      </c>
      <c r="H1490" s="2">
        <v>301762</v>
      </c>
      <c r="I1490" s="2">
        <v>300574</v>
      </c>
      <c r="J1490" s="2" t="s">
        <v>3889</v>
      </c>
      <c r="K1490" s="2" t="s">
        <v>3894</v>
      </c>
      <c r="L1490" s="2">
        <v>2023</v>
      </c>
      <c r="M1490" s="2">
        <v>1188</v>
      </c>
      <c r="N1490" s="2">
        <f xml:space="preserve"> (Table1[[#This Row],[Variance (USD)]] / Table1[[#This Row],[Actual Spending (USD)]]) * 100</f>
        <v>0.39524376692594831</v>
      </c>
      <c r="O1490" s="5" t="s">
        <v>3897</v>
      </c>
    </row>
    <row r="1491" spans="1:15" x14ac:dyDescent="0.25">
      <c r="A1491" s="4" t="s">
        <v>1504</v>
      </c>
      <c r="B1491" s="2" t="s">
        <v>3138</v>
      </c>
      <c r="C1491" s="2" t="s">
        <v>3873</v>
      </c>
      <c r="D1491" s="2" t="s">
        <v>3877</v>
      </c>
      <c r="E1491" s="3">
        <v>45487</v>
      </c>
      <c r="F1491" s="3">
        <v>45937</v>
      </c>
      <c r="G1491" s="2" t="s">
        <v>3884</v>
      </c>
      <c r="H1491" s="2">
        <v>651025</v>
      </c>
      <c r="I1491" s="2">
        <v>496935</v>
      </c>
      <c r="J1491" s="2" t="s">
        <v>3892</v>
      </c>
      <c r="K1491" s="2" t="s">
        <v>3896</v>
      </c>
      <c r="L1491" s="2">
        <v>2025</v>
      </c>
      <c r="M1491" s="2">
        <v>154090</v>
      </c>
      <c r="N1491" s="2">
        <f xml:space="preserve"> (Table1[[#This Row],[Variance (USD)]] / Table1[[#This Row],[Actual Spending (USD)]]) * 100</f>
        <v>31.008079527503597</v>
      </c>
      <c r="O1491" s="5" t="s">
        <v>3897</v>
      </c>
    </row>
    <row r="1492" spans="1:15" x14ac:dyDescent="0.25">
      <c r="A1492" s="4" t="s">
        <v>1505</v>
      </c>
      <c r="B1492" s="2" t="s">
        <v>3021</v>
      </c>
      <c r="C1492" s="2" t="s">
        <v>3875</v>
      </c>
      <c r="D1492" s="2" t="s">
        <v>3877</v>
      </c>
      <c r="E1492" s="3">
        <v>45027</v>
      </c>
      <c r="F1492" s="3">
        <v>45655</v>
      </c>
      <c r="G1492" s="2" t="s">
        <v>3884</v>
      </c>
      <c r="H1492" s="2">
        <v>132446</v>
      </c>
      <c r="I1492" s="2">
        <v>592980</v>
      </c>
      <c r="J1492" s="2" t="s">
        <v>3888</v>
      </c>
      <c r="K1492" s="2" t="s">
        <v>3895</v>
      </c>
      <c r="L1492" s="2">
        <v>2023</v>
      </c>
      <c r="M1492" s="2">
        <v>-460534</v>
      </c>
      <c r="N1492" s="2">
        <f xml:space="preserve"> (Table1[[#This Row],[Variance (USD)]] / Table1[[#This Row],[Actual Spending (USD)]]) * 100</f>
        <v>-77.664339438092341</v>
      </c>
      <c r="O1492" s="5" t="s">
        <v>3897</v>
      </c>
    </row>
    <row r="1493" spans="1:15" x14ac:dyDescent="0.25">
      <c r="A1493" s="4" t="s">
        <v>1506</v>
      </c>
      <c r="B1493" s="2" t="s">
        <v>3615</v>
      </c>
      <c r="C1493" s="2" t="s">
        <v>3872</v>
      </c>
      <c r="D1493" s="2" t="s">
        <v>3881</v>
      </c>
      <c r="E1493" s="3">
        <v>45440</v>
      </c>
      <c r="F1493" s="3">
        <v>45493</v>
      </c>
      <c r="G1493" s="2" t="s">
        <v>3887</v>
      </c>
      <c r="H1493" s="2">
        <v>138567</v>
      </c>
      <c r="I1493" s="2">
        <v>1108662</v>
      </c>
      <c r="J1493" s="2" t="s">
        <v>3888</v>
      </c>
      <c r="K1493" s="2" t="s">
        <v>3896</v>
      </c>
      <c r="L1493" s="2">
        <v>2023</v>
      </c>
      <c r="M1493" s="2">
        <v>-970095</v>
      </c>
      <c r="N1493" s="2">
        <f xml:space="preserve"> (Table1[[#This Row],[Variance (USD)]] / Table1[[#This Row],[Actual Spending (USD)]]) * 100</f>
        <v>-87.501420631355629</v>
      </c>
      <c r="O1493" s="5" t="s">
        <v>3900</v>
      </c>
    </row>
    <row r="1494" spans="1:15" x14ac:dyDescent="0.25">
      <c r="A1494" s="4" t="s">
        <v>1507</v>
      </c>
      <c r="B1494" s="2" t="s">
        <v>3052</v>
      </c>
      <c r="C1494" s="2" t="s">
        <v>3869</v>
      </c>
      <c r="D1494" s="2" t="s">
        <v>3881</v>
      </c>
      <c r="E1494" s="3">
        <v>45102</v>
      </c>
      <c r="F1494" s="3">
        <v>45437</v>
      </c>
      <c r="G1494" s="2" t="s">
        <v>3884</v>
      </c>
      <c r="H1494" s="2">
        <v>860068</v>
      </c>
      <c r="I1494" s="2">
        <v>259334</v>
      </c>
      <c r="J1494" s="2" t="s">
        <v>3892</v>
      </c>
      <c r="K1494" s="2" t="s">
        <v>3895</v>
      </c>
      <c r="L1494" s="2">
        <v>2025</v>
      </c>
      <c r="M1494" s="2">
        <v>600734</v>
      </c>
      <c r="N1494" s="2">
        <f xml:space="preserve"> (Table1[[#This Row],[Variance (USD)]] / Table1[[#This Row],[Actual Spending (USD)]]) * 100</f>
        <v>231.64490579715732</v>
      </c>
      <c r="O1494" s="5" t="s">
        <v>3897</v>
      </c>
    </row>
    <row r="1495" spans="1:15" x14ac:dyDescent="0.25">
      <c r="A1495" s="4" t="s">
        <v>1508</v>
      </c>
      <c r="B1495" s="2" t="s">
        <v>3524</v>
      </c>
      <c r="C1495" s="2" t="s">
        <v>3870</v>
      </c>
      <c r="D1495" s="2" t="s">
        <v>3882</v>
      </c>
      <c r="E1495" s="3">
        <v>45164</v>
      </c>
      <c r="F1495" s="3">
        <v>45930</v>
      </c>
      <c r="G1495" s="2" t="s">
        <v>3884</v>
      </c>
      <c r="H1495" s="2">
        <v>394994</v>
      </c>
      <c r="I1495" s="2">
        <v>296051</v>
      </c>
      <c r="J1495" s="2" t="s">
        <v>3891</v>
      </c>
      <c r="K1495" s="2" t="s">
        <v>3895</v>
      </c>
      <c r="L1495" s="2">
        <v>2025</v>
      </c>
      <c r="M1495" s="2">
        <v>98943</v>
      </c>
      <c r="N1495" s="2">
        <f xml:space="preserve"> (Table1[[#This Row],[Variance (USD)]] / Table1[[#This Row],[Actual Spending (USD)]]) * 100</f>
        <v>33.420930853130038</v>
      </c>
      <c r="O1495" s="5" t="s">
        <v>3897</v>
      </c>
    </row>
    <row r="1496" spans="1:15" x14ac:dyDescent="0.25">
      <c r="A1496" s="4" t="s">
        <v>1509</v>
      </c>
      <c r="B1496" s="2" t="s">
        <v>3169</v>
      </c>
      <c r="C1496" s="2" t="s">
        <v>3871</v>
      </c>
      <c r="D1496" s="2" t="s">
        <v>3881</v>
      </c>
      <c r="E1496" s="3">
        <v>44985</v>
      </c>
      <c r="F1496" s="3">
        <v>45748</v>
      </c>
      <c r="G1496" s="2" t="s">
        <v>3886</v>
      </c>
      <c r="H1496" s="2">
        <v>994836</v>
      </c>
      <c r="I1496" s="2">
        <v>259652</v>
      </c>
      <c r="J1496" s="2" t="s">
        <v>3892</v>
      </c>
      <c r="K1496" s="2" t="s">
        <v>3893</v>
      </c>
      <c r="L1496" s="2">
        <v>2024</v>
      </c>
      <c r="M1496" s="2">
        <v>735184</v>
      </c>
      <c r="N1496" s="2">
        <f xml:space="preserve"> (Table1[[#This Row],[Variance (USD)]] / Table1[[#This Row],[Actual Spending (USD)]]) * 100</f>
        <v>283.14205166915718</v>
      </c>
      <c r="O1496" s="5" t="s">
        <v>3899</v>
      </c>
    </row>
    <row r="1497" spans="1:15" x14ac:dyDescent="0.25">
      <c r="A1497" s="4" t="s">
        <v>1510</v>
      </c>
      <c r="B1497" s="2" t="s">
        <v>3242</v>
      </c>
      <c r="C1497" s="2" t="s">
        <v>3872</v>
      </c>
      <c r="D1497" s="2" t="s">
        <v>3881</v>
      </c>
      <c r="E1497" s="3">
        <v>45025</v>
      </c>
      <c r="F1497" s="3">
        <v>45426</v>
      </c>
      <c r="G1497" s="2" t="s">
        <v>3886</v>
      </c>
      <c r="H1497" s="2">
        <v>232506</v>
      </c>
      <c r="I1497" s="2">
        <v>1107180</v>
      </c>
      <c r="J1497" s="2" t="s">
        <v>3891</v>
      </c>
      <c r="K1497" s="2" t="s">
        <v>3893</v>
      </c>
      <c r="L1497" s="2">
        <v>2024</v>
      </c>
      <c r="M1497" s="2">
        <v>-874674</v>
      </c>
      <c r="N1497" s="2">
        <f xml:space="preserve"> (Table1[[#This Row],[Variance (USD)]] / Table1[[#This Row],[Actual Spending (USD)]]) * 100</f>
        <v>-79.000162575191027</v>
      </c>
      <c r="O1497" s="5" t="s">
        <v>3899</v>
      </c>
    </row>
    <row r="1498" spans="1:15" x14ac:dyDescent="0.25">
      <c r="A1498" s="4" t="s">
        <v>1511</v>
      </c>
      <c r="B1498" s="2" t="s">
        <v>3704</v>
      </c>
      <c r="C1498" s="2" t="s">
        <v>3869</v>
      </c>
      <c r="D1498" s="2" t="s">
        <v>3881</v>
      </c>
      <c r="E1498" s="3">
        <v>45421</v>
      </c>
      <c r="F1498" s="3">
        <v>45917</v>
      </c>
      <c r="G1498" s="2" t="s">
        <v>3884</v>
      </c>
      <c r="H1498" s="2">
        <v>133866</v>
      </c>
      <c r="I1498" s="2">
        <v>1116445</v>
      </c>
      <c r="J1498" s="2" t="s">
        <v>3891</v>
      </c>
      <c r="K1498" s="2" t="s">
        <v>3895</v>
      </c>
      <c r="L1498" s="2">
        <v>2023</v>
      </c>
      <c r="M1498" s="2">
        <v>-982579</v>
      </c>
      <c r="N1498" s="2">
        <f xml:space="preserve"> (Table1[[#This Row],[Variance (USD)]] / Table1[[#This Row],[Actual Spending (USD)]]) * 100</f>
        <v>-88.009619820053828</v>
      </c>
      <c r="O1498" s="5" t="s">
        <v>3897</v>
      </c>
    </row>
    <row r="1499" spans="1:15" x14ac:dyDescent="0.25">
      <c r="A1499" s="4" t="s">
        <v>1512</v>
      </c>
      <c r="B1499" s="2" t="s">
        <v>3026</v>
      </c>
      <c r="C1499" s="2" t="s">
        <v>3872</v>
      </c>
      <c r="D1499" s="2" t="s">
        <v>3881</v>
      </c>
      <c r="E1499" s="3">
        <v>45440</v>
      </c>
      <c r="F1499" s="3">
        <v>45555</v>
      </c>
      <c r="G1499" s="2" t="s">
        <v>3886</v>
      </c>
      <c r="H1499" s="2">
        <v>766631</v>
      </c>
      <c r="I1499" s="2">
        <v>699897</v>
      </c>
      <c r="J1499" s="2" t="s">
        <v>3888</v>
      </c>
      <c r="K1499" s="2" t="s">
        <v>3896</v>
      </c>
      <c r="L1499" s="2">
        <v>2023</v>
      </c>
      <c r="M1499" s="2">
        <v>66734</v>
      </c>
      <c r="N1499" s="2">
        <f xml:space="preserve"> (Table1[[#This Row],[Variance (USD)]] / Table1[[#This Row],[Actual Spending (USD)]]) * 100</f>
        <v>9.5348315537857715</v>
      </c>
      <c r="O1499" s="5" t="s">
        <v>3899</v>
      </c>
    </row>
    <row r="1500" spans="1:15" x14ac:dyDescent="0.25">
      <c r="A1500" s="4" t="s">
        <v>1513</v>
      </c>
      <c r="B1500" s="2" t="s">
        <v>3428</v>
      </c>
      <c r="C1500" s="2" t="s">
        <v>3875</v>
      </c>
      <c r="D1500" s="2" t="s">
        <v>3880</v>
      </c>
      <c r="E1500" s="3">
        <v>45223</v>
      </c>
      <c r="F1500" s="3">
        <v>45355</v>
      </c>
      <c r="G1500" s="2" t="s">
        <v>3886</v>
      </c>
      <c r="H1500" s="2">
        <v>112726</v>
      </c>
      <c r="I1500" s="2">
        <v>808845</v>
      </c>
      <c r="J1500" s="2" t="s">
        <v>3889</v>
      </c>
      <c r="K1500" s="2" t="s">
        <v>3895</v>
      </c>
      <c r="L1500" s="2">
        <v>2024</v>
      </c>
      <c r="M1500" s="2">
        <v>-696119</v>
      </c>
      <c r="N1500" s="2">
        <f xml:space="preserve"> (Table1[[#This Row],[Variance (USD)]] / Table1[[#This Row],[Actual Spending (USD)]]) * 100</f>
        <v>-86.063337227775406</v>
      </c>
      <c r="O1500" s="5" t="s">
        <v>3899</v>
      </c>
    </row>
    <row r="1501" spans="1:15" x14ac:dyDescent="0.25">
      <c r="A1501" s="4" t="s">
        <v>1514</v>
      </c>
      <c r="B1501" s="2" t="s">
        <v>3497</v>
      </c>
      <c r="C1501" s="2" t="s">
        <v>3870</v>
      </c>
      <c r="D1501" s="2" t="s">
        <v>3881</v>
      </c>
      <c r="E1501" s="3">
        <v>45137</v>
      </c>
      <c r="F1501" s="3">
        <v>45782</v>
      </c>
      <c r="G1501" s="2" t="s">
        <v>3884</v>
      </c>
      <c r="H1501" s="2">
        <v>917333</v>
      </c>
      <c r="I1501" s="2">
        <v>673549</v>
      </c>
      <c r="J1501" s="2" t="s">
        <v>3890</v>
      </c>
      <c r="K1501" s="2" t="s">
        <v>3894</v>
      </c>
      <c r="L1501" s="2">
        <v>2023</v>
      </c>
      <c r="M1501" s="2">
        <v>243784</v>
      </c>
      <c r="N1501" s="2">
        <f xml:space="preserve"> (Table1[[#This Row],[Variance (USD)]] / Table1[[#This Row],[Actual Spending (USD)]]) * 100</f>
        <v>36.193951739220161</v>
      </c>
      <c r="O1501" s="5" t="s">
        <v>3897</v>
      </c>
    </row>
    <row r="1502" spans="1:15" x14ac:dyDescent="0.25">
      <c r="A1502" s="4" t="s">
        <v>1515</v>
      </c>
      <c r="B1502" s="2" t="s">
        <v>3726</v>
      </c>
      <c r="C1502" s="2" t="s">
        <v>3871</v>
      </c>
      <c r="D1502" s="2" t="s">
        <v>3882</v>
      </c>
      <c r="E1502" s="3">
        <v>45049</v>
      </c>
      <c r="F1502" s="3">
        <v>45938</v>
      </c>
      <c r="G1502" s="2" t="s">
        <v>3884</v>
      </c>
      <c r="H1502" s="2">
        <v>552253</v>
      </c>
      <c r="I1502" s="2">
        <v>406783</v>
      </c>
      <c r="J1502" s="2" t="s">
        <v>3892</v>
      </c>
      <c r="K1502" s="2" t="s">
        <v>3896</v>
      </c>
      <c r="L1502" s="2">
        <v>2024</v>
      </c>
      <c r="M1502" s="2">
        <v>145470</v>
      </c>
      <c r="N1502" s="2">
        <f xml:space="preserve"> (Table1[[#This Row],[Variance (USD)]] / Table1[[#This Row],[Actual Spending (USD)]]) * 100</f>
        <v>35.761081461123005</v>
      </c>
      <c r="O1502" s="5" t="s">
        <v>3897</v>
      </c>
    </row>
    <row r="1503" spans="1:15" x14ac:dyDescent="0.25">
      <c r="A1503" s="4" t="s">
        <v>1516</v>
      </c>
      <c r="B1503" s="2" t="s">
        <v>3221</v>
      </c>
      <c r="C1503" s="2" t="s">
        <v>3869</v>
      </c>
      <c r="D1503" s="2" t="s">
        <v>3876</v>
      </c>
      <c r="E1503" s="3">
        <v>45155</v>
      </c>
      <c r="F1503" s="3">
        <v>45332</v>
      </c>
      <c r="G1503" s="2" t="s">
        <v>3885</v>
      </c>
      <c r="H1503" s="2">
        <v>715468</v>
      </c>
      <c r="I1503" s="2">
        <v>460037</v>
      </c>
      <c r="J1503" s="2" t="s">
        <v>3891</v>
      </c>
      <c r="K1503" s="2" t="s">
        <v>3896</v>
      </c>
      <c r="L1503" s="2">
        <v>2025</v>
      </c>
      <c r="M1503" s="2">
        <v>255431</v>
      </c>
      <c r="N1503" s="2">
        <f xml:space="preserve"> (Table1[[#This Row],[Variance (USD)]] / Table1[[#This Row],[Actual Spending (USD)]]) * 100</f>
        <v>55.524012199018777</v>
      </c>
      <c r="O1503" s="5" t="s">
        <v>3898</v>
      </c>
    </row>
    <row r="1504" spans="1:15" x14ac:dyDescent="0.25">
      <c r="A1504" s="4" t="s">
        <v>1517</v>
      </c>
      <c r="B1504" s="2" t="s">
        <v>3727</v>
      </c>
      <c r="C1504" s="2" t="s">
        <v>3868</v>
      </c>
      <c r="D1504" s="2" t="s">
        <v>3876</v>
      </c>
      <c r="E1504" s="3">
        <v>45520</v>
      </c>
      <c r="F1504" s="3">
        <v>45587</v>
      </c>
      <c r="G1504" s="2" t="s">
        <v>3885</v>
      </c>
      <c r="H1504" s="2">
        <v>643184</v>
      </c>
      <c r="I1504" s="2">
        <v>417736</v>
      </c>
      <c r="J1504" s="2" t="s">
        <v>3892</v>
      </c>
      <c r="K1504" s="2" t="s">
        <v>3895</v>
      </c>
      <c r="L1504" s="2">
        <v>2025</v>
      </c>
      <c r="M1504" s="2">
        <v>225448</v>
      </c>
      <c r="N1504" s="2">
        <f xml:space="preserve"> (Table1[[#This Row],[Variance (USD)]] / Table1[[#This Row],[Actual Spending (USD)]]) * 100</f>
        <v>53.969013922668864</v>
      </c>
      <c r="O1504" s="5" t="s">
        <v>3898</v>
      </c>
    </row>
    <row r="1505" spans="1:15" x14ac:dyDescent="0.25">
      <c r="A1505" s="4" t="s">
        <v>1518</v>
      </c>
      <c r="B1505" s="2" t="s">
        <v>3322</v>
      </c>
      <c r="C1505" s="2" t="s">
        <v>3874</v>
      </c>
      <c r="D1505" s="2" t="s">
        <v>3883</v>
      </c>
      <c r="E1505" s="3">
        <v>45582</v>
      </c>
      <c r="F1505" s="3">
        <v>45294</v>
      </c>
      <c r="G1505" s="2" t="s">
        <v>3886</v>
      </c>
      <c r="H1505" s="2">
        <v>223625</v>
      </c>
      <c r="I1505" s="2">
        <v>1062333</v>
      </c>
      <c r="J1505" s="2" t="s">
        <v>3889</v>
      </c>
      <c r="K1505" s="2" t="s">
        <v>3894</v>
      </c>
      <c r="L1505" s="2">
        <v>2025</v>
      </c>
      <c r="M1505" s="2">
        <v>-838708</v>
      </c>
      <c r="N1505" s="2">
        <f xml:space="preserve"> (Table1[[#This Row],[Variance (USD)]] / Table1[[#This Row],[Actual Spending (USD)]]) * 100</f>
        <v>-78.949632554010833</v>
      </c>
      <c r="O1505" s="5" t="s">
        <v>3899</v>
      </c>
    </row>
    <row r="1506" spans="1:15" x14ac:dyDescent="0.25">
      <c r="A1506" s="4" t="s">
        <v>1519</v>
      </c>
      <c r="B1506" s="2" t="s">
        <v>3430</v>
      </c>
      <c r="C1506" s="2" t="s">
        <v>3871</v>
      </c>
      <c r="D1506" s="2" t="s">
        <v>3880</v>
      </c>
      <c r="E1506" s="3">
        <v>45314</v>
      </c>
      <c r="F1506" s="3">
        <v>45997</v>
      </c>
      <c r="G1506" s="2" t="s">
        <v>3884</v>
      </c>
      <c r="H1506" s="2">
        <v>615168</v>
      </c>
      <c r="I1506" s="2">
        <v>454642</v>
      </c>
      <c r="J1506" s="2" t="s">
        <v>3889</v>
      </c>
      <c r="K1506" s="2" t="s">
        <v>3895</v>
      </c>
      <c r="L1506" s="2">
        <v>2023</v>
      </c>
      <c r="M1506" s="2">
        <v>160526</v>
      </c>
      <c r="N1506" s="2">
        <f xml:space="preserve"> (Table1[[#This Row],[Variance (USD)]] / Table1[[#This Row],[Actual Spending (USD)]]) * 100</f>
        <v>35.30822053395859</v>
      </c>
      <c r="O1506" s="5" t="s">
        <v>3897</v>
      </c>
    </row>
    <row r="1507" spans="1:15" x14ac:dyDescent="0.25">
      <c r="A1507" s="4" t="s">
        <v>1520</v>
      </c>
      <c r="B1507" s="2" t="s">
        <v>3387</v>
      </c>
      <c r="C1507" s="2" t="s">
        <v>3868</v>
      </c>
      <c r="D1507" s="2" t="s">
        <v>3877</v>
      </c>
      <c r="E1507" s="3">
        <v>45066</v>
      </c>
      <c r="F1507" s="3">
        <v>45401</v>
      </c>
      <c r="G1507" s="2" t="s">
        <v>3884</v>
      </c>
      <c r="H1507" s="2">
        <v>819680</v>
      </c>
      <c r="I1507" s="2">
        <v>649165</v>
      </c>
      <c r="J1507" s="2" t="s">
        <v>3890</v>
      </c>
      <c r="K1507" s="2" t="s">
        <v>3894</v>
      </c>
      <c r="L1507" s="2">
        <v>2025</v>
      </c>
      <c r="M1507" s="2">
        <v>170515</v>
      </c>
      <c r="N1507" s="2">
        <f xml:space="preserve"> (Table1[[#This Row],[Variance (USD)]] / Table1[[#This Row],[Actual Spending (USD)]]) * 100</f>
        <v>26.266819683747585</v>
      </c>
      <c r="O1507" s="5" t="s">
        <v>3897</v>
      </c>
    </row>
    <row r="1508" spans="1:15" x14ac:dyDescent="0.25">
      <c r="A1508" s="4" t="s">
        <v>1521</v>
      </c>
      <c r="B1508" s="2" t="s">
        <v>3728</v>
      </c>
      <c r="C1508" s="2" t="s">
        <v>3872</v>
      </c>
      <c r="D1508" s="2" t="s">
        <v>3879</v>
      </c>
      <c r="E1508" s="3">
        <v>45467</v>
      </c>
      <c r="F1508" s="3">
        <v>45512</v>
      </c>
      <c r="G1508" s="2" t="s">
        <v>3886</v>
      </c>
      <c r="H1508" s="2">
        <v>364221</v>
      </c>
      <c r="I1508" s="2">
        <v>299457</v>
      </c>
      <c r="J1508" s="2" t="s">
        <v>3890</v>
      </c>
      <c r="K1508" s="2" t="s">
        <v>3896</v>
      </c>
      <c r="L1508" s="2">
        <v>2023</v>
      </c>
      <c r="M1508" s="2">
        <v>64764</v>
      </c>
      <c r="N1508" s="2">
        <f xml:space="preserve"> (Table1[[#This Row],[Variance (USD)]] / Table1[[#This Row],[Actual Spending (USD)]]) * 100</f>
        <v>21.62714513269017</v>
      </c>
      <c r="O1508" s="5" t="s">
        <v>3899</v>
      </c>
    </row>
    <row r="1509" spans="1:15" x14ac:dyDescent="0.25">
      <c r="A1509" s="4" t="s">
        <v>1522</v>
      </c>
      <c r="B1509" s="2" t="s">
        <v>3100</v>
      </c>
      <c r="C1509" s="2" t="s">
        <v>3873</v>
      </c>
      <c r="D1509" s="2" t="s">
        <v>3881</v>
      </c>
      <c r="E1509" s="3">
        <v>45317</v>
      </c>
      <c r="F1509" s="3">
        <v>45661</v>
      </c>
      <c r="G1509" s="2" t="s">
        <v>3884</v>
      </c>
      <c r="H1509" s="2">
        <v>53625</v>
      </c>
      <c r="I1509" s="2">
        <v>89668</v>
      </c>
      <c r="J1509" s="2" t="s">
        <v>3891</v>
      </c>
      <c r="K1509" s="2" t="s">
        <v>3895</v>
      </c>
      <c r="L1509" s="2">
        <v>2025</v>
      </c>
      <c r="M1509" s="2">
        <v>-36043</v>
      </c>
      <c r="N1509" s="2">
        <f xml:space="preserve"> (Table1[[#This Row],[Variance (USD)]] / Table1[[#This Row],[Actual Spending (USD)]]) * 100</f>
        <v>-40.196056564214658</v>
      </c>
      <c r="O1509" s="5" t="s">
        <v>3897</v>
      </c>
    </row>
    <row r="1510" spans="1:15" x14ac:dyDescent="0.25">
      <c r="A1510" s="4" t="s">
        <v>1523</v>
      </c>
      <c r="B1510" s="2" t="s">
        <v>3729</v>
      </c>
      <c r="C1510" s="2" t="s">
        <v>3871</v>
      </c>
      <c r="D1510" s="2" t="s">
        <v>3883</v>
      </c>
      <c r="E1510" s="3">
        <v>45196</v>
      </c>
      <c r="F1510" s="3">
        <v>45659</v>
      </c>
      <c r="G1510" s="2" t="s">
        <v>3884</v>
      </c>
      <c r="H1510" s="2">
        <v>88237</v>
      </c>
      <c r="I1510" s="2">
        <v>384100</v>
      </c>
      <c r="J1510" s="2" t="s">
        <v>3890</v>
      </c>
      <c r="K1510" s="2" t="s">
        <v>3894</v>
      </c>
      <c r="L1510" s="2">
        <v>2023</v>
      </c>
      <c r="M1510" s="2">
        <v>-295863</v>
      </c>
      <c r="N1510" s="2">
        <f xml:space="preserve"> (Table1[[#This Row],[Variance (USD)]] / Table1[[#This Row],[Actual Spending (USD)]]) * 100</f>
        <v>-77.027596979953145</v>
      </c>
      <c r="O1510" s="5" t="s">
        <v>3897</v>
      </c>
    </row>
    <row r="1511" spans="1:15" x14ac:dyDescent="0.25">
      <c r="A1511" s="4" t="s">
        <v>1524</v>
      </c>
      <c r="B1511" s="2" t="s">
        <v>3261</v>
      </c>
      <c r="C1511" s="2" t="s">
        <v>3872</v>
      </c>
      <c r="D1511" s="2" t="s">
        <v>3879</v>
      </c>
      <c r="E1511" s="3">
        <v>44938</v>
      </c>
      <c r="F1511" s="3">
        <v>45727</v>
      </c>
      <c r="G1511" s="2" t="s">
        <v>3886</v>
      </c>
      <c r="H1511" s="2">
        <v>51223</v>
      </c>
      <c r="I1511" s="2">
        <v>756610</v>
      </c>
      <c r="J1511" s="2" t="s">
        <v>3891</v>
      </c>
      <c r="K1511" s="2" t="s">
        <v>3893</v>
      </c>
      <c r="L1511" s="2">
        <v>2023</v>
      </c>
      <c r="M1511" s="2">
        <v>-705387</v>
      </c>
      <c r="N1511" s="2">
        <f xml:space="preserve"> (Table1[[#This Row],[Variance (USD)]] / Table1[[#This Row],[Actual Spending (USD)]]) * 100</f>
        <v>-93.229933519250338</v>
      </c>
      <c r="O1511" s="5" t="s">
        <v>3899</v>
      </c>
    </row>
    <row r="1512" spans="1:15" x14ac:dyDescent="0.25">
      <c r="A1512" s="4" t="s">
        <v>1525</v>
      </c>
      <c r="B1512" s="2" t="s">
        <v>3730</v>
      </c>
      <c r="C1512" s="2" t="s">
        <v>3868</v>
      </c>
      <c r="D1512" s="2" t="s">
        <v>3882</v>
      </c>
      <c r="E1512" s="3">
        <v>45315</v>
      </c>
      <c r="F1512" s="3">
        <v>45295</v>
      </c>
      <c r="G1512" s="2" t="s">
        <v>3884</v>
      </c>
      <c r="H1512" s="2">
        <v>240375</v>
      </c>
      <c r="I1512" s="2">
        <v>669375</v>
      </c>
      <c r="J1512" s="2" t="s">
        <v>3888</v>
      </c>
      <c r="K1512" s="2" t="s">
        <v>3896</v>
      </c>
      <c r="L1512" s="2">
        <v>2024</v>
      </c>
      <c r="M1512" s="2">
        <v>-429000</v>
      </c>
      <c r="N1512" s="2">
        <f xml:space="preserve"> (Table1[[#This Row],[Variance (USD)]] / Table1[[#This Row],[Actual Spending (USD)]]) * 100</f>
        <v>-64.089635854341736</v>
      </c>
      <c r="O1512" s="5" t="s">
        <v>3897</v>
      </c>
    </row>
    <row r="1513" spans="1:15" x14ac:dyDescent="0.25">
      <c r="A1513" s="4" t="s">
        <v>1526</v>
      </c>
      <c r="B1513" s="2" t="s">
        <v>3488</v>
      </c>
      <c r="C1513" s="2" t="s">
        <v>3875</v>
      </c>
      <c r="D1513" s="2" t="s">
        <v>3876</v>
      </c>
      <c r="E1513" s="3">
        <v>45263</v>
      </c>
      <c r="F1513" s="3">
        <v>45535</v>
      </c>
      <c r="G1513" s="2" t="s">
        <v>3886</v>
      </c>
      <c r="H1513" s="2">
        <v>115197</v>
      </c>
      <c r="I1513" s="2">
        <v>411595</v>
      </c>
      <c r="J1513" s="2" t="s">
        <v>3891</v>
      </c>
      <c r="K1513" s="2" t="s">
        <v>3896</v>
      </c>
      <c r="L1513" s="2">
        <v>2024</v>
      </c>
      <c r="M1513" s="2">
        <v>-296398</v>
      </c>
      <c r="N1513" s="2">
        <f xml:space="preserve"> (Table1[[#This Row],[Variance (USD)]] / Table1[[#This Row],[Actual Spending (USD)]]) * 100</f>
        <v>-72.012050680887768</v>
      </c>
      <c r="O1513" s="5" t="s">
        <v>3899</v>
      </c>
    </row>
    <row r="1514" spans="1:15" x14ac:dyDescent="0.25">
      <c r="A1514" s="4" t="s">
        <v>1527</v>
      </c>
      <c r="B1514" s="2" t="s">
        <v>3348</v>
      </c>
      <c r="C1514" s="2" t="s">
        <v>3875</v>
      </c>
      <c r="D1514" s="2" t="s">
        <v>3883</v>
      </c>
      <c r="E1514" s="3">
        <v>45432</v>
      </c>
      <c r="F1514" s="3">
        <v>45457</v>
      </c>
      <c r="G1514" s="2" t="s">
        <v>3885</v>
      </c>
      <c r="H1514" s="2">
        <v>286486</v>
      </c>
      <c r="I1514" s="2">
        <v>121634</v>
      </c>
      <c r="J1514" s="2" t="s">
        <v>3890</v>
      </c>
      <c r="K1514" s="2" t="s">
        <v>3893</v>
      </c>
      <c r="L1514" s="2">
        <v>2024</v>
      </c>
      <c r="M1514" s="2">
        <v>164852</v>
      </c>
      <c r="N1514" s="2">
        <f xml:space="preserve"> (Table1[[#This Row],[Variance (USD)]] / Table1[[#This Row],[Actual Spending (USD)]]) * 100</f>
        <v>135.53118371507966</v>
      </c>
      <c r="O1514" s="5" t="s">
        <v>3898</v>
      </c>
    </row>
    <row r="1515" spans="1:15" x14ac:dyDescent="0.25">
      <c r="A1515" s="4" t="s">
        <v>1528</v>
      </c>
      <c r="B1515" s="2" t="s">
        <v>3169</v>
      </c>
      <c r="C1515" s="2" t="s">
        <v>3873</v>
      </c>
      <c r="D1515" s="2" t="s">
        <v>3882</v>
      </c>
      <c r="E1515" s="3">
        <v>45032</v>
      </c>
      <c r="F1515" s="3">
        <v>45317</v>
      </c>
      <c r="G1515" s="2" t="s">
        <v>3884</v>
      </c>
      <c r="H1515" s="2">
        <v>386837</v>
      </c>
      <c r="I1515" s="2">
        <v>989798</v>
      </c>
      <c r="J1515" s="2" t="s">
        <v>3892</v>
      </c>
      <c r="K1515" s="2" t="s">
        <v>3894</v>
      </c>
      <c r="L1515" s="2">
        <v>2023</v>
      </c>
      <c r="M1515" s="2">
        <v>-602961</v>
      </c>
      <c r="N1515" s="2">
        <f xml:space="preserve"> (Table1[[#This Row],[Variance (USD)]] / Table1[[#This Row],[Actual Spending (USD)]]) * 100</f>
        <v>-60.917581163025183</v>
      </c>
      <c r="O1515" s="5" t="s">
        <v>3897</v>
      </c>
    </row>
    <row r="1516" spans="1:15" x14ac:dyDescent="0.25">
      <c r="A1516" s="4" t="s">
        <v>1529</v>
      </c>
      <c r="B1516" s="2" t="s">
        <v>3731</v>
      </c>
      <c r="C1516" s="2" t="s">
        <v>3874</v>
      </c>
      <c r="D1516" s="2" t="s">
        <v>3883</v>
      </c>
      <c r="E1516" s="3">
        <v>44958</v>
      </c>
      <c r="F1516" s="3">
        <v>45686</v>
      </c>
      <c r="G1516" s="2" t="s">
        <v>3885</v>
      </c>
      <c r="H1516" s="2">
        <v>685843</v>
      </c>
      <c r="I1516" s="2">
        <v>139119</v>
      </c>
      <c r="J1516" s="2" t="s">
        <v>3890</v>
      </c>
      <c r="K1516" s="2" t="s">
        <v>3896</v>
      </c>
      <c r="L1516" s="2">
        <v>2024</v>
      </c>
      <c r="M1516" s="2">
        <v>546724</v>
      </c>
      <c r="N1516" s="2">
        <f xml:space="preserve"> (Table1[[#This Row],[Variance (USD)]] / Table1[[#This Row],[Actual Spending (USD)]]) * 100</f>
        <v>392.99017387991574</v>
      </c>
      <c r="O1516" s="5" t="s">
        <v>3898</v>
      </c>
    </row>
    <row r="1517" spans="1:15" x14ac:dyDescent="0.25">
      <c r="A1517" s="4" t="s">
        <v>1530</v>
      </c>
      <c r="B1517" s="2" t="s">
        <v>3714</v>
      </c>
      <c r="C1517" s="2" t="s">
        <v>3871</v>
      </c>
      <c r="D1517" s="2" t="s">
        <v>3878</v>
      </c>
      <c r="E1517" s="3">
        <v>45000</v>
      </c>
      <c r="F1517" s="3">
        <v>45765</v>
      </c>
      <c r="G1517" s="2" t="s">
        <v>3884</v>
      </c>
      <c r="H1517" s="2">
        <v>349904</v>
      </c>
      <c r="I1517" s="2">
        <v>363935</v>
      </c>
      <c r="J1517" s="2" t="s">
        <v>3889</v>
      </c>
      <c r="K1517" s="2" t="s">
        <v>3894</v>
      </c>
      <c r="L1517" s="2">
        <v>2024</v>
      </c>
      <c r="M1517" s="2">
        <v>-14031</v>
      </c>
      <c r="N1517" s="2">
        <f xml:space="preserve"> (Table1[[#This Row],[Variance (USD)]] / Table1[[#This Row],[Actual Spending (USD)]]) * 100</f>
        <v>-3.8553587865965078</v>
      </c>
      <c r="O1517" s="5" t="s">
        <v>3897</v>
      </c>
    </row>
    <row r="1518" spans="1:15" x14ac:dyDescent="0.25">
      <c r="A1518" s="4" t="s">
        <v>1531</v>
      </c>
      <c r="B1518" s="2" t="s">
        <v>3732</v>
      </c>
      <c r="C1518" s="2" t="s">
        <v>3871</v>
      </c>
      <c r="D1518" s="2" t="s">
        <v>3882</v>
      </c>
      <c r="E1518" s="3">
        <v>45097</v>
      </c>
      <c r="F1518" s="3">
        <v>45308</v>
      </c>
      <c r="G1518" s="2" t="s">
        <v>3885</v>
      </c>
      <c r="H1518" s="2">
        <v>522398</v>
      </c>
      <c r="I1518" s="2">
        <v>983487</v>
      </c>
      <c r="J1518" s="2" t="s">
        <v>3890</v>
      </c>
      <c r="K1518" s="2" t="s">
        <v>3893</v>
      </c>
      <c r="L1518" s="2">
        <v>2024</v>
      </c>
      <c r="M1518" s="2">
        <v>-461089</v>
      </c>
      <c r="N1518" s="2">
        <f xml:space="preserve"> (Table1[[#This Row],[Variance (USD)]] / Table1[[#This Row],[Actual Spending (USD)]]) * 100</f>
        <v>-46.883080305077755</v>
      </c>
      <c r="O1518" s="5" t="s">
        <v>3898</v>
      </c>
    </row>
    <row r="1519" spans="1:15" x14ac:dyDescent="0.25">
      <c r="A1519" s="4" t="s">
        <v>1532</v>
      </c>
      <c r="B1519" s="2" t="s">
        <v>3516</v>
      </c>
      <c r="C1519" s="2" t="s">
        <v>3871</v>
      </c>
      <c r="D1519" s="2" t="s">
        <v>3876</v>
      </c>
      <c r="E1519" s="3">
        <v>44995</v>
      </c>
      <c r="F1519" s="3">
        <v>46019</v>
      </c>
      <c r="G1519" s="2" t="s">
        <v>3884</v>
      </c>
      <c r="H1519" s="2">
        <v>946606</v>
      </c>
      <c r="I1519" s="2">
        <v>59715</v>
      </c>
      <c r="J1519" s="2" t="s">
        <v>3888</v>
      </c>
      <c r="K1519" s="2" t="s">
        <v>3895</v>
      </c>
      <c r="L1519" s="2">
        <v>2023</v>
      </c>
      <c r="M1519" s="2">
        <v>886891</v>
      </c>
      <c r="N1519" s="2">
        <f xml:space="preserve"> (Table1[[#This Row],[Variance (USD)]] / Table1[[#This Row],[Actual Spending (USD)]]) * 100</f>
        <v>1485.2063970526667</v>
      </c>
      <c r="O1519" s="5" t="s">
        <v>3897</v>
      </c>
    </row>
    <row r="1520" spans="1:15" x14ac:dyDescent="0.25">
      <c r="A1520" s="4" t="s">
        <v>1533</v>
      </c>
      <c r="B1520" s="2" t="s">
        <v>3561</v>
      </c>
      <c r="C1520" s="2" t="s">
        <v>3874</v>
      </c>
      <c r="D1520" s="2" t="s">
        <v>3876</v>
      </c>
      <c r="E1520" s="3">
        <v>45288</v>
      </c>
      <c r="F1520" s="3">
        <v>45383</v>
      </c>
      <c r="G1520" s="2" t="s">
        <v>3884</v>
      </c>
      <c r="H1520" s="2">
        <v>439336</v>
      </c>
      <c r="I1520" s="2">
        <v>983919</v>
      </c>
      <c r="J1520" s="2" t="s">
        <v>3891</v>
      </c>
      <c r="K1520" s="2" t="s">
        <v>3896</v>
      </c>
      <c r="L1520" s="2">
        <v>2023</v>
      </c>
      <c r="M1520" s="2">
        <v>-544583</v>
      </c>
      <c r="N1520" s="2">
        <f xml:space="preserve"> (Table1[[#This Row],[Variance (USD)]] / Table1[[#This Row],[Actual Spending (USD)]]) * 100</f>
        <v>-55.348356927755226</v>
      </c>
      <c r="O1520" s="5" t="s">
        <v>3897</v>
      </c>
    </row>
    <row r="1521" spans="1:15" x14ac:dyDescent="0.25">
      <c r="A1521" s="4" t="s">
        <v>1534</v>
      </c>
      <c r="B1521" s="2" t="s">
        <v>3230</v>
      </c>
      <c r="C1521" s="2" t="s">
        <v>3872</v>
      </c>
      <c r="D1521" s="2" t="s">
        <v>3880</v>
      </c>
      <c r="E1521" s="3">
        <v>45575</v>
      </c>
      <c r="F1521" s="3">
        <v>45774</v>
      </c>
      <c r="G1521" s="2" t="s">
        <v>3886</v>
      </c>
      <c r="H1521" s="2">
        <v>501182</v>
      </c>
      <c r="I1521" s="2">
        <v>248400</v>
      </c>
      <c r="J1521" s="2" t="s">
        <v>3889</v>
      </c>
      <c r="K1521" s="2" t="s">
        <v>3896</v>
      </c>
      <c r="L1521" s="2">
        <v>2024</v>
      </c>
      <c r="M1521" s="2">
        <v>252782</v>
      </c>
      <c r="N1521" s="2">
        <f xml:space="preserve"> (Table1[[#This Row],[Variance (USD)]] / Table1[[#This Row],[Actual Spending (USD)]]) * 100</f>
        <v>101.76409017713365</v>
      </c>
      <c r="O1521" s="5" t="s">
        <v>3899</v>
      </c>
    </row>
    <row r="1522" spans="1:15" x14ac:dyDescent="0.25">
      <c r="A1522" s="4" t="s">
        <v>1535</v>
      </c>
      <c r="B1522" s="2" t="s">
        <v>3733</v>
      </c>
      <c r="C1522" s="2" t="s">
        <v>3870</v>
      </c>
      <c r="D1522" s="2" t="s">
        <v>3883</v>
      </c>
      <c r="E1522" s="3">
        <v>45359</v>
      </c>
      <c r="F1522" s="3">
        <v>45834</v>
      </c>
      <c r="G1522" s="2" t="s">
        <v>3884</v>
      </c>
      <c r="H1522" s="2">
        <v>341168</v>
      </c>
      <c r="I1522" s="2">
        <v>999085</v>
      </c>
      <c r="J1522" s="2" t="s">
        <v>3891</v>
      </c>
      <c r="K1522" s="2" t="s">
        <v>3894</v>
      </c>
      <c r="L1522" s="2">
        <v>2024</v>
      </c>
      <c r="M1522" s="2">
        <v>-657917</v>
      </c>
      <c r="N1522" s="2">
        <f xml:space="preserve"> (Table1[[#This Row],[Variance (USD)]] / Table1[[#This Row],[Actual Spending (USD)]]) * 100</f>
        <v>-65.851954538402637</v>
      </c>
      <c r="O1522" s="5" t="s">
        <v>3897</v>
      </c>
    </row>
    <row r="1523" spans="1:15" x14ac:dyDescent="0.25">
      <c r="A1523" s="4" t="s">
        <v>1536</v>
      </c>
      <c r="B1523" s="2" t="s">
        <v>3734</v>
      </c>
      <c r="C1523" s="2" t="s">
        <v>3870</v>
      </c>
      <c r="D1523" s="2" t="s">
        <v>3881</v>
      </c>
      <c r="E1523" s="3">
        <v>45026</v>
      </c>
      <c r="F1523" s="3">
        <v>45496</v>
      </c>
      <c r="G1523" s="2" t="s">
        <v>3885</v>
      </c>
      <c r="H1523" s="2">
        <v>513539</v>
      </c>
      <c r="I1523" s="2">
        <v>689012</v>
      </c>
      <c r="J1523" s="2" t="s">
        <v>3891</v>
      </c>
      <c r="K1523" s="2" t="s">
        <v>3896</v>
      </c>
      <c r="L1523" s="2">
        <v>2023</v>
      </c>
      <c r="M1523" s="2">
        <v>-175473</v>
      </c>
      <c r="N1523" s="2">
        <f xml:space="preserve"> (Table1[[#This Row],[Variance (USD)]] / Table1[[#This Row],[Actual Spending (USD)]]) * 100</f>
        <v>-25.467335837401961</v>
      </c>
      <c r="O1523" s="5" t="s">
        <v>3898</v>
      </c>
    </row>
    <row r="1524" spans="1:15" x14ac:dyDescent="0.25">
      <c r="A1524" s="4" t="s">
        <v>1537</v>
      </c>
      <c r="B1524" s="2" t="s">
        <v>3735</v>
      </c>
      <c r="C1524" s="2" t="s">
        <v>3873</v>
      </c>
      <c r="D1524" s="2" t="s">
        <v>3876</v>
      </c>
      <c r="E1524" s="3">
        <v>45584</v>
      </c>
      <c r="F1524" s="3">
        <v>45793</v>
      </c>
      <c r="G1524" s="2" t="s">
        <v>3884</v>
      </c>
      <c r="H1524" s="2">
        <v>859634</v>
      </c>
      <c r="I1524" s="2">
        <v>174875</v>
      </c>
      <c r="J1524" s="2" t="s">
        <v>3890</v>
      </c>
      <c r="K1524" s="2" t="s">
        <v>3895</v>
      </c>
      <c r="L1524" s="2">
        <v>2023</v>
      </c>
      <c r="M1524" s="2">
        <v>684759</v>
      </c>
      <c r="N1524" s="2">
        <f xml:space="preserve"> (Table1[[#This Row],[Variance (USD)]] / Table1[[#This Row],[Actual Spending (USD)]]) * 100</f>
        <v>391.57055039313798</v>
      </c>
      <c r="O1524" s="5" t="s">
        <v>3897</v>
      </c>
    </row>
    <row r="1525" spans="1:15" x14ac:dyDescent="0.25">
      <c r="A1525" s="4" t="s">
        <v>1538</v>
      </c>
      <c r="B1525" s="2" t="s">
        <v>3402</v>
      </c>
      <c r="C1525" s="2" t="s">
        <v>3871</v>
      </c>
      <c r="D1525" s="2" t="s">
        <v>3883</v>
      </c>
      <c r="E1525" s="3">
        <v>44935</v>
      </c>
      <c r="F1525" s="3">
        <v>45691</v>
      </c>
      <c r="G1525" s="2" t="s">
        <v>3884</v>
      </c>
      <c r="H1525" s="2">
        <v>955846</v>
      </c>
      <c r="I1525" s="2">
        <v>298451</v>
      </c>
      <c r="J1525" s="2" t="s">
        <v>3892</v>
      </c>
      <c r="K1525" s="2" t="s">
        <v>3893</v>
      </c>
      <c r="L1525" s="2">
        <v>2024</v>
      </c>
      <c r="M1525" s="2">
        <v>657395</v>
      </c>
      <c r="N1525" s="2">
        <f xml:space="preserve"> (Table1[[#This Row],[Variance (USD)]] / Table1[[#This Row],[Actual Spending (USD)]]) * 100</f>
        <v>220.26898887924654</v>
      </c>
      <c r="O1525" s="5" t="s">
        <v>3897</v>
      </c>
    </row>
    <row r="1526" spans="1:15" x14ac:dyDescent="0.25">
      <c r="A1526" s="4" t="s">
        <v>1539</v>
      </c>
      <c r="B1526" s="2" t="s">
        <v>3736</v>
      </c>
      <c r="C1526" s="2" t="s">
        <v>3872</v>
      </c>
      <c r="D1526" s="2" t="s">
        <v>3880</v>
      </c>
      <c r="E1526" s="3">
        <v>45500</v>
      </c>
      <c r="F1526" s="3">
        <v>45498</v>
      </c>
      <c r="G1526" s="2" t="s">
        <v>3884</v>
      </c>
      <c r="H1526" s="2">
        <v>101524</v>
      </c>
      <c r="I1526" s="2">
        <v>350760</v>
      </c>
      <c r="J1526" s="2" t="s">
        <v>3889</v>
      </c>
      <c r="K1526" s="2" t="s">
        <v>3896</v>
      </c>
      <c r="L1526" s="2">
        <v>2024</v>
      </c>
      <c r="M1526" s="2">
        <v>-249236</v>
      </c>
      <c r="N1526" s="2">
        <f xml:space="preserve"> (Table1[[#This Row],[Variance (USD)]] / Table1[[#This Row],[Actual Spending (USD)]]) * 100</f>
        <v>-71.055992701562317</v>
      </c>
      <c r="O1526" s="5" t="s">
        <v>3897</v>
      </c>
    </row>
    <row r="1527" spans="1:15" x14ac:dyDescent="0.25">
      <c r="A1527" s="4" t="s">
        <v>1540</v>
      </c>
      <c r="B1527" s="2" t="s">
        <v>3286</v>
      </c>
      <c r="C1527" s="2" t="s">
        <v>3875</v>
      </c>
      <c r="D1527" s="2" t="s">
        <v>3881</v>
      </c>
      <c r="E1527" s="3">
        <v>45623</v>
      </c>
      <c r="F1527" s="3">
        <v>45910</v>
      </c>
      <c r="G1527" s="2" t="s">
        <v>3884</v>
      </c>
      <c r="H1527" s="2">
        <v>749268</v>
      </c>
      <c r="I1527" s="2">
        <v>1007987</v>
      </c>
      <c r="J1527" s="2" t="s">
        <v>3888</v>
      </c>
      <c r="K1527" s="2" t="s">
        <v>3893</v>
      </c>
      <c r="L1527" s="2">
        <v>2024</v>
      </c>
      <c r="M1527" s="2">
        <v>-258719</v>
      </c>
      <c r="N1527" s="2">
        <f xml:space="preserve"> (Table1[[#This Row],[Variance (USD)]] / Table1[[#This Row],[Actual Spending (USD)]]) * 100</f>
        <v>-25.666898481825655</v>
      </c>
      <c r="O1527" s="5" t="s">
        <v>3897</v>
      </c>
    </row>
    <row r="1528" spans="1:15" x14ac:dyDescent="0.25">
      <c r="A1528" s="4" t="s">
        <v>1541</v>
      </c>
      <c r="B1528" s="2" t="s">
        <v>3390</v>
      </c>
      <c r="C1528" s="2" t="s">
        <v>3868</v>
      </c>
      <c r="D1528" s="2" t="s">
        <v>3882</v>
      </c>
      <c r="E1528" s="3">
        <v>44955</v>
      </c>
      <c r="F1528" s="3">
        <v>45437</v>
      </c>
      <c r="G1528" s="2" t="s">
        <v>3884</v>
      </c>
      <c r="H1528" s="2">
        <v>479283</v>
      </c>
      <c r="I1528" s="2">
        <v>979078</v>
      </c>
      <c r="J1528" s="2" t="s">
        <v>3888</v>
      </c>
      <c r="K1528" s="2" t="s">
        <v>3894</v>
      </c>
      <c r="L1528" s="2">
        <v>2023</v>
      </c>
      <c r="M1528" s="2">
        <v>-499795</v>
      </c>
      <c r="N1528" s="2">
        <f xml:space="preserve"> (Table1[[#This Row],[Variance (USD)]] / Table1[[#This Row],[Actual Spending (USD)]]) * 100</f>
        <v>-51.047516132524684</v>
      </c>
      <c r="O1528" s="5" t="s">
        <v>3897</v>
      </c>
    </row>
    <row r="1529" spans="1:15" x14ac:dyDescent="0.25">
      <c r="A1529" s="4" t="s">
        <v>1542</v>
      </c>
      <c r="B1529" s="2" t="s">
        <v>3737</v>
      </c>
      <c r="C1529" s="2" t="s">
        <v>3872</v>
      </c>
      <c r="D1529" s="2" t="s">
        <v>3880</v>
      </c>
      <c r="E1529" s="3">
        <v>45040</v>
      </c>
      <c r="F1529" s="3">
        <v>45392</v>
      </c>
      <c r="G1529" s="2" t="s">
        <v>3886</v>
      </c>
      <c r="H1529" s="2">
        <v>452576</v>
      </c>
      <c r="I1529" s="2">
        <v>674116</v>
      </c>
      <c r="J1529" s="2" t="s">
        <v>3892</v>
      </c>
      <c r="K1529" s="2" t="s">
        <v>3895</v>
      </c>
      <c r="L1529" s="2">
        <v>2024</v>
      </c>
      <c r="M1529" s="2">
        <v>-221540</v>
      </c>
      <c r="N1529" s="2">
        <f xml:space="preserve"> (Table1[[#This Row],[Variance (USD)]] / Table1[[#This Row],[Actual Spending (USD)]]) * 100</f>
        <v>-32.863780120928745</v>
      </c>
      <c r="O1529" s="5" t="s">
        <v>3899</v>
      </c>
    </row>
    <row r="1530" spans="1:15" x14ac:dyDescent="0.25">
      <c r="A1530" s="4" t="s">
        <v>1543</v>
      </c>
      <c r="B1530" s="2" t="s">
        <v>3174</v>
      </c>
      <c r="C1530" s="2" t="s">
        <v>3874</v>
      </c>
      <c r="D1530" s="2" t="s">
        <v>3878</v>
      </c>
      <c r="E1530" s="3">
        <v>45388</v>
      </c>
      <c r="F1530" s="3">
        <v>45532</v>
      </c>
      <c r="G1530" s="2" t="s">
        <v>3886</v>
      </c>
      <c r="H1530" s="2">
        <v>410372</v>
      </c>
      <c r="I1530" s="2">
        <v>490287</v>
      </c>
      <c r="J1530" s="2" t="s">
        <v>3892</v>
      </c>
      <c r="K1530" s="2" t="s">
        <v>3896</v>
      </c>
      <c r="L1530" s="2">
        <v>2023</v>
      </c>
      <c r="M1530" s="2">
        <v>-79915</v>
      </c>
      <c r="N1530" s="2">
        <f xml:space="preserve"> (Table1[[#This Row],[Variance (USD)]] / Table1[[#This Row],[Actual Spending (USD)]]) * 100</f>
        <v>-16.299636743376837</v>
      </c>
      <c r="O1530" s="5" t="s">
        <v>3899</v>
      </c>
    </row>
    <row r="1531" spans="1:15" x14ac:dyDescent="0.25">
      <c r="A1531" s="4" t="s">
        <v>1544</v>
      </c>
      <c r="B1531" s="2" t="s">
        <v>3168</v>
      </c>
      <c r="C1531" s="2" t="s">
        <v>3870</v>
      </c>
      <c r="D1531" s="2" t="s">
        <v>3881</v>
      </c>
      <c r="E1531" s="3">
        <v>45069</v>
      </c>
      <c r="F1531" s="3">
        <v>45454</v>
      </c>
      <c r="G1531" s="2" t="s">
        <v>3885</v>
      </c>
      <c r="H1531" s="2">
        <v>154755</v>
      </c>
      <c r="I1531" s="2">
        <v>176004</v>
      </c>
      <c r="J1531" s="2" t="s">
        <v>3890</v>
      </c>
      <c r="K1531" s="2" t="s">
        <v>3893</v>
      </c>
      <c r="L1531" s="2">
        <v>2025</v>
      </c>
      <c r="M1531" s="2">
        <v>-21249</v>
      </c>
      <c r="N1531" s="2">
        <f xml:space="preserve"> (Table1[[#This Row],[Variance (USD)]] / Table1[[#This Row],[Actual Spending (USD)]]) * 100</f>
        <v>-12.073021067703007</v>
      </c>
      <c r="O1531" s="5" t="s">
        <v>3898</v>
      </c>
    </row>
    <row r="1532" spans="1:15" x14ac:dyDescent="0.25">
      <c r="A1532" s="4" t="s">
        <v>1545</v>
      </c>
      <c r="B1532" s="2" t="s">
        <v>3380</v>
      </c>
      <c r="C1532" s="2" t="s">
        <v>3870</v>
      </c>
      <c r="D1532" s="2" t="s">
        <v>3883</v>
      </c>
      <c r="E1532" s="3">
        <v>45316</v>
      </c>
      <c r="F1532" s="3">
        <v>45464</v>
      </c>
      <c r="G1532" s="2" t="s">
        <v>3887</v>
      </c>
      <c r="H1532" s="2">
        <v>718301</v>
      </c>
      <c r="I1532" s="2">
        <v>216478</v>
      </c>
      <c r="J1532" s="2" t="s">
        <v>3888</v>
      </c>
      <c r="K1532" s="2" t="s">
        <v>3895</v>
      </c>
      <c r="L1532" s="2">
        <v>2024</v>
      </c>
      <c r="M1532" s="2">
        <v>501823</v>
      </c>
      <c r="N1532" s="2">
        <f xml:space="preserve"> (Table1[[#This Row],[Variance (USD)]] / Table1[[#This Row],[Actual Spending (USD)]]) * 100</f>
        <v>231.81247055128003</v>
      </c>
      <c r="O1532" s="5" t="s">
        <v>3900</v>
      </c>
    </row>
    <row r="1533" spans="1:15" x14ac:dyDescent="0.25">
      <c r="A1533" s="4" t="s">
        <v>1546</v>
      </c>
      <c r="B1533" s="2" t="s">
        <v>3738</v>
      </c>
      <c r="C1533" s="2" t="s">
        <v>3875</v>
      </c>
      <c r="D1533" s="2" t="s">
        <v>3876</v>
      </c>
      <c r="E1533" s="3">
        <v>45558</v>
      </c>
      <c r="F1533" s="3">
        <v>45793</v>
      </c>
      <c r="G1533" s="2" t="s">
        <v>3884</v>
      </c>
      <c r="H1533" s="2">
        <v>328137</v>
      </c>
      <c r="I1533" s="2">
        <v>181397</v>
      </c>
      <c r="J1533" s="2" t="s">
        <v>3889</v>
      </c>
      <c r="K1533" s="2" t="s">
        <v>3893</v>
      </c>
      <c r="L1533" s="2">
        <v>2025</v>
      </c>
      <c r="M1533" s="2">
        <v>146740</v>
      </c>
      <c r="N1533" s="2">
        <f xml:space="preserve"> (Table1[[#This Row],[Variance (USD)]] / Table1[[#This Row],[Actual Spending (USD)]]) * 100</f>
        <v>80.894391858740775</v>
      </c>
      <c r="O1533" s="5" t="s">
        <v>3897</v>
      </c>
    </row>
    <row r="1534" spans="1:15" x14ac:dyDescent="0.25">
      <c r="A1534" s="4" t="s">
        <v>1547</v>
      </c>
      <c r="B1534" s="2" t="s">
        <v>3581</v>
      </c>
      <c r="C1534" s="2" t="s">
        <v>3875</v>
      </c>
      <c r="D1534" s="2" t="s">
        <v>3876</v>
      </c>
      <c r="E1534" s="3">
        <v>45608</v>
      </c>
      <c r="F1534" s="3">
        <v>45838</v>
      </c>
      <c r="G1534" s="2" t="s">
        <v>3886</v>
      </c>
      <c r="H1534" s="2">
        <v>588908</v>
      </c>
      <c r="I1534" s="2">
        <v>544507</v>
      </c>
      <c r="J1534" s="2" t="s">
        <v>3892</v>
      </c>
      <c r="K1534" s="2" t="s">
        <v>3894</v>
      </c>
      <c r="L1534" s="2">
        <v>2023</v>
      </c>
      <c r="M1534" s="2">
        <v>44401</v>
      </c>
      <c r="N1534" s="2">
        <f xml:space="preserve"> (Table1[[#This Row],[Variance (USD)]] / Table1[[#This Row],[Actual Spending (USD)]]) * 100</f>
        <v>8.1543487962505523</v>
      </c>
      <c r="O1534" s="5" t="s">
        <v>3899</v>
      </c>
    </row>
    <row r="1535" spans="1:15" x14ac:dyDescent="0.25">
      <c r="A1535" s="4" t="s">
        <v>1548</v>
      </c>
      <c r="B1535" s="2" t="s">
        <v>3309</v>
      </c>
      <c r="C1535" s="2" t="s">
        <v>3874</v>
      </c>
      <c r="D1535" s="2" t="s">
        <v>3883</v>
      </c>
      <c r="E1535" s="3">
        <v>45083</v>
      </c>
      <c r="F1535" s="3">
        <v>45575</v>
      </c>
      <c r="G1535" s="2" t="s">
        <v>3884</v>
      </c>
      <c r="H1535" s="2">
        <v>959703</v>
      </c>
      <c r="I1535" s="2">
        <v>930173</v>
      </c>
      <c r="J1535" s="2" t="s">
        <v>3892</v>
      </c>
      <c r="K1535" s="2" t="s">
        <v>3895</v>
      </c>
      <c r="L1535" s="2">
        <v>2025</v>
      </c>
      <c r="M1535" s="2">
        <v>29530</v>
      </c>
      <c r="N1535" s="2">
        <f xml:space="preserve"> (Table1[[#This Row],[Variance (USD)]] / Table1[[#This Row],[Actual Spending (USD)]]) * 100</f>
        <v>3.174678258775518</v>
      </c>
      <c r="O1535" s="5" t="s">
        <v>3897</v>
      </c>
    </row>
    <row r="1536" spans="1:15" x14ac:dyDescent="0.25">
      <c r="A1536" s="4" t="s">
        <v>1549</v>
      </c>
      <c r="B1536" s="2" t="s">
        <v>3105</v>
      </c>
      <c r="C1536" s="2" t="s">
        <v>3868</v>
      </c>
      <c r="D1536" s="2" t="s">
        <v>3883</v>
      </c>
      <c r="E1536" s="3">
        <v>45261</v>
      </c>
      <c r="F1536" s="3">
        <v>45650</v>
      </c>
      <c r="G1536" s="2" t="s">
        <v>3886</v>
      </c>
      <c r="H1536" s="2">
        <v>594481</v>
      </c>
      <c r="I1536" s="2">
        <v>546529</v>
      </c>
      <c r="J1536" s="2" t="s">
        <v>3892</v>
      </c>
      <c r="K1536" s="2" t="s">
        <v>3895</v>
      </c>
      <c r="L1536" s="2">
        <v>2024</v>
      </c>
      <c r="M1536" s="2">
        <v>47952</v>
      </c>
      <c r="N1536" s="2">
        <f xml:space="preserve"> (Table1[[#This Row],[Variance (USD)]] / Table1[[#This Row],[Actual Spending (USD)]]) * 100</f>
        <v>8.7739168461325932</v>
      </c>
      <c r="O1536" s="5" t="s">
        <v>3899</v>
      </c>
    </row>
    <row r="1537" spans="1:15" x14ac:dyDescent="0.25">
      <c r="A1537" s="4" t="s">
        <v>1550</v>
      </c>
      <c r="B1537" s="2" t="s">
        <v>3126</v>
      </c>
      <c r="C1537" s="2" t="s">
        <v>3875</v>
      </c>
      <c r="D1537" s="2" t="s">
        <v>3883</v>
      </c>
      <c r="E1537" s="3">
        <v>45186</v>
      </c>
      <c r="F1537" s="3">
        <v>45672</v>
      </c>
      <c r="G1537" s="2" t="s">
        <v>3884</v>
      </c>
      <c r="H1537" s="2">
        <v>887991</v>
      </c>
      <c r="I1537" s="2">
        <v>803559</v>
      </c>
      <c r="J1537" s="2" t="s">
        <v>3889</v>
      </c>
      <c r="K1537" s="2" t="s">
        <v>3894</v>
      </c>
      <c r="L1537" s="2">
        <v>2025</v>
      </c>
      <c r="M1537" s="2">
        <v>84432</v>
      </c>
      <c r="N1537" s="2">
        <f xml:space="preserve"> (Table1[[#This Row],[Variance (USD)]] / Table1[[#This Row],[Actual Spending (USD)]]) * 100</f>
        <v>10.507255845557079</v>
      </c>
      <c r="O1537" s="5" t="s">
        <v>3897</v>
      </c>
    </row>
    <row r="1538" spans="1:15" x14ac:dyDescent="0.25">
      <c r="A1538" s="4" t="s">
        <v>1551</v>
      </c>
      <c r="B1538" s="2" t="s">
        <v>3739</v>
      </c>
      <c r="C1538" s="2" t="s">
        <v>3873</v>
      </c>
      <c r="D1538" s="2" t="s">
        <v>3877</v>
      </c>
      <c r="E1538" s="3">
        <v>45008</v>
      </c>
      <c r="F1538" s="3">
        <v>45824</v>
      </c>
      <c r="G1538" s="2" t="s">
        <v>3887</v>
      </c>
      <c r="H1538" s="2">
        <v>333392</v>
      </c>
      <c r="I1538" s="2">
        <v>477246</v>
      </c>
      <c r="J1538" s="2" t="s">
        <v>3888</v>
      </c>
      <c r="K1538" s="2" t="s">
        <v>3894</v>
      </c>
      <c r="L1538" s="2">
        <v>2025</v>
      </c>
      <c r="M1538" s="2">
        <v>-143854</v>
      </c>
      <c r="N1538" s="2">
        <f xml:space="preserve"> (Table1[[#This Row],[Variance (USD)]] / Table1[[#This Row],[Actual Spending (USD)]]) * 100</f>
        <v>-30.142526076698388</v>
      </c>
      <c r="O1538" s="5" t="s">
        <v>3900</v>
      </c>
    </row>
    <row r="1539" spans="1:15" x14ac:dyDescent="0.25">
      <c r="A1539" s="4" t="s">
        <v>1552</v>
      </c>
      <c r="B1539" s="2" t="s">
        <v>3737</v>
      </c>
      <c r="C1539" s="2" t="s">
        <v>3868</v>
      </c>
      <c r="D1539" s="2" t="s">
        <v>3881</v>
      </c>
      <c r="E1539" s="3">
        <v>45367</v>
      </c>
      <c r="F1539" s="3">
        <v>45454</v>
      </c>
      <c r="G1539" s="2" t="s">
        <v>3886</v>
      </c>
      <c r="H1539" s="2">
        <v>489068</v>
      </c>
      <c r="I1539" s="2">
        <v>1173771</v>
      </c>
      <c r="J1539" s="2" t="s">
        <v>3889</v>
      </c>
      <c r="K1539" s="2" t="s">
        <v>3896</v>
      </c>
      <c r="L1539" s="2">
        <v>2025</v>
      </c>
      <c r="M1539" s="2">
        <v>-684703</v>
      </c>
      <c r="N1539" s="2">
        <f xml:space="preserve"> (Table1[[#This Row],[Variance (USD)]] / Table1[[#This Row],[Actual Spending (USD)]]) * 100</f>
        <v>-58.333610218688314</v>
      </c>
      <c r="O1539" s="5" t="s">
        <v>3899</v>
      </c>
    </row>
    <row r="1540" spans="1:15" x14ac:dyDescent="0.25">
      <c r="A1540" s="4" t="s">
        <v>1553</v>
      </c>
      <c r="B1540" s="2" t="s">
        <v>3057</v>
      </c>
      <c r="C1540" s="2" t="s">
        <v>3875</v>
      </c>
      <c r="D1540" s="2" t="s">
        <v>3876</v>
      </c>
      <c r="E1540" s="3">
        <v>45098</v>
      </c>
      <c r="F1540" s="3">
        <v>45900</v>
      </c>
      <c r="G1540" s="2" t="s">
        <v>3887</v>
      </c>
      <c r="H1540" s="2">
        <v>972531</v>
      </c>
      <c r="I1540" s="2">
        <v>419288</v>
      </c>
      <c r="J1540" s="2" t="s">
        <v>3889</v>
      </c>
      <c r="K1540" s="2" t="s">
        <v>3894</v>
      </c>
      <c r="L1540" s="2">
        <v>2023</v>
      </c>
      <c r="M1540" s="2">
        <v>553243</v>
      </c>
      <c r="N1540" s="2">
        <f xml:space="preserve"> (Table1[[#This Row],[Variance (USD)]] / Table1[[#This Row],[Actual Spending (USD)]]) * 100</f>
        <v>131.94820743737</v>
      </c>
      <c r="O1540" s="5" t="s">
        <v>3900</v>
      </c>
    </row>
    <row r="1541" spans="1:15" x14ac:dyDescent="0.25">
      <c r="A1541" s="4" t="s">
        <v>1554</v>
      </c>
      <c r="B1541" s="2" t="s">
        <v>3380</v>
      </c>
      <c r="C1541" s="2" t="s">
        <v>3869</v>
      </c>
      <c r="D1541" s="2" t="s">
        <v>3881</v>
      </c>
      <c r="E1541" s="3">
        <v>45157</v>
      </c>
      <c r="F1541" s="3">
        <v>45598</v>
      </c>
      <c r="G1541" s="2" t="s">
        <v>3885</v>
      </c>
      <c r="H1541" s="2">
        <v>899842</v>
      </c>
      <c r="I1541" s="2">
        <v>829428</v>
      </c>
      <c r="J1541" s="2" t="s">
        <v>3890</v>
      </c>
      <c r="K1541" s="2" t="s">
        <v>3894</v>
      </c>
      <c r="L1541" s="2">
        <v>2024</v>
      </c>
      <c r="M1541" s="2">
        <v>70414</v>
      </c>
      <c r="N1541" s="2">
        <f xml:space="preserve"> (Table1[[#This Row],[Variance (USD)]] / Table1[[#This Row],[Actual Spending (USD)]]) * 100</f>
        <v>8.489465028911491</v>
      </c>
      <c r="O1541" s="5" t="s">
        <v>3898</v>
      </c>
    </row>
    <row r="1542" spans="1:15" x14ac:dyDescent="0.25">
      <c r="A1542" s="4" t="s">
        <v>1555</v>
      </c>
      <c r="B1542" s="2" t="s">
        <v>3557</v>
      </c>
      <c r="C1542" s="2" t="s">
        <v>3872</v>
      </c>
      <c r="D1542" s="2" t="s">
        <v>3880</v>
      </c>
      <c r="E1542" s="3">
        <v>45646</v>
      </c>
      <c r="F1542" s="3">
        <v>45630</v>
      </c>
      <c r="G1542" s="2" t="s">
        <v>3885</v>
      </c>
      <c r="H1542" s="2">
        <v>316404</v>
      </c>
      <c r="I1542" s="2">
        <v>1050868</v>
      </c>
      <c r="J1542" s="2" t="s">
        <v>3892</v>
      </c>
      <c r="K1542" s="2" t="s">
        <v>3893</v>
      </c>
      <c r="L1542" s="2">
        <v>2023</v>
      </c>
      <c r="M1542" s="2">
        <v>-734464</v>
      </c>
      <c r="N1542" s="2">
        <f xml:space="preserve"> (Table1[[#This Row],[Variance (USD)]] / Table1[[#This Row],[Actual Spending (USD)]]) * 100</f>
        <v>-69.891175675727112</v>
      </c>
      <c r="O1542" s="5" t="s">
        <v>3898</v>
      </c>
    </row>
    <row r="1543" spans="1:15" x14ac:dyDescent="0.25">
      <c r="A1543" s="4" t="s">
        <v>1556</v>
      </c>
      <c r="B1543" s="2" t="s">
        <v>3688</v>
      </c>
      <c r="C1543" s="2" t="s">
        <v>3875</v>
      </c>
      <c r="D1543" s="2" t="s">
        <v>3876</v>
      </c>
      <c r="E1543" s="3">
        <v>45001</v>
      </c>
      <c r="F1543" s="3">
        <v>45346</v>
      </c>
      <c r="G1543" s="2" t="s">
        <v>3885</v>
      </c>
      <c r="H1543" s="2">
        <v>874028</v>
      </c>
      <c r="I1543" s="2">
        <v>868917</v>
      </c>
      <c r="J1543" s="2" t="s">
        <v>3888</v>
      </c>
      <c r="K1543" s="2" t="s">
        <v>3895</v>
      </c>
      <c r="L1543" s="2">
        <v>2025</v>
      </c>
      <c r="M1543" s="2">
        <v>5111</v>
      </c>
      <c r="N1543" s="2">
        <f xml:space="preserve"> (Table1[[#This Row],[Variance (USD)]] / Table1[[#This Row],[Actual Spending (USD)]]) * 100</f>
        <v>0.58820347628139402</v>
      </c>
      <c r="O1543" s="5" t="s">
        <v>3898</v>
      </c>
    </row>
    <row r="1544" spans="1:15" x14ac:dyDescent="0.25">
      <c r="A1544" s="4" t="s">
        <v>1557</v>
      </c>
      <c r="B1544" s="2" t="s">
        <v>3267</v>
      </c>
      <c r="C1544" s="2" t="s">
        <v>3873</v>
      </c>
      <c r="D1544" s="2" t="s">
        <v>3877</v>
      </c>
      <c r="E1544" s="3">
        <v>45196</v>
      </c>
      <c r="F1544" s="3">
        <v>45624</v>
      </c>
      <c r="G1544" s="2" t="s">
        <v>3884</v>
      </c>
      <c r="H1544" s="2">
        <v>812436</v>
      </c>
      <c r="I1544" s="2">
        <v>77830</v>
      </c>
      <c r="J1544" s="2" t="s">
        <v>3890</v>
      </c>
      <c r="K1544" s="2" t="s">
        <v>3893</v>
      </c>
      <c r="L1544" s="2">
        <v>2025</v>
      </c>
      <c r="M1544" s="2">
        <v>734606</v>
      </c>
      <c r="N1544" s="2">
        <f xml:space="preserve"> (Table1[[#This Row],[Variance (USD)]] / Table1[[#This Row],[Actual Spending (USD)]]) * 100</f>
        <v>943.85969420531933</v>
      </c>
      <c r="O1544" s="5" t="s">
        <v>3897</v>
      </c>
    </row>
    <row r="1545" spans="1:15" x14ac:dyDescent="0.25">
      <c r="A1545" s="4" t="s">
        <v>1558</v>
      </c>
      <c r="B1545" s="2" t="s">
        <v>3556</v>
      </c>
      <c r="C1545" s="2" t="s">
        <v>3871</v>
      </c>
      <c r="D1545" s="2" t="s">
        <v>3883</v>
      </c>
      <c r="E1545" s="3">
        <v>45552</v>
      </c>
      <c r="F1545" s="3">
        <v>45418</v>
      </c>
      <c r="G1545" s="2" t="s">
        <v>3884</v>
      </c>
      <c r="H1545" s="2">
        <v>59012</v>
      </c>
      <c r="I1545" s="2">
        <v>1112946</v>
      </c>
      <c r="J1545" s="2" t="s">
        <v>3890</v>
      </c>
      <c r="K1545" s="2" t="s">
        <v>3894</v>
      </c>
      <c r="L1545" s="2">
        <v>2023</v>
      </c>
      <c r="M1545" s="2">
        <v>-1053934</v>
      </c>
      <c r="N1545" s="2">
        <f xml:space="preserve"> (Table1[[#This Row],[Variance (USD)]] / Table1[[#This Row],[Actual Spending (USD)]]) * 100</f>
        <v>-94.697676257428483</v>
      </c>
      <c r="O1545" s="5" t="s">
        <v>3897</v>
      </c>
    </row>
    <row r="1546" spans="1:15" x14ac:dyDescent="0.25">
      <c r="A1546" s="4" t="s">
        <v>1559</v>
      </c>
      <c r="B1546" s="2" t="s">
        <v>3522</v>
      </c>
      <c r="C1546" s="2" t="s">
        <v>3875</v>
      </c>
      <c r="D1546" s="2" t="s">
        <v>3878</v>
      </c>
      <c r="E1546" s="3">
        <v>44988</v>
      </c>
      <c r="F1546" s="3">
        <v>45996</v>
      </c>
      <c r="G1546" s="2" t="s">
        <v>3884</v>
      </c>
      <c r="H1546" s="2">
        <v>75823</v>
      </c>
      <c r="I1546" s="2">
        <v>874004</v>
      </c>
      <c r="J1546" s="2" t="s">
        <v>3891</v>
      </c>
      <c r="K1546" s="2" t="s">
        <v>3896</v>
      </c>
      <c r="L1546" s="2">
        <v>2023</v>
      </c>
      <c r="M1546" s="2">
        <v>-798181</v>
      </c>
      <c r="N1546" s="2">
        <f xml:space="preserve"> (Table1[[#This Row],[Variance (USD)]] / Table1[[#This Row],[Actual Spending (USD)]]) * 100</f>
        <v>-91.324639246502301</v>
      </c>
      <c r="O1546" s="5" t="s">
        <v>3897</v>
      </c>
    </row>
    <row r="1547" spans="1:15" x14ac:dyDescent="0.25">
      <c r="A1547" s="4" t="s">
        <v>1560</v>
      </c>
      <c r="B1547" s="2" t="s">
        <v>3717</v>
      </c>
      <c r="C1547" s="2" t="s">
        <v>3870</v>
      </c>
      <c r="D1547" s="2" t="s">
        <v>3883</v>
      </c>
      <c r="E1547" s="3">
        <v>45246</v>
      </c>
      <c r="F1547" s="3">
        <v>45534</v>
      </c>
      <c r="G1547" s="2" t="s">
        <v>3884</v>
      </c>
      <c r="H1547" s="2">
        <v>910283</v>
      </c>
      <c r="I1547" s="2">
        <v>502224</v>
      </c>
      <c r="J1547" s="2" t="s">
        <v>3892</v>
      </c>
      <c r="K1547" s="2" t="s">
        <v>3893</v>
      </c>
      <c r="L1547" s="2">
        <v>2025</v>
      </c>
      <c r="M1547" s="2">
        <v>408059</v>
      </c>
      <c r="N1547" s="2">
        <f xml:space="preserve"> (Table1[[#This Row],[Variance (USD)]] / Table1[[#This Row],[Actual Spending (USD)]]) * 100</f>
        <v>81.250398228678833</v>
      </c>
      <c r="O1547" s="5" t="s">
        <v>3897</v>
      </c>
    </row>
    <row r="1548" spans="1:15" x14ac:dyDescent="0.25">
      <c r="A1548" s="4" t="s">
        <v>1561</v>
      </c>
      <c r="B1548" s="2" t="s">
        <v>3364</v>
      </c>
      <c r="C1548" s="2" t="s">
        <v>3870</v>
      </c>
      <c r="D1548" s="2" t="s">
        <v>3882</v>
      </c>
      <c r="E1548" s="3">
        <v>45028</v>
      </c>
      <c r="F1548" s="3">
        <v>45891</v>
      </c>
      <c r="G1548" s="2" t="s">
        <v>3884</v>
      </c>
      <c r="H1548" s="2">
        <v>97027</v>
      </c>
      <c r="I1548" s="2">
        <v>845530</v>
      </c>
      <c r="J1548" s="2" t="s">
        <v>3888</v>
      </c>
      <c r="K1548" s="2" t="s">
        <v>3893</v>
      </c>
      <c r="L1548" s="2">
        <v>2024</v>
      </c>
      <c r="M1548" s="2">
        <v>-748503</v>
      </c>
      <c r="N1548" s="2">
        <f xml:space="preserve"> (Table1[[#This Row],[Variance (USD)]] / Table1[[#This Row],[Actual Spending (USD)]]) * 100</f>
        <v>-88.524712310621751</v>
      </c>
      <c r="O1548" s="5" t="s">
        <v>3897</v>
      </c>
    </row>
    <row r="1549" spans="1:15" x14ac:dyDescent="0.25">
      <c r="A1549" s="4" t="s">
        <v>1562</v>
      </c>
      <c r="B1549" s="2" t="s">
        <v>3451</v>
      </c>
      <c r="C1549" s="2" t="s">
        <v>3870</v>
      </c>
      <c r="D1549" s="2" t="s">
        <v>3883</v>
      </c>
      <c r="E1549" s="3">
        <v>45355</v>
      </c>
      <c r="F1549" s="3">
        <v>45700</v>
      </c>
      <c r="G1549" s="2" t="s">
        <v>3884</v>
      </c>
      <c r="H1549" s="2">
        <v>259239</v>
      </c>
      <c r="I1549" s="2">
        <v>746921</v>
      </c>
      <c r="J1549" s="2" t="s">
        <v>3888</v>
      </c>
      <c r="K1549" s="2" t="s">
        <v>3895</v>
      </c>
      <c r="L1549" s="2">
        <v>2023</v>
      </c>
      <c r="M1549" s="2">
        <v>-487682</v>
      </c>
      <c r="N1549" s="2">
        <f xml:space="preserve"> (Table1[[#This Row],[Variance (USD)]] / Table1[[#This Row],[Actual Spending (USD)]]) * 100</f>
        <v>-65.292313377184456</v>
      </c>
      <c r="O1549" s="5" t="s">
        <v>3897</v>
      </c>
    </row>
    <row r="1550" spans="1:15" x14ac:dyDescent="0.25">
      <c r="A1550" s="4" t="s">
        <v>1563</v>
      </c>
      <c r="B1550" s="2" t="s">
        <v>3651</v>
      </c>
      <c r="C1550" s="2" t="s">
        <v>3871</v>
      </c>
      <c r="D1550" s="2" t="s">
        <v>3877</v>
      </c>
      <c r="E1550" s="3">
        <v>45648</v>
      </c>
      <c r="F1550" s="3">
        <v>45794</v>
      </c>
      <c r="G1550" s="2" t="s">
        <v>3884</v>
      </c>
      <c r="H1550" s="2">
        <v>395938</v>
      </c>
      <c r="I1550" s="2">
        <v>750614</v>
      </c>
      <c r="J1550" s="2" t="s">
        <v>3888</v>
      </c>
      <c r="K1550" s="2" t="s">
        <v>3895</v>
      </c>
      <c r="L1550" s="2">
        <v>2025</v>
      </c>
      <c r="M1550" s="2">
        <v>-354676</v>
      </c>
      <c r="N1550" s="2">
        <f xml:space="preserve"> (Table1[[#This Row],[Variance (USD)]] / Table1[[#This Row],[Actual Spending (USD)]]) * 100</f>
        <v>-47.251450146147022</v>
      </c>
      <c r="O1550" s="5" t="s">
        <v>3897</v>
      </c>
    </row>
    <row r="1551" spans="1:15" x14ac:dyDescent="0.25">
      <c r="A1551" s="4" t="s">
        <v>1564</v>
      </c>
      <c r="B1551" s="2" t="s">
        <v>3172</v>
      </c>
      <c r="C1551" s="2" t="s">
        <v>3870</v>
      </c>
      <c r="D1551" s="2" t="s">
        <v>3881</v>
      </c>
      <c r="E1551" s="3">
        <v>45181</v>
      </c>
      <c r="F1551" s="3">
        <v>46018</v>
      </c>
      <c r="G1551" s="2" t="s">
        <v>3887</v>
      </c>
      <c r="H1551" s="2">
        <v>861531</v>
      </c>
      <c r="I1551" s="2">
        <v>1061824</v>
      </c>
      <c r="J1551" s="2" t="s">
        <v>3892</v>
      </c>
      <c r="K1551" s="2" t="s">
        <v>3895</v>
      </c>
      <c r="L1551" s="2">
        <v>2025</v>
      </c>
      <c r="M1551" s="2">
        <v>-200293</v>
      </c>
      <c r="N1551" s="2">
        <f xml:space="preserve"> (Table1[[#This Row],[Variance (USD)]] / Table1[[#This Row],[Actual Spending (USD)]]) * 100</f>
        <v>-18.863107256946538</v>
      </c>
      <c r="O1551" s="5" t="s">
        <v>3900</v>
      </c>
    </row>
    <row r="1552" spans="1:15" x14ac:dyDescent="0.25">
      <c r="A1552" s="4" t="s">
        <v>1565</v>
      </c>
      <c r="B1552" s="2" t="s">
        <v>3740</v>
      </c>
      <c r="C1552" s="2" t="s">
        <v>3869</v>
      </c>
      <c r="D1552" s="2" t="s">
        <v>3876</v>
      </c>
      <c r="E1552" s="3">
        <v>45458</v>
      </c>
      <c r="F1552" s="3">
        <v>45895</v>
      </c>
      <c r="G1552" s="2" t="s">
        <v>3885</v>
      </c>
      <c r="H1552" s="2">
        <v>937859</v>
      </c>
      <c r="I1552" s="2">
        <v>1099119</v>
      </c>
      <c r="J1552" s="2" t="s">
        <v>3888</v>
      </c>
      <c r="K1552" s="2" t="s">
        <v>3896</v>
      </c>
      <c r="L1552" s="2">
        <v>2024</v>
      </c>
      <c r="M1552" s="2">
        <v>-161260</v>
      </c>
      <c r="N1552" s="2">
        <f xml:space="preserve"> (Table1[[#This Row],[Variance (USD)]] / Table1[[#This Row],[Actual Spending (USD)]]) * 100</f>
        <v>-14.671750738546056</v>
      </c>
      <c r="O1552" s="5" t="s">
        <v>3898</v>
      </c>
    </row>
    <row r="1553" spans="1:15" x14ac:dyDescent="0.25">
      <c r="A1553" s="4" t="s">
        <v>1566</v>
      </c>
      <c r="B1553" s="2" t="s">
        <v>3297</v>
      </c>
      <c r="C1553" s="2" t="s">
        <v>3875</v>
      </c>
      <c r="D1553" s="2" t="s">
        <v>3883</v>
      </c>
      <c r="E1553" s="3">
        <v>45496</v>
      </c>
      <c r="F1553" s="3">
        <v>45594</v>
      </c>
      <c r="G1553" s="2" t="s">
        <v>3884</v>
      </c>
      <c r="H1553" s="2">
        <v>873424</v>
      </c>
      <c r="I1553" s="2">
        <v>989841</v>
      </c>
      <c r="J1553" s="2" t="s">
        <v>3889</v>
      </c>
      <c r="K1553" s="2" t="s">
        <v>3896</v>
      </c>
      <c r="L1553" s="2">
        <v>2025</v>
      </c>
      <c r="M1553" s="2">
        <v>-116417</v>
      </c>
      <c r="N1553" s="2">
        <f xml:space="preserve"> (Table1[[#This Row],[Variance (USD)]] / Table1[[#This Row],[Actual Spending (USD)]]) * 100</f>
        <v>-11.761181846377347</v>
      </c>
      <c r="O1553" s="5" t="s">
        <v>3897</v>
      </c>
    </row>
    <row r="1554" spans="1:15" x14ac:dyDescent="0.25">
      <c r="A1554" s="4" t="s">
        <v>1567</v>
      </c>
      <c r="B1554" s="2" t="s">
        <v>3473</v>
      </c>
      <c r="C1554" s="2" t="s">
        <v>3874</v>
      </c>
      <c r="D1554" s="2" t="s">
        <v>3876</v>
      </c>
      <c r="E1554" s="3">
        <v>45038</v>
      </c>
      <c r="F1554" s="3">
        <v>45755</v>
      </c>
      <c r="G1554" s="2" t="s">
        <v>3884</v>
      </c>
      <c r="H1554" s="2">
        <v>956374</v>
      </c>
      <c r="I1554" s="2">
        <v>624828</v>
      </c>
      <c r="J1554" s="2" t="s">
        <v>3889</v>
      </c>
      <c r="K1554" s="2" t="s">
        <v>3894</v>
      </c>
      <c r="L1554" s="2">
        <v>2023</v>
      </c>
      <c r="M1554" s="2">
        <v>331546</v>
      </c>
      <c r="N1554" s="2">
        <f xml:space="preserve"> (Table1[[#This Row],[Variance (USD)]] / Table1[[#This Row],[Actual Spending (USD)]]) * 100</f>
        <v>53.061962652121863</v>
      </c>
      <c r="O1554" s="5" t="s">
        <v>3897</v>
      </c>
    </row>
    <row r="1555" spans="1:15" x14ac:dyDescent="0.25">
      <c r="A1555" s="4" t="s">
        <v>1568</v>
      </c>
      <c r="B1555" s="2" t="s">
        <v>3573</v>
      </c>
      <c r="C1555" s="2" t="s">
        <v>3870</v>
      </c>
      <c r="D1555" s="2" t="s">
        <v>3879</v>
      </c>
      <c r="E1555" s="3">
        <v>45239</v>
      </c>
      <c r="F1555" s="3">
        <v>45526</v>
      </c>
      <c r="G1555" s="2" t="s">
        <v>3884</v>
      </c>
      <c r="H1555" s="2">
        <v>954318</v>
      </c>
      <c r="I1555" s="2">
        <v>699156</v>
      </c>
      <c r="J1555" s="2" t="s">
        <v>3892</v>
      </c>
      <c r="K1555" s="2" t="s">
        <v>3894</v>
      </c>
      <c r="L1555" s="2">
        <v>2025</v>
      </c>
      <c r="M1555" s="2">
        <v>255162</v>
      </c>
      <c r="N1555" s="2">
        <f xml:space="preserve"> (Table1[[#This Row],[Variance (USD)]] / Table1[[#This Row],[Actual Spending (USD)]]) * 100</f>
        <v>36.49571769390522</v>
      </c>
      <c r="O1555" s="5" t="s">
        <v>3897</v>
      </c>
    </row>
    <row r="1556" spans="1:15" x14ac:dyDescent="0.25">
      <c r="A1556" s="4" t="s">
        <v>1569</v>
      </c>
      <c r="B1556" s="2" t="s">
        <v>3548</v>
      </c>
      <c r="C1556" s="2" t="s">
        <v>3868</v>
      </c>
      <c r="D1556" s="2" t="s">
        <v>3880</v>
      </c>
      <c r="E1556" s="3">
        <v>45387</v>
      </c>
      <c r="F1556" s="3">
        <v>45987</v>
      </c>
      <c r="G1556" s="2" t="s">
        <v>3884</v>
      </c>
      <c r="H1556" s="2">
        <v>192049</v>
      </c>
      <c r="I1556" s="2">
        <v>595260</v>
      </c>
      <c r="J1556" s="2" t="s">
        <v>3888</v>
      </c>
      <c r="K1556" s="2" t="s">
        <v>3895</v>
      </c>
      <c r="L1556" s="2">
        <v>2025</v>
      </c>
      <c r="M1556" s="2">
        <v>-403211</v>
      </c>
      <c r="N1556" s="2">
        <f xml:space="preserve"> (Table1[[#This Row],[Variance (USD)]] / Table1[[#This Row],[Actual Spending (USD)]]) * 100</f>
        <v>-67.736955280045692</v>
      </c>
      <c r="O1556" s="5" t="s">
        <v>3897</v>
      </c>
    </row>
    <row r="1557" spans="1:15" x14ac:dyDescent="0.25">
      <c r="A1557" s="4" t="s">
        <v>1570</v>
      </c>
      <c r="B1557" s="2" t="s">
        <v>3687</v>
      </c>
      <c r="C1557" s="2" t="s">
        <v>3874</v>
      </c>
      <c r="D1557" s="2" t="s">
        <v>3881</v>
      </c>
      <c r="E1557" s="3">
        <v>45634</v>
      </c>
      <c r="F1557" s="3">
        <v>45329</v>
      </c>
      <c r="G1557" s="2" t="s">
        <v>3886</v>
      </c>
      <c r="H1557" s="2">
        <v>797590</v>
      </c>
      <c r="I1557" s="2">
        <v>102613</v>
      </c>
      <c r="J1557" s="2" t="s">
        <v>3891</v>
      </c>
      <c r="K1557" s="2" t="s">
        <v>3893</v>
      </c>
      <c r="L1557" s="2">
        <v>2025</v>
      </c>
      <c r="M1557" s="2">
        <v>694977</v>
      </c>
      <c r="N1557" s="2">
        <f xml:space="preserve"> (Table1[[#This Row],[Variance (USD)]] / Table1[[#This Row],[Actual Spending (USD)]]) * 100</f>
        <v>677.27968191164859</v>
      </c>
      <c r="O1557" s="5" t="s">
        <v>3899</v>
      </c>
    </row>
    <row r="1558" spans="1:15" x14ac:dyDescent="0.25">
      <c r="A1558" s="4" t="s">
        <v>1571</v>
      </c>
      <c r="B1558" s="2" t="s">
        <v>3381</v>
      </c>
      <c r="C1558" s="2" t="s">
        <v>3871</v>
      </c>
      <c r="D1558" s="2" t="s">
        <v>3876</v>
      </c>
      <c r="E1558" s="3">
        <v>45388</v>
      </c>
      <c r="F1558" s="3">
        <v>45430</v>
      </c>
      <c r="G1558" s="2" t="s">
        <v>3884</v>
      </c>
      <c r="H1558" s="2">
        <v>752736</v>
      </c>
      <c r="I1558" s="2">
        <v>649672</v>
      </c>
      <c r="J1558" s="2" t="s">
        <v>3891</v>
      </c>
      <c r="K1558" s="2" t="s">
        <v>3895</v>
      </c>
      <c r="L1558" s="2">
        <v>2025</v>
      </c>
      <c r="M1558" s="2">
        <v>103064</v>
      </c>
      <c r="N1558" s="2">
        <f xml:space="preserve"> (Table1[[#This Row],[Variance (USD)]] / Table1[[#This Row],[Actual Spending (USD)]]) * 100</f>
        <v>15.864005221096184</v>
      </c>
      <c r="O1558" s="5" t="s">
        <v>3897</v>
      </c>
    </row>
    <row r="1559" spans="1:15" x14ac:dyDescent="0.25">
      <c r="A1559" s="4" t="s">
        <v>1572</v>
      </c>
      <c r="B1559" s="2" t="s">
        <v>3262</v>
      </c>
      <c r="C1559" s="2" t="s">
        <v>3869</v>
      </c>
      <c r="D1559" s="2" t="s">
        <v>3878</v>
      </c>
      <c r="E1559" s="3">
        <v>45018</v>
      </c>
      <c r="F1559" s="3">
        <v>45486</v>
      </c>
      <c r="G1559" s="2" t="s">
        <v>3886</v>
      </c>
      <c r="H1559" s="2">
        <v>59218</v>
      </c>
      <c r="I1559" s="2">
        <v>829829</v>
      </c>
      <c r="J1559" s="2" t="s">
        <v>3891</v>
      </c>
      <c r="K1559" s="2" t="s">
        <v>3894</v>
      </c>
      <c r="L1559" s="2">
        <v>2024</v>
      </c>
      <c r="M1559" s="2">
        <v>-770611</v>
      </c>
      <c r="N1559" s="2">
        <f xml:space="preserve"> (Table1[[#This Row],[Variance (USD)]] / Table1[[#This Row],[Actual Spending (USD)]]) * 100</f>
        <v>-92.863830982045698</v>
      </c>
      <c r="O1559" s="5" t="s">
        <v>3899</v>
      </c>
    </row>
    <row r="1560" spans="1:15" x14ac:dyDescent="0.25">
      <c r="A1560" s="4" t="s">
        <v>1573</v>
      </c>
      <c r="B1560" s="2" t="s">
        <v>3404</v>
      </c>
      <c r="C1560" s="2" t="s">
        <v>3868</v>
      </c>
      <c r="D1560" s="2" t="s">
        <v>3880</v>
      </c>
      <c r="E1560" s="3">
        <v>44978</v>
      </c>
      <c r="F1560" s="3">
        <v>45818</v>
      </c>
      <c r="G1560" s="2" t="s">
        <v>3885</v>
      </c>
      <c r="H1560" s="2">
        <v>333932</v>
      </c>
      <c r="I1560" s="2">
        <v>907237</v>
      </c>
      <c r="J1560" s="2" t="s">
        <v>3889</v>
      </c>
      <c r="K1560" s="2" t="s">
        <v>3893</v>
      </c>
      <c r="L1560" s="2">
        <v>2023</v>
      </c>
      <c r="M1560" s="2">
        <v>-573305</v>
      </c>
      <c r="N1560" s="2">
        <f xml:space="preserve"> (Table1[[#This Row],[Variance (USD)]] / Table1[[#This Row],[Actual Spending (USD)]]) * 100</f>
        <v>-63.192418298636412</v>
      </c>
      <c r="O1560" s="5" t="s">
        <v>3898</v>
      </c>
    </row>
    <row r="1561" spans="1:15" x14ac:dyDescent="0.25">
      <c r="A1561" s="4" t="s">
        <v>1574</v>
      </c>
      <c r="B1561" s="2" t="s">
        <v>3390</v>
      </c>
      <c r="C1561" s="2" t="s">
        <v>3868</v>
      </c>
      <c r="D1561" s="2" t="s">
        <v>3882</v>
      </c>
      <c r="E1561" s="3">
        <v>45446</v>
      </c>
      <c r="F1561" s="3">
        <v>45938</v>
      </c>
      <c r="G1561" s="2" t="s">
        <v>3885</v>
      </c>
      <c r="H1561" s="2">
        <v>70501</v>
      </c>
      <c r="I1561" s="2">
        <v>1049198</v>
      </c>
      <c r="J1561" s="2" t="s">
        <v>3891</v>
      </c>
      <c r="K1561" s="2" t="s">
        <v>3894</v>
      </c>
      <c r="L1561" s="2">
        <v>2025</v>
      </c>
      <c r="M1561" s="2">
        <v>-978697</v>
      </c>
      <c r="N1561" s="2">
        <f xml:space="preserve"> (Table1[[#This Row],[Variance (USD)]] / Table1[[#This Row],[Actual Spending (USD)]]) * 100</f>
        <v>-93.280486619303502</v>
      </c>
      <c r="O1561" s="5" t="s">
        <v>3898</v>
      </c>
    </row>
    <row r="1562" spans="1:15" x14ac:dyDescent="0.25">
      <c r="A1562" s="4" t="s">
        <v>1575</v>
      </c>
      <c r="B1562" s="2" t="s">
        <v>3464</v>
      </c>
      <c r="C1562" s="2" t="s">
        <v>3868</v>
      </c>
      <c r="D1562" s="2" t="s">
        <v>3882</v>
      </c>
      <c r="E1562" s="3">
        <v>45024</v>
      </c>
      <c r="F1562" s="3">
        <v>45292</v>
      </c>
      <c r="G1562" s="2" t="s">
        <v>3884</v>
      </c>
      <c r="H1562" s="2">
        <v>783349</v>
      </c>
      <c r="I1562" s="2">
        <v>317901</v>
      </c>
      <c r="J1562" s="2" t="s">
        <v>3888</v>
      </c>
      <c r="K1562" s="2" t="s">
        <v>3896</v>
      </c>
      <c r="L1562" s="2">
        <v>2023</v>
      </c>
      <c r="M1562" s="2">
        <v>465448</v>
      </c>
      <c r="N1562" s="2">
        <f xml:space="preserve"> (Table1[[#This Row],[Variance (USD)]] / Table1[[#This Row],[Actual Spending (USD)]]) * 100</f>
        <v>146.41287696484127</v>
      </c>
      <c r="O1562" s="5" t="s">
        <v>3897</v>
      </c>
    </row>
    <row r="1563" spans="1:15" x14ac:dyDescent="0.25">
      <c r="A1563" s="4" t="s">
        <v>1576</v>
      </c>
      <c r="B1563" s="2" t="s">
        <v>3718</v>
      </c>
      <c r="C1563" s="2" t="s">
        <v>3868</v>
      </c>
      <c r="D1563" s="2" t="s">
        <v>3878</v>
      </c>
      <c r="E1563" s="3">
        <v>45162</v>
      </c>
      <c r="F1563" s="3">
        <v>45852</v>
      </c>
      <c r="G1563" s="2" t="s">
        <v>3886</v>
      </c>
      <c r="H1563" s="2">
        <v>678021</v>
      </c>
      <c r="I1563" s="2">
        <v>1065210</v>
      </c>
      <c r="J1563" s="2" t="s">
        <v>3888</v>
      </c>
      <c r="K1563" s="2" t="s">
        <v>3895</v>
      </c>
      <c r="L1563" s="2">
        <v>2024</v>
      </c>
      <c r="M1563" s="2">
        <v>-387189</v>
      </c>
      <c r="N1563" s="2">
        <f xml:space="preserve"> (Table1[[#This Row],[Variance (USD)]] / Table1[[#This Row],[Actual Spending (USD)]]) * 100</f>
        <v>-36.348607316867096</v>
      </c>
      <c r="O1563" s="5" t="s">
        <v>3899</v>
      </c>
    </row>
    <row r="1564" spans="1:15" x14ac:dyDescent="0.25">
      <c r="A1564" s="4" t="s">
        <v>1577</v>
      </c>
      <c r="B1564" s="2" t="s">
        <v>3188</v>
      </c>
      <c r="C1564" s="2" t="s">
        <v>3874</v>
      </c>
      <c r="D1564" s="2" t="s">
        <v>3883</v>
      </c>
      <c r="E1564" s="3">
        <v>45300</v>
      </c>
      <c r="F1564" s="3">
        <v>45387</v>
      </c>
      <c r="G1564" s="2" t="s">
        <v>3884</v>
      </c>
      <c r="H1564" s="2">
        <v>327354</v>
      </c>
      <c r="I1564" s="2">
        <v>700659</v>
      </c>
      <c r="J1564" s="2" t="s">
        <v>3891</v>
      </c>
      <c r="K1564" s="2" t="s">
        <v>3895</v>
      </c>
      <c r="L1564" s="2">
        <v>2023</v>
      </c>
      <c r="M1564" s="2">
        <v>-373305</v>
      </c>
      <c r="N1564" s="2">
        <f xml:space="preserve"> (Table1[[#This Row],[Variance (USD)]] / Table1[[#This Row],[Actual Spending (USD)]]) * 100</f>
        <v>-53.279127221658463</v>
      </c>
      <c r="O1564" s="5" t="s">
        <v>3897</v>
      </c>
    </row>
    <row r="1565" spans="1:15" x14ac:dyDescent="0.25">
      <c r="A1565" s="4" t="s">
        <v>1578</v>
      </c>
      <c r="B1565" s="2" t="s">
        <v>3029</v>
      </c>
      <c r="C1565" s="2" t="s">
        <v>3874</v>
      </c>
      <c r="D1565" s="2" t="s">
        <v>3880</v>
      </c>
      <c r="E1565" s="3">
        <v>45507</v>
      </c>
      <c r="F1565" s="3">
        <v>46004</v>
      </c>
      <c r="G1565" s="2" t="s">
        <v>3884</v>
      </c>
      <c r="H1565" s="2">
        <v>178476</v>
      </c>
      <c r="I1565" s="2">
        <v>285456</v>
      </c>
      <c r="J1565" s="2" t="s">
        <v>3890</v>
      </c>
      <c r="K1565" s="2" t="s">
        <v>3893</v>
      </c>
      <c r="L1565" s="2">
        <v>2024</v>
      </c>
      <c r="M1565" s="2">
        <v>-106980</v>
      </c>
      <c r="N1565" s="2">
        <f xml:space="preserve"> (Table1[[#This Row],[Variance (USD)]] / Table1[[#This Row],[Actual Spending (USD)]]) * 100</f>
        <v>-37.476879098705226</v>
      </c>
      <c r="O1565" s="5" t="s">
        <v>3897</v>
      </c>
    </row>
    <row r="1566" spans="1:15" x14ac:dyDescent="0.25">
      <c r="A1566" s="4" t="s">
        <v>1579</v>
      </c>
      <c r="B1566" s="2" t="s">
        <v>3584</v>
      </c>
      <c r="C1566" s="2" t="s">
        <v>3875</v>
      </c>
      <c r="D1566" s="2" t="s">
        <v>3876</v>
      </c>
      <c r="E1566" s="3">
        <v>45483</v>
      </c>
      <c r="F1566" s="3">
        <v>45704</v>
      </c>
      <c r="G1566" s="2" t="s">
        <v>3884</v>
      </c>
      <c r="H1566" s="2">
        <v>910657</v>
      </c>
      <c r="I1566" s="2">
        <v>411003</v>
      </c>
      <c r="J1566" s="2" t="s">
        <v>3891</v>
      </c>
      <c r="K1566" s="2" t="s">
        <v>3895</v>
      </c>
      <c r="L1566" s="2">
        <v>2023</v>
      </c>
      <c r="M1566" s="2">
        <v>499654</v>
      </c>
      <c r="N1566" s="2">
        <f xml:space="preserve"> (Table1[[#This Row],[Variance (USD)]] / Table1[[#This Row],[Actual Spending (USD)]]) * 100</f>
        <v>121.56942893360876</v>
      </c>
      <c r="O1566" s="5" t="s">
        <v>3897</v>
      </c>
    </row>
    <row r="1567" spans="1:15" x14ac:dyDescent="0.25">
      <c r="A1567" s="4" t="s">
        <v>1580</v>
      </c>
      <c r="B1567" s="2" t="s">
        <v>3354</v>
      </c>
      <c r="C1567" s="2" t="s">
        <v>3870</v>
      </c>
      <c r="D1567" s="2" t="s">
        <v>3880</v>
      </c>
      <c r="E1567" s="3">
        <v>45575</v>
      </c>
      <c r="F1567" s="3">
        <v>45829</v>
      </c>
      <c r="G1567" s="2" t="s">
        <v>3884</v>
      </c>
      <c r="H1567" s="2">
        <v>750849</v>
      </c>
      <c r="I1567" s="2">
        <v>800376</v>
      </c>
      <c r="J1567" s="2" t="s">
        <v>3890</v>
      </c>
      <c r="K1567" s="2" t="s">
        <v>3894</v>
      </c>
      <c r="L1567" s="2">
        <v>2023</v>
      </c>
      <c r="M1567" s="2">
        <v>-49527</v>
      </c>
      <c r="N1567" s="2">
        <f xml:space="preserve"> (Table1[[#This Row],[Variance (USD)]] / Table1[[#This Row],[Actual Spending (USD)]]) * 100</f>
        <v>-6.1879666556718345</v>
      </c>
      <c r="O1567" s="5" t="s">
        <v>3897</v>
      </c>
    </row>
    <row r="1568" spans="1:15" x14ac:dyDescent="0.25">
      <c r="A1568" s="4" t="s">
        <v>1581</v>
      </c>
      <c r="B1568" s="2" t="s">
        <v>3298</v>
      </c>
      <c r="C1568" s="2" t="s">
        <v>3872</v>
      </c>
      <c r="D1568" s="2" t="s">
        <v>3883</v>
      </c>
      <c r="E1568" s="3">
        <v>45160</v>
      </c>
      <c r="F1568" s="3">
        <v>45720</v>
      </c>
      <c r="G1568" s="2" t="s">
        <v>3884</v>
      </c>
      <c r="H1568" s="2">
        <v>273989</v>
      </c>
      <c r="I1568" s="2">
        <v>602618</v>
      </c>
      <c r="J1568" s="2" t="s">
        <v>3892</v>
      </c>
      <c r="K1568" s="2" t="s">
        <v>3894</v>
      </c>
      <c r="L1568" s="2">
        <v>2025</v>
      </c>
      <c r="M1568" s="2">
        <v>-328629</v>
      </c>
      <c r="N1568" s="2">
        <f xml:space="preserve"> (Table1[[#This Row],[Variance (USD)]] / Table1[[#This Row],[Actual Spending (USD)]]) * 100</f>
        <v>-54.5335519350567</v>
      </c>
      <c r="O1568" s="5" t="s">
        <v>3897</v>
      </c>
    </row>
    <row r="1569" spans="1:15" x14ac:dyDescent="0.25">
      <c r="A1569" s="4" t="s">
        <v>1582</v>
      </c>
      <c r="B1569" s="2" t="s">
        <v>3712</v>
      </c>
      <c r="C1569" s="2" t="s">
        <v>3875</v>
      </c>
      <c r="D1569" s="2" t="s">
        <v>3877</v>
      </c>
      <c r="E1569" s="3">
        <v>44958</v>
      </c>
      <c r="F1569" s="3">
        <v>45526</v>
      </c>
      <c r="G1569" s="2" t="s">
        <v>3884</v>
      </c>
      <c r="H1569" s="2">
        <v>900153</v>
      </c>
      <c r="I1569" s="2">
        <v>1119408</v>
      </c>
      <c r="J1569" s="2" t="s">
        <v>3892</v>
      </c>
      <c r="K1569" s="2" t="s">
        <v>3896</v>
      </c>
      <c r="L1569" s="2">
        <v>2023</v>
      </c>
      <c r="M1569" s="2">
        <v>-219255</v>
      </c>
      <c r="N1569" s="2">
        <f xml:space="preserve"> (Table1[[#This Row],[Variance (USD)]] / Table1[[#This Row],[Actual Spending (USD)]]) * 100</f>
        <v>-19.586692251618711</v>
      </c>
      <c r="O1569" s="5" t="s">
        <v>3897</v>
      </c>
    </row>
    <row r="1570" spans="1:15" x14ac:dyDescent="0.25">
      <c r="A1570" s="4" t="s">
        <v>1583</v>
      </c>
      <c r="B1570" s="2" t="s">
        <v>3741</v>
      </c>
      <c r="C1570" s="2" t="s">
        <v>3875</v>
      </c>
      <c r="D1570" s="2" t="s">
        <v>3881</v>
      </c>
      <c r="E1570" s="3">
        <v>45215</v>
      </c>
      <c r="F1570" s="3">
        <v>45640</v>
      </c>
      <c r="G1570" s="2" t="s">
        <v>3886</v>
      </c>
      <c r="H1570" s="2">
        <v>538260</v>
      </c>
      <c r="I1570" s="2">
        <v>181170</v>
      </c>
      <c r="J1570" s="2" t="s">
        <v>3888</v>
      </c>
      <c r="K1570" s="2" t="s">
        <v>3894</v>
      </c>
      <c r="L1570" s="2">
        <v>2025</v>
      </c>
      <c r="M1570" s="2">
        <v>357090</v>
      </c>
      <c r="N1570" s="2">
        <f xml:space="preserve"> (Table1[[#This Row],[Variance (USD)]] / Table1[[#This Row],[Actual Spending (USD)]]) * 100</f>
        <v>197.10216923331677</v>
      </c>
      <c r="O1570" s="5" t="s">
        <v>3899</v>
      </c>
    </row>
    <row r="1571" spans="1:15" x14ac:dyDescent="0.25">
      <c r="A1571" s="4" t="s">
        <v>1584</v>
      </c>
      <c r="B1571" s="2" t="s">
        <v>3742</v>
      </c>
      <c r="C1571" s="2" t="s">
        <v>3869</v>
      </c>
      <c r="D1571" s="2" t="s">
        <v>3878</v>
      </c>
      <c r="E1571" s="3">
        <v>45564</v>
      </c>
      <c r="F1571" s="3">
        <v>45772</v>
      </c>
      <c r="G1571" s="2" t="s">
        <v>3886</v>
      </c>
      <c r="H1571" s="2">
        <v>485869</v>
      </c>
      <c r="I1571" s="2">
        <v>659275</v>
      </c>
      <c r="J1571" s="2" t="s">
        <v>3889</v>
      </c>
      <c r="K1571" s="2" t="s">
        <v>3893</v>
      </c>
      <c r="L1571" s="2">
        <v>2025</v>
      </c>
      <c r="M1571" s="2">
        <v>-173406</v>
      </c>
      <c r="N1571" s="2">
        <f xml:space="preserve"> (Table1[[#This Row],[Variance (USD)]] / Table1[[#This Row],[Actual Spending (USD)]]) * 100</f>
        <v>-26.302529293542147</v>
      </c>
      <c r="O1571" s="5" t="s">
        <v>3899</v>
      </c>
    </row>
    <row r="1572" spans="1:15" x14ac:dyDescent="0.25">
      <c r="A1572" s="4" t="s">
        <v>1585</v>
      </c>
      <c r="B1572" s="2" t="s">
        <v>3523</v>
      </c>
      <c r="C1572" s="2" t="s">
        <v>3869</v>
      </c>
      <c r="D1572" s="2" t="s">
        <v>3883</v>
      </c>
      <c r="E1572" s="3">
        <v>45505</v>
      </c>
      <c r="F1572" s="3">
        <v>45687</v>
      </c>
      <c r="G1572" s="2" t="s">
        <v>3884</v>
      </c>
      <c r="H1572" s="2">
        <v>529894</v>
      </c>
      <c r="I1572" s="2">
        <v>735322</v>
      </c>
      <c r="J1572" s="2" t="s">
        <v>3888</v>
      </c>
      <c r="K1572" s="2" t="s">
        <v>3894</v>
      </c>
      <c r="L1572" s="2">
        <v>2023</v>
      </c>
      <c r="M1572" s="2">
        <v>-205428</v>
      </c>
      <c r="N1572" s="2">
        <f xml:space="preserve"> (Table1[[#This Row],[Variance (USD)]] / Table1[[#This Row],[Actual Spending (USD)]]) * 100</f>
        <v>-27.937148623324205</v>
      </c>
      <c r="O1572" s="5" t="s">
        <v>3897</v>
      </c>
    </row>
    <row r="1573" spans="1:15" x14ac:dyDescent="0.25">
      <c r="A1573" s="4" t="s">
        <v>1586</v>
      </c>
      <c r="B1573" s="2" t="s">
        <v>3519</v>
      </c>
      <c r="C1573" s="2" t="s">
        <v>3870</v>
      </c>
      <c r="D1573" s="2" t="s">
        <v>3877</v>
      </c>
      <c r="E1573" s="3">
        <v>45468</v>
      </c>
      <c r="F1573" s="3">
        <v>45642</v>
      </c>
      <c r="G1573" s="2" t="s">
        <v>3884</v>
      </c>
      <c r="H1573" s="2">
        <v>222022</v>
      </c>
      <c r="I1573" s="2">
        <v>852317</v>
      </c>
      <c r="J1573" s="2" t="s">
        <v>3888</v>
      </c>
      <c r="K1573" s="2" t="s">
        <v>3896</v>
      </c>
      <c r="L1573" s="2">
        <v>2025</v>
      </c>
      <c r="M1573" s="2">
        <v>-630295</v>
      </c>
      <c r="N1573" s="2">
        <f xml:space="preserve"> (Table1[[#This Row],[Variance (USD)]] / Table1[[#This Row],[Actual Spending (USD)]]) * 100</f>
        <v>-73.95077183723896</v>
      </c>
      <c r="O1573" s="5" t="s">
        <v>3897</v>
      </c>
    </row>
    <row r="1574" spans="1:15" x14ac:dyDescent="0.25">
      <c r="A1574" s="4" t="s">
        <v>1587</v>
      </c>
      <c r="B1574" s="2" t="s">
        <v>3529</v>
      </c>
      <c r="C1574" s="2" t="s">
        <v>3872</v>
      </c>
      <c r="D1574" s="2" t="s">
        <v>3880</v>
      </c>
      <c r="E1574" s="3">
        <v>45040</v>
      </c>
      <c r="F1574" s="3">
        <v>45707</v>
      </c>
      <c r="G1574" s="2" t="s">
        <v>3885</v>
      </c>
      <c r="H1574" s="2">
        <v>714276</v>
      </c>
      <c r="I1574" s="2">
        <v>51157</v>
      </c>
      <c r="J1574" s="2" t="s">
        <v>3889</v>
      </c>
      <c r="K1574" s="2" t="s">
        <v>3896</v>
      </c>
      <c r="L1574" s="2">
        <v>2023</v>
      </c>
      <c r="M1574" s="2">
        <v>663119</v>
      </c>
      <c r="N1574" s="2">
        <f xml:space="preserve"> (Table1[[#This Row],[Variance (USD)]] / Table1[[#This Row],[Actual Spending (USD)]]) * 100</f>
        <v>1296.2429384053014</v>
      </c>
      <c r="O1574" s="5" t="s">
        <v>3898</v>
      </c>
    </row>
    <row r="1575" spans="1:15" x14ac:dyDescent="0.25">
      <c r="A1575" s="4" t="s">
        <v>1588</v>
      </c>
      <c r="B1575" s="2" t="s">
        <v>3498</v>
      </c>
      <c r="C1575" s="2" t="s">
        <v>3869</v>
      </c>
      <c r="D1575" s="2" t="s">
        <v>3880</v>
      </c>
      <c r="E1575" s="3">
        <v>45130</v>
      </c>
      <c r="F1575" s="3">
        <v>45342</v>
      </c>
      <c r="G1575" s="2" t="s">
        <v>3884</v>
      </c>
      <c r="H1575" s="2">
        <v>246983</v>
      </c>
      <c r="I1575" s="2">
        <v>471588</v>
      </c>
      <c r="J1575" s="2" t="s">
        <v>3888</v>
      </c>
      <c r="K1575" s="2" t="s">
        <v>3895</v>
      </c>
      <c r="L1575" s="2">
        <v>2025</v>
      </c>
      <c r="M1575" s="2">
        <v>-224605</v>
      </c>
      <c r="N1575" s="2">
        <f xml:space="preserve"> (Table1[[#This Row],[Variance (USD)]] / Table1[[#This Row],[Actual Spending (USD)]]) * 100</f>
        <v>-47.627378135151872</v>
      </c>
      <c r="O1575" s="5" t="s">
        <v>3897</v>
      </c>
    </row>
    <row r="1576" spans="1:15" x14ac:dyDescent="0.25">
      <c r="A1576" s="4" t="s">
        <v>1589</v>
      </c>
      <c r="B1576" s="2" t="s">
        <v>3350</v>
      </c>
      <c r="C1576" s="2" t="s">
        <v>3870</v>
      </c>
      <c r="D1576" s="2" t="s">
        <v>3883</v>
      </c>
      <c r="E1576" s="3">
        <v>44955</v>
      </c>
      <c r="F1576" s="3">
        <v>45372</v>
      </c>
      <c r="G1576" s="2" t="s">
        <v>3885</v>
      </c>
      <c r="H1576" s="2">
        <v>605737</v>
      </c>
      <c r="I1576" s="2">
        <v>49674</v>
      </c>
      <c r="J1576" s="2" t="s">
        <v>3889</v>
      </c>
      <c r="K1576" s="2" t="s">
        <v>3893</v>
      </c>
      <c r="L1576" s="2">
        <v>2025</v>
      </c>
      <c r="M1576" s="2">
        <v>556063</v>
      </c>
      <c r="N1576" s="2">
        <f xml:space="preserve"> (Table1[[#This Row],[Variance (USD)]] / Table1[[#This Row],[Actual Spending (USD)]]) * 100</f>
        <v>1119.4246487095866</v>
      </c>
      <c r="O1576" s="5" t="s">
        <v>3898</v>
      </c>
    </row>
    <row r="1577" spans="1:15" x14ac:dyDescent="0.25">
      <c r="A1577" s="4" t="s">
        <v>1590</v>
      </c>
      <c r="B1577" s="2" t="s">
        <v>3396</v>
      </c>
      <c r="C1577" s="2" t="s">
        <v>3870</v>
      </c>
      <c r="D1577" s="2" t="s">
        <v>3876</v>
      </c>
      <c r="E1577" s="3">
        <v>45569</v>
      </c>
      <c r="F1577" s="3">
        <v>45327</v>
      </c>
      <c r="G1577" s="2" t="s">
        <v>3886</v>
      </c>
      <c r="H1577" s="2">
        <v>401477</v>
      </c>
      <c r="I1577" s="2">
        <v>586645</v>
      </c>
      <c r="J1577" s="2" t="s">
        <v>3888</v>
      </c>
      <c r="K1577" s="2" t="s">
        <v>3894</v>
      </c>
      <c r="L1577" s="2">
        <v>2024</v>
      </c>
      <c r="M1577" s="2">
        <v>-185168</v>
      </c>
      <c r="N1577" s="2">
        <f xml:space="preserve"> (Table1[[#This Row],[Variance (USD)]] / Table1[[#This Row],[Actual Spending (USD)]]) * 100</f>
        <v>-31.563892984684095</v>
      </c>
      <c r="O1577" s="5" t="s">
        <v>3899</v>
      </c>
    </row>
    <row r="1578" spans="1:15" x14ac:dyDescent="0.25">
      <c r="A1578" s="4" t="s">
        <v>1591</v>
      </c>
      <c r="B1578" s="2" t="s">
        <v>3638</v>
      </c>
      <c r="C1578" s="2" t="s">
        <v>3874</v>
      </c>
      <c r="D1578" s="2" t="s">
        <v>3880</v>
      </c>
      <c r="E1578" s="3">
        <v>45400</v>
      </c>
      <c r="F1578" s="3">
        <v>45358</v>
      </c>
      <c r="G1578" s="2" t="s">
        <v>3884</v>
      </c>
      <c r="H1578" s="2">
        <v>332926</v>
      </c>
      <c r="I1578" s="2">
        <v>304722</v>
      </c>
      <c r="J1578" s="2" t="s">
        <v>3892</v>
      </c>
      <c r="K1578" s="2" t="s">
        <v>3896</v>
      </c>
      <c r="L1578" s="2">
        <v>2024</v>
      </c>
      <c r="M1578" s="2">
        <v>28204</v>
      </c>
      <c r="N1578" s="2">
        <f xml:space="preserve"> (Table1[[#This Row],[Variance (USD)]] / Table1[[#This Row],[Actual Spending (USD)]]) * 100</f>
        <v>9.2556494115948311</v>
      </c>
      <c r="O1578" s="5" t="s">
        <v>3897</v>
      </c>
    </row>
    <row r="1579" spans="1:15" x14ac:dyDescent="0.25">
      <c r="A1579" s="4" t="s">
        <v>1592</v>
      </c>
      <c r="B1579" s="2" t="s">
        <v>3552</v>
      </c>
      <c r="C1579" s="2" t="s">
        <v>3873</v>
      </c>
      <c r="D1579" s="2" t="s">
        <v>3876</v>
      </c>
      <c r="E1579" s="3">
        <v>45623</v>
      </c>
      <c r="F1579" s="3">
        <v>45932</v>
      </c>
      <c r="G1579" s="2" t="s">
        <v>3884</v>
      </c>
      <c r="H1579" s="2">
        <v>535780</v>
      </c>
      <c r="I1579" s="2">
        <v>240121</v>
      </c>
      <c r="J1579" s="2" t="s">
        <v>3890</v>
      </c>
      <c r="K1579" s="2" t="s">
        <v>3894</v>
      </c>
      <c r="L1579" s="2">
        <v>2023</v>
      </c>
      <c r="M1579" s="2">
        <v>295659</v>
      </c>
      <c r="N1579" s="2">
        <f xml:space="preserve"> (Table1[[#This Row],[Variance (USD)]] / Table1[[#This Row],[Actual Spending (USD)]]) * 100</f>
        <v>123.12917237559398</v>
      </c>
      <c r="O1579" s="5" t="s">
        <v>3897</v>
      </c>
    </row>
    <row r="1580" spans="1:15" x14ac:dyDescent="0.25">
      <c r="A1580" s="4" t="s">
        <v>1593</v>
      </c>
      <c r="B1580" s="2" t="s">
        <v>3743</v>
      </c>
      <c r="C1580" s="2" t="s">
        <v>3874</v>
      </c>
      <c r="D1580" s="2" t="s">
        <v>3876</v>
      </c>
      <c r="E1580" s="3">
        <v>45179</v>
      </c>
      <c r="F1580" s="3">
        <v>45958</v>
      </c>
      <c r="G1580" s="2" t="s">
        <v>3884</v>
      </c>
      <c r="H1580" s="2">
        <v>856675</v>
      </c>
      <c r="I1580" s="2">
        <v>470087</v>
      </c>
      <c r="J1580" s="2" t="s">
        <v>3888</v>
      </c>
      <c r="K1580" s="2" t="s">
        <v>3896</v>
      </c>
      <c r="L1580" s="2">
        <v>2025</v>
      </c>
      <c r="M1580" s="2">
        <v>386588</v>
      </c>
      <c r="N1580" s="2">
        <f xml:space="preserve"> (Table1[[#This Row],[Variance (USD)]] / Table1[[#This Row],[Actual Spending (USD)]]) * 100</f>
        <v>82.237543263268293</v>
      </c>
      <c r="O1580" s="5" t="s">
        <v>3897</v>
      </c>
    </row>
    <row r="1581" spans="1:15" x14ac:dyDescent="0.25">
      <c r="A1581" s="4" t="s">
        <v>1594</v>
      </c>
      <c r="B1581" s="2" t="s">
        <v>3299</v>
      </c>
      <c r="C1581" s="2" t="s">
        <v>3872</v>
      </c>
      <c r="D1581" s="2" t="s">
        <v>3881</v>
      </c>
      <c r="E1581" s="3">
        <v>45312</v>
      </c>
      <c r="F1581" s="3">
        <v>45914</v>
      </c>
      <c r="G1581" s="2" t="s">
        <v>3884</v>
      </c>
      <c r="H1581" s="2">
        <v>559590</v>
      </c>
      <c r="I1581" s="2">
        <v>710859</v>
      </c>
      <c r="J1581" s="2" t="s">
        <v>3890</v>
      </c>
      <c r="K1581" s="2" t="s">
        <v>3895</v>
      </c>
      <c r="L1581" s="2">
        <v>2024</v>
      </c>
      <c r="M1581" s="2">
        <v>-151269</v>
      </c>
      <c r="N1581" s="2">
        <f xml:space="preserve"> (Table1[[#This Row],[Variance (USD)]] / Table1[[#This Row],[Actual Spending (USD)]]) * 100</f>
        <v>-21.279747460466844</v>
      </c>
      <c r="O1581" s="5" t="s">
        <v>3897</v>
      </c>
    </row>
    <row r="1582" spans="1:15" x14ac:dyDescent="0.25">
      <c r="A1582" s="4" t="s">
        <v>1595</v>
      </c>
      <c r="B1582" s="2" t="s">
        <v>3278</v>
      </c>
      <c r="C1582" s="2" t="s">
        <v>3869</v>
      </c>
      <c r="D1582" s="2" t="s">
        <v>3876</v>
      </c>
      <c r="E1582" s="3">
        <v>44988</v>
      </c>
      <c r="F1582" s="3">
        <v>45971</v>
      </c>
      <c r="G1582" s="2" t="s">
        <v>3884</v>
      </c>
      <c r="H1582" s="2">
        <v>603667</v>
      </c>
      <c r="I1582" s="2">
        <v>953925</v>
      </c>
      <c r="J1582" s="2" t="s">
        <v>3891</v>
      </c>
      <c r="K1582" s="2" t="s">
        <v>3896</v>
      </c>
      <c r="L1582" s="2">
        <v>2024</v>
      </c>
      <c r="M1582" s="2">
        <v>-350258</v>
      </c>
      <c r="N1582" s="2">
        <f xml:space="preserve"> (Table1[[#This Row],[Variance (USD)]] / Table1[[#This Row],[Actual Spending (USD)]]) * 100</f>
        <v>-36.717561653169803</v>
      </c>
      <c r="O1582" s="5" t="s">
        <v>3897</v>
      </c>
    </row>
    <row r="1583" spans="1:15" x14ac:dyDescent="0.25">
      <c r="A1583" s="4" t="s">
        <v>1596</v>
      </c>
      <c r="B1583" s="2" t="s">
        <v>3583</v>
      </c>
      <c r="C1583" s="2" t="s">
        <v>3872</v>
      </c>
      <c r="D1583" s="2" t="s">
        <v>3879</v>
      </c>
      <c r="E1583" s="3">
        <v>45441</v>
      </c>
      <c r="F1583" s="3">
        <v>45772</v>
      </c>
      <c r="G1583" s="2" t="s">
        <v>3886</v>
      </c>
      <c r="H1583" s="2">
        <v>87780</v>
      </c>
      <c r="I1583" s="2">
        <v>737564</v>
      </c>
      <c r="J1583" s="2" t="s">
        <v>3888</v>
      </c>
      <c r="K1583" s="2" t="s">
        <v>3895</v>
      </c>
      <c r="L1583" s="2">
        <v>2024</v>
      </c>
      <c r="M1583" s="2">
        <v>-649784</v>
      </c>
      <c r="N1583" s="2">
        <f xml:space="preserve"> (Table1[[#This Row],[Variance (USD)]] / Table1[[#This Row],[Actual Spending (USD)]]) * 100</f>
        <v>-88.098659912902477</v>
      </c>
      <c r="O1583" s="5" t="s">
        <v>3899</v>
      </c>
    </row>
    <row r="1584" spans="1:15" x14ac:dyDescent="0.25">
      <c r="A1584" s="4" t="s">
        <v>1597</v>
      </c>
      <c r="B1584" s="2" t="s">
        <v>3270</v>
      </c>
      <c r="C1584" s="2" t="s">
        <v>3875</v>
      </c>
      <c r="D1584" s="2" t="s">
        <v>3881</v>
      </c>
      <c r="E1584" s="3">
        <v>45356</v>
      </c>
      <c r="F1584" s="3">
        <v>45759</v>
      </c>
      <c r="G1584" s="2" t="s">
        <v>3884</v>
      </c>
      <c r="H1584" s="2">
        <v>998244</v>
      </c>
      <c r="I1584" s="2">
        <v>972095</v>
      </c>
      <c r="J1584" s="2" t="s">
        <v>3892</v>
      </c>
      <c r="K1584" s="2" t="s">
        <v>3893</v>
      </c>
      <c r="L1584" s="2">
        <v>2025</v>
      </c>
      <c r="M1584" s="2">
        <v>26149</v>
      </c>
      <c r="N1584" s="2">
        <f xml:space="preserve"> (Table1[[#This Row],[Variance (USD)]] / Table1[[#This Row],[Actual Spending (USD)]]) * 100</f>
        <v>2.6899634295002031</v>
      </c>
      <c r="O1584" s="5" t="s">
        <v>3897</v>
      </c>
    </row>
    <row r="1585" spans="1:15" x14ac:dyDescent="0.25">
      <c r="A1585" s="4" t="s">
        <v>1598</v>
      </c>
      <c r="B1585" s="2" t="s">
        <v>3283</v>
      </c>
      <c r="C1585" s="2" t="s">
        <v>3875</v>
      </c>
      <c r="D1585" s="2" t="s">
        <v>3877</v>
      </c>
      <c r="E1585" s="3">
        <v>45506</v>
      </c>
      <c r="F1585" s="3">
        <v>45433</v>
      </c>
      <c r="G1585" s="2" t="s">
        <v>3884</v>
      </c>
      <c r="H1585" s="2">
        <v>689232</v>
      </c>
      <c r="I1585" s="2">
        <v>746300</v>
      </c>
      <c r="J1585" s="2" t="s">
        <v>3889</v>
      </c>
      <c r="K1585" s="2" t="s">
        <v>3894</v>
      </c>
      <c r="L1585" s="2">
        <v>2023</v>
      </c>
      <c r="M1585" s="2">
        <v>-57068</v>
      </c>
      <c r="N1585" s="2">
        <f xml:space="preserve"> (Table1[[#This Row],[Variance (USD)]] / Table1[[#This Row],[Actual Spending (USD)]]) * 100</f>
        <v>-7.6467908347849392</v>
      </c>
      <c r="O1585" s="5" t="s">
        <v>3897</v>
      </c>
    </row>
    <row r="1586" spans="1:15" x14ac:dyDescent="0.25">
      <c r="A1586" s="4" t="s">
        <v>1599</v>
      </c>
      <c r="B1586" s="2" t="s">
        <v>3744</v>
      </c>
      <c r="C1586" s="2" t="s">
        <v>3872</v>
      </c>
      <c r="D1586" s="2" t="s">
        <v>3877</v>
      </c>
      <c r="E1586" s="3">
        <v>45463</v>
      </c>
      <c r="F1586" s="3">
        <v>45647</v>
      </c>
      <c r="G1586" s="2" t="s">
        <v>3886</v>
      </c>
      <c r="H1586" s="2">
        <v>832734</v>
      </c>
      <c r="I1586" s="2">
        <v>173274</v>
      </c>
      <c r="J1586" s="2" t="s">
        <v>3892</v>
      </c>
      <c r="K1586" s="2" t="s">
        <v>3894</v>
      </c>
      <c r="L1586" s="2">
        <v>2025</v>
      </c>
      <c r="M1586" s="2">
        <v>659460</v>
      </c>
      <c r="N1586" s="2">
        <f xml:space="preserve"> (Table1[[#This Row],[Variance (USD)]] / Table1[[#This Row],[Actual Spending (USD)]]) * 100</f>
        <v>380.5879704975934</v>
      </c>
      <c r="O1586" s="5" t="s">
        <v>3899</v>
      </c>
    </row>
    <row r="1587" spans="1:15" x14ac:dyDescent="0.25">
      <c r="A1587" s="4" t="s">
        <v>1600</v>
      </c>
      <c r="B1587" s="2" t="s">
        <v>3479</v>
      </c>
      <c r="C1587" s="2" t="s">
        <v>3873</v>
      </c>
      <c r="D1587" s="2" t="s">
        <v>3880</v>
      </c>
      <c r="E1587" s="3">
        <v>45617</v>
      </c>
      <c r="F1587" s="3">
        <v>46000</v>
      </c>
      <c r="G1587" s="2" t="s">
        <v>3884</v>
      </c>
      <c r="H1587" s="2">
        <v>856416</v>
      </c>
      <c r="I1587" s="2">
        <v>524166</v>
      </c>
      <c r="J1587" s="2" t="s">
        <v>3890</v>
      </c>
      <c r="K1587" s="2" t="s">
        <v>3895</v>
      </c>
      <c r="L1587" s="2">
        <v>2025</v>
      </c>
      <c r="M1587" s="2">
        <v>332250</v>
      </c>
      <c r="N1587" s="2">
        <f xml:space="preserve"> (Table1[[#This Row],[Variance (USD)]] / Table1[[#This Row],[Actual Spending (USD)]]) * 100</f>
        <v>63.386408122617645</v>
      </c>
      <c r="O1587" s="5" t="s">
        <v>3897</v>
      </c>
    </row>
    <row r="1588" spans="1:15" x14ac:dyDescent="0.25">
      <c r="A1588" s="4" t="s">
        <v>1601</v>
      </c>
      <c r="B1588" s="2" t="s">
        <v>3430</v>
      </c>
      <c r="C1588" s="2" t="s">
        <v>3873</v>
      </c>
      <c r="D1588" s="2" t="s">
        <v>3880</v>
      </c>
      <c r="E1588" s="3">
        <v>45067</v>
      </c>
      <c r="F1588" s="3">
        <v>45762</v>
      </c>
      <c r="G1588" s="2" t="s">
        <v>3884</v>
      </c>
      <c r="H1588" s="2">
        <v>574338</v>
      </c>
      <c r="I1588" s="2">
        <v>416125</v>
      </c>
      <c r="J1588" s="2" t="s">
        <v>3889</v>
      </c>
      <c r="K1588" s="2" t="s">
        <v>3893</v>
      </c>
      <c r="L1588" s="2">
        <v>2024</v>
      </c>
      <c r="M1588" s="2">
        <v>158213</v>
      </c>
      <c r="N1588" s="2">
        <f xml:space="preserve"> (Table1[[#This Row],[Variance (USD)]] / Table1[[#This Row],[Actual Spending (USD)]]) * 100</f>
        <v>38.020546710723941</v>
      </c>
      <c r="O1588" s="5" t="s">
        <v>3897</v>
      </c>
    </row>
    <row r="1589" spans="1:15" x14ac:dyDescent="0.25">
      <c r="A1589" s="4" t="s">
        <v>1602</v>
      </c>
      <c r="B1589" s="2" t="s">
        <v>3058</v>
      </c>
      <c r="C1589" s="2" t="s">
        <v>3874</v>
      </c>
      <c r="D1589" s="2" t="s">
        <v>3876</v>
      </c>
      <c r="E1589" s="3">
        <v>45226</v>
      </c>
      <c r="F1589" s="3">
        <v>45912</v>
      </c>
      <c r="G1589" s="2" t="s">
        <v>3884</v>
      </c>
      <c r="H1589" s="2">
        <v>974094</v>
      </c>
      <c r="I1589" s="2">
        <v>549071</v>
      </c>
      <c r="J1589" s="2" t="s">
        <v>3892</v>
      </c>
      <c r="K1589" s="2" t="s">
        <v>3895</v>
      </c>
      <c r="L1589" s="2">
        <v>2025</v>
      </c>
      <c r="M1589" s="2">
        <v>425023</v>
      </c>
      <c r="N1589" s="2">
        <f xml:space="preserve"> (Table1[[#This Row],[Variance (USD)]] / Table1[[#This Row],[Actual Spending (USD)]]) * 100</f>
        <v>77.407657661759586</v>
      </c>
      <c r="O1589" s="5" t="s">
        <v>3897</v>
      </c>
    </row>
    <row r="1590" spans="1:15" x14ac:dyDescent="0.25">
      <c r="A1590" s="4" t="s">
        <v>1603</v>
      </c>
      <c r="B1590" s="2" t="s">
        <v>3745</v>
      </c>
      <c r="C1590" s="2" t="s">
        <v>3872</v>
      </c>
      <c r="D1590" s="2" t="s">
        <v>3881</v>
      </c>
      <c r="E1590" s="3">
        <v>45601</v>
      </c>
      <c r="F1590" s="3">
        <v>45882</v>
      </c>
      <c r="G1590" s="2" t="s">
        <v>3884</v>
      </c>
      <c r="H1590" s="2">
        <v>614493</v>
      </c>
      <c r="I1590" s="2">
        <v>252274</v>
      </c>
      <c r="J1590" s="2" t="s">
        <v>3892</v>
      </c>
      <c r="K1590" s="2" t="s">
        <v>3896</v>
      </c>
      <c r="L1590" s="2">
        <v>2025</v>
      </c>
      <c r="M1590" s="2">
        <v>362219</v>
      </c>
      <c r="N1590" s="2">
        <f xml:space="preserve"> (Table1[[#This Row],[Variance (USD)]] / Table1[[#This Row],[Actual Spending (USD)]]) * 100</f>
        <v>143.58158193075784</v>
      </c>
      <c r="O1590" s="5" t="s">
        <v>3897</v>
      </c>
    </row>
    <row r="1591" spans="1:15" x14ac:dyDescent="0.25">
      <c r="A1591" s="4" t="s">
        <v>1604</v>
      </c>
      <c r="B1591" s="2" t="s">
        <v>3746</v>
      </c>
      <c r="C1591" s="2" t="s">
        <v>3869</v>
      </c>
      <c r="D1591" s="2" t="s">
        <v>3881</v>
      </c>
      <c r="E1591" s="3">
        <v>45237</v>
      </c>
      <c r="F1591" s="3">
        <v>45964</v>
      </c>
      <c r="G1591" s="2" t="s">
        <v>3886</v>
      </c>
      <c r="H1591" s="2">
        <v>851594</v>
      </c>
      <c r="I1591" s="2">
        <v>853509</v>
      </c>
      <c r="J1591" s="2" t="s">
        <v>3892</v>
      </c>
      <c r="K1591" s="2" t="s">
        <v>3895</v>
      </c>
      <c r="L1591" s="2">
        <v>2024</v>
      </c>
      <c r="M1591" s="2">
        <v>-1915</v>
      </c>
      <c r="N1591" s="2">
        <f xml:space="preserve"> (Table1[[#This Row],[Variance (USD)]] / Table1[[#This Row],[Actual Spending (USD)]]) * 100</f>
        <v>-0.22436787426963278</v>
      </c>
      <c r="O1591" s="5" t="s">
        <v>3899</v>
      </c>
    </row>
    <row r="1592" spans="1:15" x14ac:dyDescent="0.25">
      <c r="A1592" s="4" t="s">
        <v>1605</v>
      </c>
      <c r="B1592" s="2" t="s">
        <v>3286</v>
      </c>
      <c r="C1592" s="2" t="s">
        <v>3874</v>
      </c>
      <c r="D1592" s="2" t="s">
        <v>3879</v>
      </c>
      <c r="E1592" s="3">
        <v>45397</v>
      </c>
      <c r="F1592" s="3">
        <v>45730</v>
      </c>
      <c r="G1592" s="2" t="s">
        <v>3884</v>
      </c>
      <c r="H1592" s="2">
        <v>361890</v>
      </c>
      <c r="I1592" s="2">
        <v>285672</v>
      </c>
      <c r="J1592" s="2" t="s">
        <v>3889</v>
      </c>
      <c r="K1592" s="2" t="s">
        <v>3893</v>
      </c>
      <c r="L1592" s="2">
        <v>2024</v>
      </c>
      <c r="M1592" s="2">
        <v>76218</v>
      </c>
      <c r="N1592" s="2">
        <f xml:space="preserve"> (Table1[[#This Row],[Variance (USD)]] / Table1[[#This Row],[Actual Spending (USD)]]) * 100</f>
        <v>26.680248676804169</v>
      </c>
      <c r="O1592" s="5" t="s">
        <v>3897</v>
      </c>
    </row>
    <row r="1593" spans="1:15" x14ac:dyDescent="0.25">
      <c r="A1593" s="4" t="s">
        <v>1606</v>
      </c>
      <c r="B1593" s="2" t="s">
        <v>3543</v>
      </c>
      <c r="C1593" s="2" t="s">
        <v>3871</v>
      </c>
      <c r="D1593" s="2" t="s">
        <v>3876</v>
      </c>
      <c r="E1593" s="3">
        <v>45319</v>
      </c>
      <c r="F1593" s="3">
        <v>45822</v>
      </c>
      <c r="G1593" s="2" t="s">
        <v>3886</v>
      </c>
      <c r="H1593" s="2">
        <v>718465</v>
      </c>
      <c r="I1593" s="2">
        <v>180468</v>
      </c>
      <c r="J1593" s="2" t="s">
        <v>3892</v>
      </c>
      <c r="K1593" s="2" t="s">
        <v>3896</v>
      </c>
      <c r="L1593" s="2">
        <v>2025</v>
      </c>
      <c r="M1593" s="2">
        <v>537997</v>
      </c>
      <c r="N1593" s="2">
        <f xml:space="preserve"> (Table1[[#This Row],[Variance (USD)]] / Table1[[#This Row],[Actual Spending (USD)]]) * 100</f>
        <v>298.11213068244786</v>
      </c>
      <c r="O1593" s="5" t="s">
        <v>3899</v>
      </c>
    </row>
    <row r="1594" spans="1:15" x14ac:dyDescent="0.25">
      <c r="A1594" s="4" t="s">
        <v>1607</v>
      </c>
      <c r="B1594" s="2" t="s">
        <v>3566</v>
      </c>
      <c r="C1594" s="2" t="s">
        <v>3873</v>
      </c>
      <c r="D1594" s="2" t="s">
        <v>3879</v>
      </c>
      <c r="E1594" s="3">
        <v>45568</v>
      </c>
      <c r="F1594" s="3">
        <v>45418</v>
      </c>
      <c r="G1594" s="2" t="s">
        <v>3884</v>
      </c>
      <c r="H1594" s="2">
        <v>480715</v>
      </c>
      <c r="I1594" s="2">
        <v>484064</v>
      </c>
      <c r="J1594" s="2" t="s">
        <v>3892</v>
      </c>
      <c r="K1594" s="2" t="s">
        <v>3894</v>
      </c>
      <c r="L1594" s="2">
        <v>2024</v>
      </c>
      <c r="M1594" s="2">
        <v>-3349</v>
      </c>
      <c r="N1594" s="2">
        <f xml:space="preserve"> (Table1[[#This Row],[Variance (USD)]] / Table1[[#This Row],[Actual Spending (USD)]]) * 100</f>
        <v>-0.69185066437495868</v>
      </c>
      <c r="O1594" s="5" t="s">
        <v>3897</v>
      </c>
    </row>
    <row r="1595" spans="1:15" x14ac:dyDescent="0.25">
      <c r="A1595" s="4" t="s">
        <v>1608</v>
      </c>
      <c r="B1595" s="2" t="s">
        <v>3747</v>
      </c>
      <c r="C1595" s="2" t="s">
        <v>3868</v>
      </c>
      <c r="D1595" s="2" t="s">
        <v>3882</v>
      </c>
      <c r="E1595" s="3">
        <v>45371</v>
      </c>
      <c r="F1595" s="3">
        <v>45496</v>
      </c>
      <c r="G1595" s="2" t="s">
        <v>3884</v>
      </c>
      <c r="H1595" s="2">
        <v>479857</v>
      </c>
      <c r="I1595" s="2">
        <v>768848</v>
      </c>
      <c r="J1595" s="2" t="s">
        <v>3890</v>
      </c>
      <c r="K1595" s="2" t="s">
        <v>3894</v>
      </c>
      <c r="L1595" s="2">
        <v>2023</v>
      </c>
      <c r="M1595" s="2">
        <v>-288991</v>
      </c>
      <c r="N1595" s="2">
        <f xml:space="preserve"> (Table1[[#This Row],[Variance (USD)]] / Table1[[#This Row],[Actual Spending (USD)]]) * 100</f>
        <v>-37.587533556697814</v>
      </c>
      <c r="O1595" s="5" t="s">
        <v>3897</v>
      </c>
    </row>
    <row r="1596" spans="1:15" x14ac:dyDescent="0.25">
      <c r="A1596" s="4" t="s">
        <v>1609</v>
      </c>
      <c r="B1596" s="2" t="s">
        <v>3748</v>
      </c>
      <c r="C1596" s="2" t="s">
        <v>3874</v>
      </c>
      <c r="D1596" s="2" t="s">
        <v>3876</v>
      </c>
      <c r="E1596" s="3">
        <v>45098</v>
      </c>
      <c r="F1596" s="3">
        <v>45320</v>
      </c>
      <c r="G1596" s="2" t="s">
        <v>3884</v>
      </c>
      <c r="H1596" s="2">
        <v>585916</v>
      </c>
      <c r="I1596" s="2">
        <v>90530</v>
      </c>
      <c r="J1596" s="2" t="s">
        <v>3892</v>
      </c>
      <c r="K1596" s="2" t="s">
        <v>3894</v>
      </c>
      <c r="L1596" s="2">
        <v>2023</v>
      </c>
      <c r="M1596" s="2">
        <v>495386</v>
      </c>
      <c r="N1596" s="2">
        <f xml:space="preserve"> (Table1[[#This Row],[Variance (USD)]] / Table1[[#This Row],[Actual Spending (USD)]]) * 100</f>
        <v>547.20645090025403</v>
      </c>
      <c r="O1596" s="5" t="s">
        <v>3897</v>
      </c>
    </row>
    <row r="1597" spans="1:15" x14ac:dyDescent="0.25">
      <c r="A1597" s="4" t="s">
        <v>1610</v>
      </c>
      <c r="B1597" s="2" t="s">
        <v>3042</v>
      </c>
      <c r="C1597" s="2" t="s">
        <v>3875</v>
      </c>
      <c r="D1597" s="2" t="s">
        <v>3878</v>
      </c>
      <c r="E1597" s="3">
        <v>45502</v>
      </c>
      <c r="F1597" s="3">
        <v>45736</v>
      </c>
      <c r="G1597" s="2" t="s">
        <v>3886</v>
      </c>
      <c r="H1597" s="2">
        <v>223104</v>
      </c>
      <c r="I1597" s="2">
        <v>225346</v>
      </c>
      <c r="J1597" s="2" t="s">
        <v>3892</v>
      </c>
      <c r="K1597" s="2" t="s">
        <v>3893</v>
      </c>
      <c r="L1597" s="2">
        <v>2023</v>
      </c>
      <c r="M1597" s="2">
        <v>-2242</v>
      </c>
      <c r="N1597" s="2">
        <f xml:space="preserve"> (Table1[[#This Row],[Variance (USD)]] / Table1[[#This Row],[Actual Spending (USD)]]) * 100</f>
        <v>-0.99491448705546148</v>
      </c>
      <c r="O1597" s="5" t="s">
        <v>3899</v>
      </c>
    </row>
    <row r="1598" spans="1:15" x14ac:dyDescent="0.25">
      <c r="A1598" s="4" t="s">
        <v>1611</v>
      </c>
      <c r="B1598" s="2" t="s">
        <v>3749</v>
      </c>
      <c r="C1598" s="2" t="s">
        <v>3874</v>
      </c>
      <c r="D1598" s="2" t="s">
        <v>3878</v>
      </c>
      <c r="E1598" s="3">
        <v>44957</v>
      </c>
      <c r="F1598" s="3">
        <v>46010</v>
      </c>
      <c r="G1598" s="2" t="s">
        <v>3884</v>
      </c>
      <c r="H1598" s="2">
        <v>508245</v>
      </c>
      <c r="I1598" s="2">
        <v>57122</v>
      </c>
      <c r="J1598" s="2" t="s">
        <v>3891</v>
      </c>
      <c r="K1598" s="2" t="s">
        <v>3893</v>
      </c>
      <c r="L1598" s="2">
        <v>2023</v>
      </c>
      <c r="M1598" s="2">
        <v>451123</v>
      </c>
      <c r="N1598" s="2">
        <f xml:space="preserve"> (Table1[[#This Row],[Variance (USD)]] / Table1[[#This Row],[Actual Spending (USD)]]) * 100</f>
        <v>789.75351003116134</v>
      </c>
      <c r="O1598" s="5" t="s">
        <v>3897</v>
      </c>
    </row>
    <row r="1599" spans="1:15" x14ac:dyDescent="0.25">
      <c r="A1599" s="4" t="s">
        <v>1612</v>
      </c>
      <c r="B1599" s="2" t="s">
        <v>3376</v>
      </c>
      <c r="C1599" s="2" t="s">
        <v>3872</v>
      </c>
      <c r="D1599" s="2" t="s">
        <v>3883</v>
      </c>
      <c r="E1599" s="3">
        <v>44973</v>
      </c>
      <c r="F1599" s="3">
        <v>45755</v>
      </c>
      <c r="G1599" s="2" t="s">
        <v>3884</v>
      </c>
      <c r="H1599" s="2">
        <v>350660</v>
      </c>
      <c r="I1599" s="2">
        <v>845813</v>
      </c>
      <c r="J1599" s="2" t="s">
        <v>3889</v>
      </c>
      <c r="K1599" s="2" t="s">
        <v>3893</v>
      </c>
      <c r="L1599" s="2">
        <v>2023</v>
      </c>
      <c r="M1599" s="2">
        <v>-495153</v>
      </c>
      <c r="N1599" s="2">
        <f xml:space="preserve"> (Table1[[#This Row],[Variance (USD)]] / Table1[[#This Row],[Actual Spending (USD)]]) * 100</f>
        <v>-58.541663464619255</v>
      </c>
      <c r="O1599" s="5" t="s">
        <v>3897</v>
      </c>
    </row>
    <row r="1600" spans="1:15" x14ac:dyDescent="0.25">
      <c r="A1600" s="4" t="s">
        <v>1613</v>
      </c>
      <c r="B1600" s="2" t="s">
        <v>3570</v>
      </c>
      <c r="C1600" s="2" t="s">
        <v>3868</v>
      </c>
      <c r="D1600" s="2" t="s">
        <v>3876</v>
      </c>
      <c r="E1600" s="3">
        <v>45056</v>
      </c>
      <c r="F1600" s="3">
        <v>45571</v>
      </c>
      <c r="G1600" s="2" t="s">
        <v>3886</v>
      </c>
      <c r="H1600" s="2">
        <v>399301</v>
      </c>
      <c r="I1600" s="2">
        <v>708627</v>
      </c>
      <c r="J1600" s="2" t="s">
        <v>3891</v>
      </c>
      <c r="K1600" s="2" t="s">
        <v>3893</v>
      </c>
      <c r="L1600" s="2">
        <v>2024</v>
      </c>
      <c r="M1600" s="2">
        <v>-309326</v>
      </c>
      <c r="N1600" s="2">
        <f xml:space="preserve"> (Table1[[#This Row],[Variance (USD)]] / Table1[[#This Row],[Actual Spending (USD)]]) * 100</f>
        <v>-43.651455561247317</v>
      </c>
      <c r="O1600" s="5" t="s">
        <v>3899</v>
      </c>
    </row>
    <row r="1601" spans="1:15" x14ac:dyDescent="0.25">
      <c r="A1601" s="4" t="s">
        <v>1614</v>
      </c>
      <c r="B1601" s="2" t="s">
        <v>3490</v>
      </c>
      <c r="C1601" s="2" t="s">
        <v>3872</v>
      </c>
      <c r="D1601" s="2" t="s">
        <v>3881</v>
      </c>
      <c r="E1601" s="3">
        <v>45278</v>
      </c>
      <c r="F1601" s="3">
        <v>45442</v>
      </c>
      <c r="G1601" s="2" t="s">
        <v>3884</v>
      </c>
      <c r="H1601" s="2">
        <v>444692</v>
      </c>
      <c r="I1601" s="2">
        <v>543888</v>
      </c>
      <c r="J1601" s="2" t="s">
        <v>3890</v>
      </c>
      <c r="K1601" s="2" t="s">
        <v>3893</v>
      </c>
      <c r="L1601" s="2">
        <v>2024</v>
      </c>
      <c r="M1601" s="2">
        <v>-99196</v>
      </c>
      <c r="N1601" s="2">
        <f xml:space="preserve"> (Table1[[#This Row],[Variance (USD)]] / Table1[[#This Row],[Actual Spending (USD)]]) * 100</f>
        <v>-18.238313770482158</v>
      </c>
      <c r="O1601" s="5" t="s">
        <v>3897</v>
      </c>
    </row>
    <row r="1602" spans="1:15" x14ac:dyDescent="0.25">
      <c r="A1602" s="4" t="s">
        <v>1615</v>
      </c>
      <c r="B1602" s="2" t="s">
        <v>3549</v>
      </c>
      <c r="C1602" s="2" t="s">
        <v>3870</v>
      </c>
      <c r="D1602" s="2" t="s">
        <v>3880</v>
      </c>
      <c r="E1602" s="3">
        <v>45548</v>
      </c>
      <c r="F1602" s="3">
        <v>45531</v>
      </c>
      <c r="G1602" s="2" t="s">
        <v>3884</v>
      </c>
      <c r="H1602" s="2">
        <v>169558</v>
      </c>
      <c r="I1602" s="2">
        <v>1055047</v>
      </c>
      <c r="J1602" s="2" t="s">
        <v>3891</v>
      </c>
      <c r="K1602" s="2" t="s">
        <v>3896</v>
      </c>
      <c r="L1602" s="2">
        <v>2023</v>
      </c>
      <c r="M1602" s="2">
        <v>-885489</v>
      </c>
      <c r="N1602" s="2">
        <f xml:space="preserve"> (Table1[[#This Row],[Variance (USD)]] / Table1[[#This Row],[Actual Spending (USD)]]) * 100</f>
        <v>-83.928867623906797</v>
      </c>
      <c r="O1602" s="5" t="s">
        <v>3897</v>
      </c>
    </row>
    <row r="1603" spans="1:15" x14ac:dyDescent="0.25">
      <c r="A1603" s="4" t="s">
        <v>1616</v>
      </c>
      <c r="B1603" s="2" t="s">
        <v>3673</v>
      </c>
      <c r="C1603" s="2" t="s">
        <v>3875</v>
      </c>
      <c r="D1603" s="2" t="s">
        <v>3877</v>
      </c>
      <c r="E1603" s="3">
        <v>45507</v>
      </c>
      <c r="F1603" s="3">
        <v>45557</v>
      </c>
      <c r="G1603" s="2" t="s">
        <v>3886</v>
      </c>
      <c r="H1603" s="2">
        <v>352944</v>
      </c>
      <c r="I1603" s="2">
        <v>692448</v>
      </c>
      <c r="J1603" s="2" t="s">
        <v>3888</v>
      </c>
      <c r="K1603" s="2" t="s">
        <v>3895</v>
      </c>
      <c r="L1603" s="2">
        <v>2023</v>
      </c>
      <c r="M1603" s="2">
        <v>-339504</v>
      </c>
      <c r="N1603" s="2">
        <f xml:space="preserve"> (Table1[[#This Row],[Variance (USD)]] / Table1[[#This Row],[Actual Spending (USD)]]) * 100</f>
        <v>-49.029530015250245</v>
      </c>
      <c r="O1603" s="5" t="s">
        <v>3899</v>
      </c>
    </row>
    <row r="1604" spans="1:15" x14ac:dyDescent="0.25">
      <c r="A1604" s="4" t="s">
        <v>1617</v>
      </c>
      <c r="B1604" s="2" t="s">
        <v>3161</v>
      </c>
      <c r="C1604" s="2" t="s">
        <v>3875</v>
      </c>
      <c r="D1604" s="2" t="s">
        <v>3883</v>
      </c>
      <c r="E1604" s="3">
        <v>44984</v>
      </c>
      <c r="F1604" s="3">
        <v>45985</v>
      </c>
      <c r="G1604" s="2" t="s">
        <v>3884</v>
      </c>
      <c r="H1604" s="2">
        <v>610076</v>
      </c>
      <c r="I1604" s="2">
        <v>651642</v>
      </c>
      <c r="J1604" s="2" t="s">
        <v>3889</v>
      </c>
      <c r="K1604" s="2" t="s">
        <v>3894</v>
      </c>
      <c r="L1604" s="2">
        <v>2023</v>
      </c>
      <c r="M1604" s="2">
        <v>-41566</v>
      </c>
      <c r="N1604" s="2">
        <f xml:space="preserve"> (Table1[[#This Row],[Variance (USD)]] / Table1[[#This Row],[Actual Spending (USD)]]) * 100</f>
        <v>-6.3786557649752469</v>
      </c>
      <c r="O1604" s="5" t="s">
        <v>3897</v>
      </c>
    </row>
    <row r="1605" spans="1:15" x14ac:dyDescent="0.25">
      <c r="A1605" s="4" t="s">
        <v>1618</v>
      </c>
      <c r="B1605" s="2" t="s">
        <v>3345</v>
      </c>
      <c r="C1605" s="2" t="s">
        <v>3873</v>
      </c>
      <c r="D1605" s="2" t="s">
        <v>3880</v>
      </c>
      <c r="E1605" s="3">
        <v>45032</v>
      </c>
      <c r="F1605" s="3">
        <v>45396</v>
      </c>
      <c r="G1605" s="2" t="s">
        <v>3886</v>
      </c>
      <c r="H1605" s="2">
        <v>170754</v>
      </c>
      <c r="I1605" s="2">
        <v>1066960</v>
      </c>
      <c r="J1605" s="2" t="s">
        <v>3892</v>
      </c>
      <c r="K1605" s="2" t="s">
        <v>3893</v>
      </c>
      <c r="L1605" s="2">
        <v>2024</v>
      </c>
      <c r="M1605" s="2">
        <v>-896206</v>
      </c>
      <c r="N1605" s="2">
        <f xml:space="preserve"> (Table1[[#This Row],[Variance (USD)]] / Table1[[#This Row],[Actual Spending (USD)]]) * 100</f>
        <v>-83.996213541276148</v>
      </c>
      <c r="O1605" s="5" t="s">
        <v>3899</v>
      </c>
    </row>
    <row r="1606" spans="1:15" x14ac:dyDescent="0.25">
      <c r="A1606" s="4" t="s">
        <v>1619</v>
      </c>
      <c r="B1606" s="2" t="s">
        <v>3189</v>
      </c>
      <c r="C1606" s="2" t="s">
        <v>3874</v>
      </c>
      <c r="D1606" s="2" t="s">
        <v>3878</v>
      </c>
      <c r="E1606" s="3">
        <v>45256</v>
      </c>
      <c r="F1606" s="3">
        <v>45724</v>
      </c>
      <c r="G1606" s="2" t="s">
        <v>3884</v>
      </c>
      <c r="H1606" s="2">
        <v>338384</v>
      </c>
      <c r="I1606" s="2">
        <v>984093</v>
      </c>
      <c r="J1606" s="2" t="s">
        <v>3891</v>
      </c>
      <c r="K1606" s="2" t="s">
        <v>3894</v>
      </c>
      <c r="L1606" s="2">
        <v>2024</v>
      </c>
      <c r="M1606" s="2">
        <v>-645709</v>
      </c>
      <c r="N1606" s="2">
        <f xml:space="preserve"> (Table1[[#This Row],[Variance (USD)]] / Table1[[#This Row],[Actual Spending (USD)]]) * 100</f>
        <v>-65.61463195043558</v>
      </c>
      <c r="O1606" s="5" t="s">
        <v>3897</v>
      </c>
    </row>
    <row r="1607" spans="1:15" x14ac:dyDescent="0.25">
      <c r="A1607" s="4" t="s">
        <v>1620</v>
      </c>
      <c r="B1607" s="2" t="s">
        <v>3328</v>
      </c>
      <c r="C1607" s="2" t="s">
        <v>3873</v>
      </c>
      <c r="D1607" s="2" t="s">
        <v>3876</v>
      </c>
      <c r="E1607" s="3">
        <v>45609</v>
      </c>
      <c r="F1607" s="3">
        <v>45788</v>
      </c>
      <c r="G1607" s="2" t="s">
        <v>3886</v>
      </c>
      <c r="H1607" s="2">
        <v>554204</v>
      </c>
      <c r="I1607" s="2">
        <v>162508</v>
      </c>
      <c r="J1607" s="2" t="s">
        <v>3891</v>
      </c>
      <c r="K1607" s="2" t="s">
        <v>3893</v>
      </c>
      <c r="L1607" s="2">
        <v>2025</v>
      </c>
      <c r="M1607" s="2">
        <v>391696</v>
      </c>
      <c r="N1607" s="2">
        <f xml:space="preserve"> (Table1[[#This Row],[Variance (USD)]] / Table1[[#This Row],[Actual Spending (USD)]]) * 100</f>
        <v>241.03182612548304</v>
      </c>
      <c r="O1607" s="5" t="s">
        <v>3899</v>
      </c>
    </row>
    <row r="1608" spans="1:15" x14ac:dyDescent="0.25">
      <c r="A1608" s="4" t="s">
        <v>1621</v>
      </c>
      <c r="B1608" s="2" t="s">
        <v>3121</v>
      </c>
      <c r="C1608" s="2" t="s">
        <v>3868</v>
      </c>
      <c r="D1608" s="2" t="s">
        <v>3883</v>
      </c>
      <c r="E1608" s="3">
        <v>45309</v>
      </c>
      <c r="F1608" s="3">
        <v>45731</v>
      </c>
      <c r="G1608" s="2" t="s">
        <v>3886</v>
      </c>
      <c r="H1608" s="2">
        <v>454138</v>
      </c>
      <c r="I1608" s="2">
        <v>485070</v>
      </c>
      <c r="J1608" s="2" t="s">
        <v>3892</v>
      </c>
      <c r="K1608" s="2" t="s">
        <v>3894</v>
      </c>
      <c r="L1608" s="2">
        <v>2025</v>
      </c>
      <c r="M1608" s="2">
        <v>-30932</v>
      </c>
      <c r="N1608" s="2">
        <f xml:space="preserve"> (Table1[[#This Row],[Variance (USD)]] / Table1[[#This Row],[Actual Spending (USD)]]) * 100</f>
        <v>-6.3768115942028984</v>
      </c>
      <c r="O1608" s="5" t="s">
        <v>3899</v>
      </c>
    </row>
    <row r="1609" spans="1:15" x14ac:dyDescent="0.25">
      <c r="A1609" s="4" t="s">
        <v>1622</v>
      </c>
      <c r="B1609" s="2" t="s">
        <v>3366</v>
      </c>
      <c r="C1609" s="2" t="s">
        <v>3874</v>
      </c>
      <c r="D1609" s="2" t="s">
        <v>3876</v>
      </c>
      <c r="E1609" s="3">
        <v>45088</v>
      </c>
      <c r="F1609" s="3">
        <v>45976</v>
      </c>
      <c r="G1609" s="2" t="s">
        <v>3884</v>
      </c>
      <c r="H1609" s="2">
        <v>556906</v>
      </c>
      <c r="I1609" s="2">
        <v>1009392</v>
      </c>
      <c r="J1609" s="2" t="s">
        <v>3892</v>
      </c>
      <c r="K1609" s="2" t="s">
        <v>3895</v>
      </c>
      <c r="L1609" s="2">
        <v>2025</v>
      </c>
      <c r="M1609" s="2">
        <v>-452486</v>
      </c>
      <c r="N1609" s="2">
        <f xml:space="preserve"> (Table1[[#This Row],[Variance (USD)]] / Table1[[#This Row],[Actual Spending (USD)]]) * 100</f>
        <v>-44.827579374514556</v>
      </c>
      <c r="O1609" s="5" t="s">
        <v>3897</v>
      </c>
    </row>
    <row r="1610" spans="1:15" x14ac:dyDescent="0.25">
      <c r="A1610" s="4" t="s">
        <v>1623</v>
      </c>
      <c r="B1610" s="2" t="s">
        <v>3523</v>
      </c>
      <c r="C1610" s="2" t="s">
        <v>3870</v>
      </c>
      <c r="D1610" s="2" t="s">
        <v>3878</v>
      </c>
      <c r="E1610" s="3">
        <v>45212</v>
      </c>
      <c r="F1610" s="3">
        <v>45449</v>
      </c>
      <c r="G1610" s="2" t="s">
        <v>3886</v>
      </c>
      <c r="H1610" s="2">
        <v>900630</v>
      </c>
      <c r="I1610" s="2">
        <v>843713</v>
      </c>
      <c r="J1610" s="2" t="s">
        <v>3890</v>
      </c>
      <c r="K1610" s="2" t="s">
        <v>3894</v>
      </c>
      <c r="L1610" s="2">
        <v>2025</v>
      </c>
      <c r="M1610" s="2">
        <v>56917</v>
      </c>
      <c r="N1610" s="2">
        <f xml:space="preserve"> (Table1[[#This Row],[Variance (USD)]] / Table1[[#This Row],[Actual Spending (USD)]]) * 100</f>
        <v>6.7460143437401099</v>
      </c>
      <c r="O1610" s="5" t="s">
        <v>3899</v>
      </c>
    </row>
    <row r="1611" spans="1:15" x14ac:dyDescent="0.25">
      <c r="A1611" s="4" t="s">
        <v>1624</v>
      </c>
      <c r="B1611" s="2" t="s">
        <v>3206</v>
      </c>
      <c r="C1611" s="2" t="s">
        <v>3872</v>
      </c>
      <c r="D1611" s="2" t="s">
        <v>3883</v>
      </c>
      <c r="E1611" s="3">
        <v>44997</v>
      </c>
      <c r="F1611" s="3">
        <v>45463</v>
      </c>
      <c r="G1611" s="2" t="s">
        <v>3885</v>
      </c>
      <c r="H1611" s="2">
        <v>370883</v>
      </c>
      <c r="I1611" s="2">
        <v>380161</v>
      </c>
      <c r="J1611" s="2" t="s">
        <v>3891</v>
      </c>
      <c r="K1611" s="2" t="s">
        <v>3894</v>
      </c>
      <c r="L1611" s="2">
        <v>2024</v>
      </c>
      <c r="M1611" s="2">
        <v>-9278</v>
      </c>
      <c r="N1611" s="2">
        <f xml:space="preserve"> (Table1[[#This Row],[Variance (USD)]] / Table1[[#This Row],[Actual Spending (USD)]]) * 100</f>
        <v>-2.4405449270177635</v>
      </c>
      <c r="O1611" s="5" t="s">
        <v>3898</v>
      </c>
    </row>
    <row r="1612" spans="1:15" x14ac:dyDescent="0.25">
      <c r="A1612" s="4" t="s">
        <v>1625</v>
      </c>
      <c r="B1612" s="2" t="s">
        <v>3355</v>
      </c>
      <c r="C1612" s="2" t="s">
        <v>3870</v>
      </c>
      <c r="D1612" s="2" t="s">
        <v>3878</v>
      </c>
      <c r="E1612" s="3">
        <v>45380</v>
      </c>
      <c r="F1612" s="3">
        <v>45785</v>
      </c>
      <c r="G1612" s="2" t="s">
        <v>3884</v>
      </c>
      <c r="H1612" s="2">
        <v>778962</v>
      </c>
      <c r="I1612" s="2">
        <v>114403</v>
      </c>
      <c r="J1612" s="2" t="s">
        <v>3891</v>
      </c>
      <c r="K1612" s="2" t="s">
        <v>3893</v>
      </c>
      <c r="L1612" s="2">
        <v>2024</v>
      </c>
      <c r="M1612" s="2">
        <v>664559</v>
      </c>
      <c r="N1612" s="2">
        <f xml:space="preserve"> (Table1[[#This Row],[Variance (USD)]] / Table1[[#This Row],[Actual Spending (USD)]]) * 100</f>
        <v>580.89298357560551</v>
      </c>
      <c r="O1612" s="5" t="s">
        <v>3897</v>
      </c>
    </row>
    <row r="1613" spans="1:15" x14ac:dyDescent="0.25">
      <c r="A1613" s="4" t="s">
        <v>1626</v>
      </c>
      <c r="B1613" s="2" t="s">
        <v>3750</v>
      </c>
      <c r="C1613" s="2" t="s">
        <v>3875</v>
      </c>
      <c r="D1613" s="2" t="s">
        <v>3879</v>
      </c>
      <c r="E1613" s="3">
        <v>45493</v>
      </c>
      <c r="F1613" s="3">
        <v>45602</v>
      </c>
      <c r="G1613" s="2" t="s">
        <v>3884</v>
      </c>
      <c r="H1613" s="2">
        <v>324233</v>
      </c>
      <c r="I1613" s="2">
        <v>215024</v>
      </c>
      <c r="J1613" s="2" t="s">
        <v>3888</v>
      </c>
      <c r="K1613" s="2" t="s">
        <v>3896</v>
      </c>
      <c r="L1613" s="2">
        <v>2024</v>
      </c>
      <c r="M1613" s="2">
        <v>109209</v>
      </c>
      <c r="N1613" s="2">
        <f xml:space="preserve"> (Table1[[#This Row],[Variance (USD)]] / Table1[[#This Row],[Actual Spending (USD)]]) * 100</f>
        <v>50.789214227249047</v>
      </c>
      <c r="O1613" s="5" t="s">
        <v>3897</v>
      </c>
    </row>
    <row r="1614" spans="1:15" x14ac:dyDescent="0.25">
      <c r="A1614" s="4" t="s">
        <v>1627</v>
      </c>
      <c r="B1614" s="2" t="s">
        <v>3255</v>
      </c>
      <c r="C1614" s="2" t="s">
        <v>3868</v>
      </c>
      <c r="D1614" s="2" t="s">
        <v>3878</v>
      </c>
      <c r="E1614" s="3">
        <v>45323</v>
      </c>
      <c r="F1614" s="3">
        <v>45694</v>
      </c>
      <c r="G1614" s="2" t="s">
        <v>3886</v>
      </c>
      <c r="H1614" s="2">
        <v>606888</v>
      </c>
      <c r="I1614" s="2">
        <v>52766</v>
      </c>
      <c r="J1614" s="2" t="s">
        <v>3888</v>
      </c>
      <c r="K1614" s="2" t="s">
        <v>3896</v>
      </c>
      <c r="L1614" s="2">
        <v>2024</v>
      </c>
      <c r="M1614" s="2">
        <v>554122</v>
      </c>
      <c r="N1614" s="2">
        <f xml:space="preserve"> (Table1[[#This Row],[Variance (USD)]] / Table1[[#This Row],[Actual Spending (USD)]]) * 100</f>
        <v>1050.1497176211954</v>
      </c>
      <c r="O1614" s="5" t="s">
        <v>3899</v>
      </c>
    </row>
    <row r="1615" spans="1:15" x14ac:dyDescent="0.25">
      <c r="A1615" s="4" t="s">
        <v>1628</v>
      </c>
      <c r="B1615" s="2" t="s">
        <v>3141</v>
      </c>
      <c r="C1615" s="2" t="s">
        <v>3871</v>
      </c>
      <c r="D1615" s="2" t="s">
        <v>3881</v>
      </c>
      <c r="E1615" s="3">
        <v>45441</v>
      </c>
      <c r="F1615" s="3">
        <v>45960</v>
      </c>
      <c r="G1615" s="2" t="s">
        <v>3886</v>
      </c>
      <c r="H1615" s="2">
        <v>227248</v>
      </c>
      <c r="I1615" s="2">
        <v>444429</v>
      </c>
      <c r="J1615" s="2" t="s">
        <v>3891</v>
      </c>
      <c r="K1615" s="2" t="s">
        <v>3894</v>
      </c>
      <c r="L1615" s="2">
        <v>2023</v>
      </c>
      <c r="M1615" s="2">
        <v>-217181</v>
      </c>
      <c r="N1615" s="2">
        <f xml:space="preserve"> (Table1[[#This Row],[Variance (USD)]] / Table1[[#This Row],[Actual Spending (USD)]]) * 100</f>
        <v>-48.867423142954216</v>
      </c>
      <c r="O1615" s="5" t="s">
        <v>3899</v>
      </c>
    </row>
    <row r="1616" spans="1:15" x14ac:dyDescent="0.25">
      <c r="A1616" s="4" t="s">
        <v>1629</v>
      </c>
      <c r="B1616" s="2" t="s">
        <v>3531</v>
      </c>
      <c r="C1616" s="2" t="s">
        <v>3868</v>
      </c>
      <c r="D1616" s="2" t="s">
        <v>3881</v>
      </c>
      <c r="E1616" s="3">
        <v>44952</v>
      </c>
      <c r="F1616" s="3">
        <v>45967</v>
      </c>
      <c r="G1616" s="2" t="s">
        <v>3884</v>
      </c>
      <c r="H1616" s="2">
        <v>844599</v>
      </c>
      <c r="I1616" s="2">
        <v>878671</v>
      </c>
      <c r="J1616" s="2" t="s">
        <v>3888</v>
      </c>
      <c r="K1616" s="2" t="s">
        <v>3896</v>
      </c>
      <c r="L1616" s="2">
        <v>2025</v>
      </c>
      <c r="M1616" s="2">
        <v>-34072</v>
      </c>
      <c r="N1616" s="2">
        <f xml:space="preserve"> (Table1[[#This Row],[Variance (USD)]] / Table1[[#This Row],[Actual Spending (USD)]]) * 100</f>
        <v>-3.8776743513783885</v>
      </c>
      <c r="O1616" s="5" t="s">
        <v>3897</v>
      </c>
    </row>
    <row r="1617" spans="1:15" x14ac:dyDescent="0.25">
      <c r="A1617" s="4" t="s">
        <v>1630</v>
      </c>
      <c r="B1617" s="2" t="s">
        <v>3337</v>
      </c>
      <c r="C1617" s="2" t="s">
        <v>3869</v>
      </c>
      <c r="D1617" s="2" t="s">
        <v>3876</v>
      </c>
      <c r="E1617" s="3">
        <v>45239</v>
      </c>
      <c r="F1617" s="3">
        <v>45950</v>
      </c>
      <c r="G1617" s="2" t="s">
        <v>3885</v>
      </c>
      <c r="H1617" s="2">
        <v>914784</v>
      </c>
      <c r="I1617" s="2">
        <v>426010</v>
      </c>
      <c r="J1617" s="2" t="s">
        <v>3891</v>
      </c>
      <c r="K1617" s="2" t="s">
        <v>3895</v>
      </c>
      <c r="L1617" s="2">
        <v>2024</v>
      </c>
      <c r="M1617" s="2">
        <v>488774</v>
      </c>
      <c r="N1617" s="2">
        <f xml:space="preserve"> (Table1[[#This Row],[Variance (USD)]] / Table1[[#This Row],[Actual Spending (USD)]]) * 100</f>
        <v>114.7329874885566</v>
      </c>
      <c r="O1617" s="5" t="s">
        <v>3898</v>
      </c>
    </row>
    <row r="1618" spans="1:15" x14ac:dyDescent="0.25">
      <c r="A1618" s="4" t="s">
        <v>1631</v>
      </c>
      <c r="B1618" s="2" t="s">
        <v>3751</v>
      </c>
      <c r="C1618" s="2" t="s">
        <v>3868</v>
      </c>
      <c r="D1618" s="2" t="s">
        <v>3877</v>
      </c>
      <c r="E1618" s="3">
        <v>45052</v>
      </c>
      <c r="F1618" s="3">
        <v>45957</v>
      </c>
      <c r="G1618" s="2" t="s">
        <v>3884</v>
      </c>
      <c r="H1618" s="2">
        <v>988668</v>
      </c>
      <c r="I1618" s="2">
        <v>1135340</v>
      </c>
      <c r="J1618" s="2" t="s">
        <v>3889</v>
      </c>
      <c r="K1618" s="2" t="s">
        <v>3895</v>
      </c>
      <c r="L1618" s="2">
        <v>2024</v>
      </c>
      <c r="M1618" s="2">
        <v>-146672</v>
      </c>
      <c r="N1618" s="2">
        <f xml:space="preserve"> (Table1[[#This Row],[Variance (USD)]] / Table1[[#This Row],[Actual Spending (USD)]]) * 100</f>
        <v>-12.918773230926419</v>
      </c>
      <c r="O1618" s="5" t="s">
        <v>3897</v>
      </c>
    </row>
    <row r="1619" spans="1:15" x14ac:dyDescent="0.25">
      <c r="A1619" s="4" t="s">
        <v>1632</v>
      </c>
      <c r="B1619" s="2" t="s">
        <v>3054</v>
      </c>
      <c r="C1619" s="2" t="s">
        <v>3870</v>
      </c>
      <c r="D1619" s="2" t="s">
        <v>3878</v>
      </c>
      <c r="E1619" s="3">
        <v>45334</v>
      </c>
      <c r="F1619" s="3">
        <v>45754</v>
      </c>
      <c r="G1619" s="2" t="s">
        <v>3886</v>
      </c>
      <c r="H1619" s="2">
        <v>398109</v>
      </c>
      <c r="I1619" s="2">
        <v>585146</v>
      </c>
      <c r="J1619" s="2" t="s">
        <v>3890</v>
      </c>
      <c r="K1619" s="2" t="s">
        <v>3896</v>
      </c>
      <c r="L1619" s="2">
        <v>2025</v>
      </c>
      <c r="M1619" s="2">
        <v>-187037</v>
      </c>
      <c r="N1619" s="2">
        <f xml:space="preserve"> (Table1[[#This Row],[Variance (USD)]] / Table1[[#This Row],[Actual Spending (USD)]]) * 100</f>
        <v>-31.964159372190871</v>
      </c>
      <c r="O1619" s="5" t="s">
        <v>3899</v>
      </c>
    </row>
    <row r="1620" spans="1:15" x14ac:dyDescent="0.25">
      <c r="A1620" s="4" t="s">
        <v>1633</v>
      </c>
      <c r="B1620" s="2" t="s">
        <v>3112</v>
      </c>
      <c r="C1620" s="2" t="s">
        <v>3869</v>
      </c>
      <c r="D1620" s="2" t="s">
        <v>3880</v>
      </c>
      <c r="E1620" s="3">
        <v>45491</v>
      </c>
      <c r="F1620" s="3">
        <v>45658</v>
      </c>
      <c r="G1620" s="2" t="s">
        <v>3886</v>
      </c>
      <c r="H1620" s="2">
        <v>437684</v>
      </c>
      <c r="I1620" s="2">
        <v>1121426</v>
      </c>
      <c r="J1620" s="2" t="s">
        <v>3888</v>
      </c>
      <c r="K1620" s="2" t="s">
        <v>3896</v>
      </c>
      <c r="L1620" s="2">
        <v>2024</v>
      </c>
      <c r="M1620" s="2">
        <v>-683742</v>
      </c>
      <c r="N1620" s="2">
        <f xml:space="preserve"> (Table1[[#This Row],[Variance (USD)]] / Table1[[#This Row],[Actual Spending (USD)]]) * 100</f>
        <v>-60.970764009395182</v>
      </c>
      <c r="O1620" s="5" t="s">
        <v>3899</v>
      </c>
    </row>
    <row r="1621" spans="1:15" x14ac:dyDescent="0.25">
      <c r="A1621" s="4" t="s">
        <v>1634</v>
      </c>
      <c r="B1621" s="2" t="s">
        <v>3347</v>
      </c>
      <c r="C1621" s="2" t="s">
        <v>3869</v>
      </c>
      <c r="D1621" s="2" t="s">
        <v>3881</v>
      </c>
      <c r="E1621" s="3">
        <v>45124</v>
      </c>
      <c r="F1621" s="3">
        <v>45841</v>
      </c>
      <c r="G1621" s="2" t="s">
        <v>3887</v>
      </c>
      <c r="H1621" s="2">
        <v>805897</v>
      </c>
      <c r="I1621" s="2">
        <v>960522</v>
      </c>
      <c r="J1621" s="2" t="s">
        <v>3891</v>
      </c>
      <c r="K1621" s="2" t="s">
        <v>3895</v>
      </c>
      <c r="L1621" s="2">
        <v>2023</v>
      </c>
      <c r="M1621" s="2">
        <v>-154625</v>
      </c>
      <c r="N1621" s="2">
        <f xml:space="preserve"> (Table1[[#This Row],[Variance (USD)]] / Table1[[#This Row],[Actual Spending (USD)]]) * 100</f>
        <v>-16.09801753629797</v>
      </c>
      <c r="O1621" s="5" t="s">
        <v>3900</v>
      </c>
    </row>
    <row r="1622" spans="1:15" x14ac:dyDescent="0.25">
      <c r="A1622" s="4" t="s">
        <v>1635</v>
      </c>
      <c r="B1622" s="2" t="s">
        <v>3242</v>
      </c>
      <c r="C1622" s="2" t="s">
        <v>3874</v>
      </c>
      <c r="D1622" s="2" t="s">
        <v>3882</v>
      </c>
      <c r="E1622" s="3">
        <v>45114</v>
      </c>
      <c r="F1622" s="3">
        <v>45934</v>
      </c>
      <c r="G1622" s="2" t="s">
        <v>3884</v>
      </c>
      <c r="H1622" s="2">
        <v>867847</v>
      </c>
      <c r="I1622" s="2">
        <v>867222</v>
      </c>
      <c r="J1622" s="2" t="s">
        <v>3888</v>
      </c>
      <c r="K1622" s="2" t="s">
        <v>3896</v>
      </c>
      <c r="L1622" s="2">
        <v>2024</v>
      </c>
      <c r="M1622" s="2">
        <v>625</v>
      </c>
      <c r="N1622" s="2">
        <f xml:space="preserve"> (Table1[[#This Row],[Variance (USD)]] / Table1[[#This Row],[Actual Spending (USD)]]) * 100</f>
        <v>7.2069204886407404E-2</v>
      </c>
      <c r="O1622" s="5" t="s">
        <v>3897</v>
      </c>
    </row>
    <row r="1623" spans="1:15" x14ac:dyDescent="0.25">
      <c r="A1623" s="4" t="s">
        <v>1636</v>
      </c>
      <c r="B1623" s="2" t="s">
        <v>3752</v>
      </c>
      <c r="C1623" s="2" t="s">
        <v>3874</v>
      </c>
      <c r="D1623" s="2" t="s">
        <v>3877</v>
      </c>
      <c r="E1623" s="3">
        <v>45624</v>
      </c>
      <c r="F1623" s="3">
        <v>45546</v>
      </c>
      <c r="G1623" s="2" t="s">
        <v>3886</v>
      </c>
      <c r="H1623" s="2">
        <v>516869</v>
      </c>
      <c r="I1623" s="2">
        <v>373264</v>
      </c>
      <c r="J1623" s="2" t="s">
        <v>3890</v>
      </c>
      <c r="K1623" s="2" t="s">
        <v>3896</v>
      </c>
      <c r="L1623" s="2">
        <v>2025</v>
      </c>
      <c r="M1623" s="2">
        <v>143605</v>
      </c>
      <c r="N1623" s="2">
        <f xml:space="preserve"> (Table1[[#This Row],[Variance (USD)]] / Table1[[#This Row],[Actual Spending (USD)]]) * 100</f>
        <v>38.472769942989409</v>
      </c>
      <c r="O1623" s="5" t="s">
        <v>3899</v>
      </c>
    </row>
    <row r="1624" spans="1:15" x14ac:dyDescent="0.25">
      <c r="A1624" s="4" t="s">
        <v>1637</v>
      </c>
      <c r="B1624" s="2" t="s">
        <v>3723</v>
      </c>
      <c r="C1624" s="2" t="s">
        <v>3869</v>
      </c>
      <c r="D1624" s="2" t="s">
        <v>3879</v>
      </c>
      <c r="E1624" s="3">
        <v>45642</v>
      </c>
      <c r="F1624" s="3">
        <v>45499</v>
      </c>
      <c r="G1624" s="2" t="s">
        <v>3884</v>
      </c>
      <c r="H1624" s="2">
        <v>121895</v>
      </c>
      <c r="I1624" s="2">
        <v>826282</v>
      </c>
      <c r="J1624" s="2" t="s">
        <v>3889</v>
      </c>
      <c r="K1624" s="2" t="s">
        <v>3893</v>
      </c>
      <c r="L1624" s="2">
        <v>2023</v>
      </c>
      <c r="M1624" s="2">
        <v>-704387</v>
      </c>
      <c r="N1624" s="2">
        <f xml:space="preserve"> (Table1[[#This Row],[Variance (USD)]] / Table1[[#This Row],[Actual Spending (USD)]]) * 100</f>
        <v>-85.247772552227929</v>
      </c>
      <c r="O1624" s="5" t="s">
        <v>3897</v>
      </c>
    </row>
    <row r="1625" spans="1:15" x14ac:dyDescent="0.25">
      <c r="A1625" s="4" t="s">
        <v>1638</v>
      </c>
      <c r="B1625" s="2" t="s">
        <v>3465</v>
      </c>
      <c r="C1625" s="2" t="s">
        <v>3871</v>
      </c>
      <c r="D1625" s="2" t="s">
        <v>3883</v>
      </c>
      <c r="E1625" s="3">
        <v>45410</v>
      </c>
      <c r="F1625" s="3">
        <v>45741</v>
      </c>
      <c r="G1625" s="2" t="s">
        <v>3884</v>
      </c>
      <c r="H1625" s="2">
        <v>916332</v>
      </c>
      <c r="I1625" s="2">
        <v>776597</v>
      </c>
      <c r="J1625" s="2" t="s">
        <v>3892</v>
      </c>
      <c r="K1625" s="2" t="s">
        <v>3893</v>
      </c>
      <c r="L1625" s="2">
        <v>2023</v>
      </c>
      <c r="M1625" s="2">
        <v>139735</v>
      </c>
      <c r="N1625" s="2">
        <f xml:space="preserve"> (Table1[[#This Row],[Variance (USD)]] / Table1[[#This Row],[Actual Spending (USD)]]) * 100</f>
        <v>17.993244887631551</v>
      </c>
      <c r="O1625" s="5" t="s">
        <v>3897</v>
      </c>
    </row>
    <row r="1626" spans="1:15" x14ac:dyDescent="0.25">
      <c r="A1626" s="4" t="s">
        <v>1639</v>
      </c>
      <c r="B1626" s="2" t="s">
        <v>3753</v>
      </c>
      <c r="C1626" s="2" t="s">
        <v>3874</v>
      </c>
      <c r="D1626" s="2" t="s">
        <v>3883</v>
      </c>
      <c r="E1626" s="3">
        <v>45376</v>
      </c>
      <c r="F1626" s="3">
        <v>45386</v>
      </c>
      <c r="G1626" s="2" t="s">
        <v>3884</v>
      </c>
      <c r="H1626" s="2">
        <v>807861</v>
      </c>
      <c r="I1626" s="2">
        <v>398903</v>
      </c>
      <c r="J1626" s="2" t="s">
        <v>3892</v>
      </c>
      <c r="K1626" s="2" t="s">
        <v>3896</v>
      </c>
      <c r="L1626" s="2">
        <v>2025</v>
      </c>
      <c r="M1626" s="2">
        <v>408958</v>
      </c>
      <c r="N1626" s="2">
        <f xml:space="preserve"> (Table1[[#This Row],[Variance (USD)]] / Table1[[#This Row],[Actual Spending (USD)]]) * 100</f>
        <v>102.52066291805275</v>
      </c>
      <c r="O1626" s="5" t="s">
        <v>3897</v>
      </c>
    </row>
    <row r="1627" spans="1:15" x14ac:dyDescent="0.25">
      <c r="A1627" s="4" t="s">
        <v>1640</v>
      </c>
      <c r="B1627" s="2" t="s">
        <v>3551</v>
      </c>
      <c r="C1627" s="2" t="s">
        <v>3868</v>
      </c>
      <c r="D1627" s="2" t="s">
        <v>3881</v>
      </c>
      <c r="E1627" s="3">
        <v>45449</v>
      </c>
      <c r="F1627" s="3">
        <v>45769</v>
      </c>
      <c r="G1627" s="2" t="s">
        <v>3886</v>
      </c>
      <c r="H1627" s="2">
        <v>668618</v>
      </c>
      <c r="I1627" s="2">
        <v>532704</v>
      </c>
      <c r="J1627" s="2" t="s">
        <v>3888</v>
      </c>
      <c r="K1627" s="2" t="s">
        <v>3896</v>
      </c>
      <c r="L1627" s="2">
        <v>2025</v>
      </c>
      <c r="M1627" s="2">
        <v>135914</v>
      </c>
      <c r="N1627" s="2">
        <f xml:space="preserve"> (Table1[[#This Row],[Variance (USD)]] / Table1[[#This Row],[Actual Spending (USD)]]) * 100</f>
        <v>25.513981498167837</v>
      </c>
      <c r="O1627" s="5" t="s">
        <v>3899</v>
      </c>
    </row>
    <row r="1628" spans="1:15" x14ac:dyDescent="0.25">
      <c r="A1628" s="4" t="s">
        <v>1641</v>
      </c>
      <c r="B1628" s="2" t="s">
        <v>3134</v>
      </c>
      <c r="C1628" s="2" t="s">
        <v>3870</v>
      </c>
      <c r="D1628" s="2" t="s">
        <v>3877</v>
      </c>
      <c r="E1628" s="3">
        <v>45280</v>
      </c>
      <c r="F1628" s="3">
        <v>45974</v>
      </c>
      <c r="G1628" s="2" t="s">
        <v>3884</v>
      </c>
      <c r="H1628" s="2">
        <v>519045</v>
      </c>
      <c r="I1628" s="2">
        <v>731335</v>
      </c>
      <c r="J1628" s="2" t="s">
        <v>3891</v>
      </c>
      <c r="K1628" s="2" t="s">
        <v>3893</v>
      </c>
      <c r="L1628" s="2">
        <v>2023</v>
      </c>
      <c r="M1628" s="2">
        <v>-212290</v>
      </c>
      <c r="N1628" s="2">
        <f xml:space="preserve"> (Table1[[#This Row],[Variance (USD)]] / Table1[[#This Row],[Actual Spending (USD)]]) * 100</f>
        <v>-29.027736946816439</v>
      </c>
      <c r="O1628" s="5" t="s">
        <v>3897</v>
      </c>
    </row>
    <row r="1629" spans="1:15" x14ac:dyDescent="0.25">
      <c r="A1629" s="4" t="s">
        <v>1642</v>
      </c>
      <c r="B1629" s="2" t="s">
        <v>3754</v>
      </c>
      <c r="C1629" s="2" t="s">
        <v>3868</v>
      </c>
      <c r="D1629" s="2" t="s">
        <v>3881</v>
      </c>
      <c r="E1629" s="3">
        <v>45584</v>
      </c>
      <c r="F1629" s="3">
        <v>45481</v>
      </c>
      <c r="G1629" s="2" t="s">
        <v>3884</v>
      </c>
      <c r="H1629" s="2">
        <v>108650</v>
      </c>
      <c r="I1629" s="2">
        <v>882128</v>
      </c>
      <c r="J1629" s="2" t="s">
        <v>3890</v>
      </c>
      <c r="K1629" s="2" t="s">
        <v>3893</v>
      </c>
      <c r="L1629" s="2">
        <v>2024</v>
      </c>
      <c r="M1629" s="2">
        <v>-773478</v>
      </c>
      <c r="N1629" s="2">
        <f xml:space="preserve"> (Table1[[#This Row],[Variance (USD)]] / Table1[[#This Row],[Actual Spending (USD)]]) * 100</f>
        <v>-87.683193368762815</v>
      </c>
      <c r="O1629" s="5" t="s">
        <v>3897</v>
      </c>
    </row>
    <row r="1630" spans="1:15" x14ac:dyDescent="0.25">
      <c r="A1630" s="4" t="s">
        <v>1643</v>
      </c>
      <c r="B1630" s="2" t="s">
        <v>3418</v>
      </c>
      <c r="C1630" s="2" t="s">
        <v>3871</v>
      </c>
      <c r="D1630" s="2" t="s">
        <v>3883</v>
      </c>
      <c r="E1630" s="3">
        <v>45523</v>
      </c>
      <c r="F1630" s="3">
        <v>46002</v>
      </c>
      <c r="G1630" s="2" t="s">
        <v>3886</v>
      </c>
      <c r="H1630" s="2">
        <v>518084</v>
      </c>
      <c r="I1630" s="2">
        <v>642114</v>
      </c>
      <c r="J1630" s="2" t="s">
        <v>3889</v>
      </c>
      <c r="K1630" s="2" t="s">
        <v>3896</v>
      </c>
      <c r="L1630" s="2">
        <v>2025</v>
      </c>
      <c r="M1630" s="2">
        <v>-124030</v>
      </c>
      <c r="N1630" s="2">
        <f xml:space="preserve"> (Table1[[#This Row],[Variance (USD)]] / Table1[[#This Row],[Actual Spending (USD)]]) * 100</f>
        <v>-19.315884718289901</v>
      </c>
      <c r="O1630" s="5" t="s">
        <v>3899</v>
      </c>
    </row>
    <row r="1631" spans="1:15" x14ac:dyDescent="0.25">
      <c r="A1631" s="4" t="s">
        <v>1644</v>
      </c>
      <c r="B1631" s="2" t="s">
        <v>3617</v>
      </c>
      <c r="C1631" s="2" t="s">
        <v>3875</v>
      </c>
      <c r="D1631" s="2" t="s">
        <v>3882</v>
      </c>
      <c r="E1631" s="3">
        <v>45026</v>
      </c>
      <c r="F1631" s="3">
        <v>45775</v>
      </c>
      <c r="G1631" s="2" t="s">
        <v>3886</v>
      </c>
      <c r="H1631" s="2">
        <v>50615</v>
      </c>
      <c r="I1631" s="2">
        <v>783290</v>
      </c>
      <c r="J1631" s="2" t="s">
        <v>3889</v>
      </c>
      <c r="K1631" s="2" t="s">
        <v>3893</v>
      </c>
      <c r="L1631" s="2">
        <v>2023</v>
      </c>
      <c r="M1631" s="2">
        <v>-732675</v>
      </c>
      <c r="N1631" s="2">
        <f xml:space="preserve"> (Table1[[#This Row],[Variance (USD)]] / Table1[[#This Row],[Actual Spending (USD)]]) * 100</f>
        <v>-93.538153174430931</v>
      </c>
      <c r="O1631" s="5" t="s">
        <v>3899</v>
      </c>
    </row>
    <row r="1632" spans="1:15" x14ac:dyDescent="0.25">
      <c r="A1632" s="4" t="s">
        <v>1645</v>
      </c>
      <c r="B1632" s="2" t="s">
        <v>3217</v>
      </c>
      <c r="C1632" s="2" t="s">
        <v>3873</v>
      </c>
      <c r="D1632" s="2" t="s">
        <v>3878</v>
      </c>
      <c r="E1632" s="3">
        <v>45542</v>
      </c>
      <c r="F1632" s="3">
        <v>45827</v>
      </c>
      <c r="G1632" s="2" t="s">
        <v>3886</v>
      </c>
      <c r="H1632" s="2">
        <v>750972</v>
      </c>
      <c r="I1632" s="2">
        <v>693778</v>
      </c>
      <c r="J1632" s="2" t="s">
        <v>3889</v>
      </c>
      <c r="K1632" s="2" t="s">
        <v>3895</v>
      </c>
      <c r="L1632" s="2">
        <v>2025</v>
      </c>
      <c r="M1632" s="2">
        <v>57194</v>
      </c>
      <c r="N1632" s="2">
        <f xml:space="preserve"> (Table1[[#This Row],[Variance (USD)]] / Table1[[#This Row],[Actual Spending (USD)]]) * 100</f>
        <v>8.2438474555261188</v>
      </c>
      <c r="O1632" s="5" t="s">
        <v>3899</v>
      </c>
    </row>
    <row r="1633" spans="1:15" x14ac:dyDescent="0.25">
      <c r="A1633" s="4" t="s">
        <v>1646</v>
      </c>
      <c r="B1633" s="2" t="s">
        <v>3152</v>
      </c>
      <c r="C1633" s="2" t="s">
        <v>3870</v>
      </c>
      <c r="D1633" s="2" t="s">
        <v>3877</v>
      </c>
      <c r="E1633" s="3">
        <v>45484</v>
      </c>
      <c r="F1633" s="3">
        <v>45714</v>
      </c>
      <c r="G1633" s="2" t="s">
        <v>3885</v>
      </c>
      <c r="H1633" s="2">
        <v>914369</v>
      </c>
      <c r="I1633" s="2">
        <v>561369</v>
      </c>
      <c r="J1633" s="2" t="s">
        <v>3892</v>
      </c>
      <c r="K1633" s="2" t="s">
        <v>3894</v>
      </c>
      <c r="L1633" s="2">
        <v>2024</v>
      </c>
      <c r="M1633" s="2">
        <v>353000</v>
      </c>
      <c r="N1633" s="2">
        <f xml:space="preserve"> (Table1[[#This Row],[Variance (USD)]] / Table1[[#This Row],[Actual Spending (USD)]]) * 100</f>
        <v>62.88199027733986</v>
      </c>
      <c r="O1633" s="5" t="s">
        <v>3898</v>
      </c>
    </row>
    <row r="1634" spans="1:15" x14ac:dyDescent="0.25">
      <c r="A1634" s="4" t="s">
        <v>1647</v>
      </c>
      <c r="B1634" s="2" t="s">
        <v>3441</v>
      </c>
      <c r="C1634" s="2" t="s">
        <v>3874</v>
      </c>
      <c r="D1634" s="2" t="s">
        <v>3876</v>
      </c>
      <c r="E1634" s="3">
        <v>45482</v>
      </c>
      <c r="F1634" s="3">
        <v>45931</v>
      </c>
      <c r="G1634" s="2" t="s">
        <v>3884</v>
      </c>
      <c r="H1634" s="2">
        <v>821614</v>
      </c>
      <c r="I1634" s="2">
        <v>394860</v>
      </c>
      <c r="J1634" s="2" t="s">
        <v>3890</v>
      </c>
      <c r="K1634" s="2" t="s">
        <v>3895</v>
      </c>
      <c r="L1634" s="2">
        <v>2024</v>
      </c>
      <c r="M1634" s="2">
        <v>426754</v>
      </c>
      <c r="N1634" s="2">
        <f xml:space="preserve"> (Table1[[#This Row],[Variance (USD)]] / Table1[[#This Row],[Actual Spending (USD)]]) * 100</f>
        <v>108.07729321784936</v>
      </c>
      <c r="O1634" s="5" t="s">
        <v>3897</v>
      </c>
    </row>
    <row r="1635" spans="1:15" x14ac:dyDescent="0.25">
      <c r="A1635" s="4" t="s">
        <v>1648</v>
      </c>
      <c r="B1635" s="2" t="s">
        <v>3755</v>
      </c>
      <c r="C1635" s="2" t="s">
        <v>3870</v>
      </c>
      <c r="D1635" s="2" t="s">
        <v>3878</v>
      </c>
      <c r="E1635" s="3">
        <v>45204</v>
      </c>
      <c r="F1635" s="3">
        <v>45896</v>
      </c>
      <c r="G1635" s="2" t="s">
        <v>3887</v>
      </c>
      <c r="H1635" s="2">
        <v>572915</v>
      </c>
      <c r="I1635" s="2">
        <v>695474</v>
      </c>
      <c r="J1635" s="2" t="s">
        <v>3892</v>
      </c>
      <c r="K1635" s="2" t="s">
        <v>3893</v>
      </c>
      <c r="L1635" s="2">
        <v>2023</v>
      </c>
      <c r="M1635" s="2">
        <v>-122559</v>
      </c>
      <c r="N1635" s="2">
        <f xml:space="preserve"> (Table1[[#This Row],[Variance (USD)]] / Table1[[#This Row],[Actual Spending (USD)]]) * 100</f>
        <v>-17.622369779459763</v>
      </c>
      <c r="O1635" s="5" t="s">
        <v>3900</v>
      </c>
    </row>
    <row r="1636" spans="1:15" x14ac:dyDescent="0.25">
      <c r="A1636" s="4" t="s">
        <v>1649</v>
      </c>
      <c r="B1636" s="2" t="s">
        <v>3507</v>
      </c>
      <c r="C1636" s="2" t="s">
        <v>3868</v>
      </c>
      <c r="D1636" s="2" t="s">
        <v>3878</v>
      </c>
      <c r="E1636" s="3">
        <v>45619</v>
      </c>
      <c r="F1636" s="3">
        <v>45424</v>
      </c>
      <c r="G1636" s="2" t="s">
        <v>3885</v>
      </c>
      <c r="H1636" s="2">
        <v>354080</v>
      </c>
      <c r="I1636" s="2">
        <v>803205</v>
      </c>
      <c r="J1636" s="2" t="s">
        <v>3888</v>
      </c>
      <c r="K1636" s="2" t="s">
        <v>3895</v>
      </c>
      <c r="L1636" s="2">
        <v>2024</v>
      </c>
      <c r="M1636" s="2">
        <v>-449125</v>
      </c>
      <c r="N1636" s="2">
        <f xml:space="preserve"> (Table1[[#This Row],[Variance (USD)]] / Table1[[#This Row],[Actual Spending (USD)]]) * 100</f>
        <v>-55.91660908485381</v>
      </c>
      <c r="O1636" s="5" t="s">
        <v>3898</v>
      </c>
    </row>
    <row r="1637" spans="1:15" x14ac:dyDescent="0.25">
      <c r="A1637" s="4" t="s">
        <v>1650</v>
      </c>
      <c r="B1637" s="2" t="s">
        <v>3756</v>
      </c>
      <c r="C1637" s="2" t="s">
        <v>3873</v>
      </c>
      <c r="D1637" s="2" t="s">
        <v>3878</v>
      </c>
      <c r="E1637" s="3">
        <v>45625</v>
      </c>
      <c r="F1637" s="3">
        <v>45346</v>
      </c>
      <c r="G1637" s="2" t="s">
        <v>3884</v>
      </c>
      <c r="H1637" s="2">
        <v>734732</v>
      </c>
      <c r="I1637" s="2">
        <v>379652</v>
      </c>
      <c r="J1637" s="2" t="s">
        <v>3889</v>
      </c>
      <c r="K1637" s="2" t="s">
        <v>3894</v>
      </c>
      <c r="L1637" s="2">
        <v>2024</v>
      </c>
      <c r="M1637" s="2">
        <v>355080</v>
      </c>
      <c r="N1637" s="2">
        <f xml:space="preserve"> (Table1[[#This Row],[Variance (USD)]] / Table1[[#This Row],[Actual Spending (USD)]]) * 100</f>
        <v>93.527756998514434</v>
      </c>
      <c r="O1637" s="5" t="s">
        <v>3897</v>
      </c>
    </row>
    <row r="1638" spans="1:15" x14ac:dyDescent="0.25">
      <c r="A1638" s="4" t="s">
        <v>1651</v>
      </c>
      <c r="B1638" s="2" t="s">
        <v>3661</v>
      </c>
      <c r="C1638" s="2" t="s">
        <v>3872</v>
      </c>
      <c r="D1638" s="2" t="s">
        <v>3876</v>
      </c>
      <c r="E1638" s="3">
        <v>45552</v>
      </c>
      <c r="F1638" s="3">
        <v>45801</v>
      </c>
      <c r="G1638" s="2" t="s">
        <v>3884</v>
      </c>
      <c r="H1638" s="2">
        <v>419956</v>
      </c>
      <c r="I1638" s="2">
        <v>1076374</v>
      </c>
      <c r="J1638" s="2" t="s">
        <v>3890</v>
      </c>
      <c r="K1638" s="2" t="s">
        <v>3893</v>
      </c>
      <c r="L1638" s="2">
        <v>2024</v>
      </c>
      <c r="M1638" s="2">
        <v>-656418</v>
      </c>
      <c r="N1638" s="2">
        <f xml:space="preserve"> (Table1[[#This Row],[Variance (USD)]] / Table1[[#This Row],[Actual Spending (USD)]]) * 100</f>
        <v>-60.984193226517924</v>
      </c>
      <c r="O1638" s="5" t="s">
        <v>3897</v>
      </c>
    </row>
    <row r="1639" spans="1:15" x14ac:dyDescent="0.25">
      <c r="A1639" s="4" t="s">
        <v>1652</v>
      </c>
      <c r="B1639" s="2" t="s">
        <v>3636</v>
      </c>
      <c r="C1639" s="2" t="s">
        <v>3872</v>
      </c>
      <c r="D1639" s="2" t="s">
        <v>3882</v>
      </c>
      <c r="E1639" s="3">
        <v>45417</v>
      </c>
      <c r="F1639" s="3">
        <v>45961</v>
      </c>
      <c r="G1639" s="2" t="s">
        <v>3884</v>
      </c>
      <c r="H1639" s="2">
        <v>380019</v>
      </c>
      <c r="I1639" s="2">
        <v>1096561</v>
      </c>
      <c r="J1639" s="2" t="s">
        <v>3889</v>
      </c>
      <c r="K1639" s="2" t="s">
        <v>3895</v>
      </c>
      <c r="L1639" s="2">
        <v>2025</v>
      </c>
      <c r="M1639" s="2">
        <v>-716542</v>
      </c>
      <c r="N1639" s="2">
        <f xml:space="preserve"> (Table1[[#This Row],[Variance (USD)]] / Table1[[#This Row],[Actual Spending (USD)]]) * 100</f>
        <v>-65.344472400532212</v>
      </c>
      <c r="O1639" s="5" t="s">
        <v>3897</v>
      </c>
    </row>
    <row r="1640" spans="1:15" x14ac:dyDescent="0.25">
      <c r="A1640" s="4" t="s">
        <v>1653</v>
      </c>
      <c r="B1640" s="2" t="s">
        <v>3233</v>
      </c>
      <c r="C1640" s="2" t="s">
        <v>3874</v>
      </c>
      <c r="D1640" s="2" t="s">
        <v>3879</v>
      </c>
      <c r="E1640" s="3">
        <v>45181</v>
      </c>
      <c r="F1640" s="3">
        <v>45832</v>
      </c>
      <c r="G1640" s="2" t="s">
        <v>3884</v>
      </c>
      <c r="H1640" s="2">
        <v>656070</v>
      </c>
      <c r="I1640" s="2">
        <v>429104</v>
      </c>
      <c r="J1640" s="2" t="s">
        <v>3892</v>
      </c>
      <c r="K1640" s="2" t="s">
        <v>3895</v>
      </c>
      <c r="L1640" s="2">
        <v>2023</v>
      </c>
      <c r="M1640" s="2">
        <v>226966</v>
      </c>
      <c r="N1640" s="2">
        <f xml:space="preserve"> (Table1[[#This Row],[Variance (USD)]] / Table1[[#This Row],[Actual Spending (USD)]]) * 100</f>
        <v>52.893004959170739</v>
      </c>
      <c r="O1640" s="5" t="s">
        <v>3897</v>
      </c>
    </row>
    <row r="1641" spans="1:15" x14ac:dyDescent="0.25">
      <c r="A1641" s="4" t="s">
        <v>1654</v>
      </c>
      <c r="B1641" s="2" t="s">
        <v>3518</v>
      </c>
      <c r="C1641" s="2" t="s">
        <v>3871</v>
      </c>
      <c r="D1641" s="2" t="s">
        <v>3882</v>
      </c>
      <c r="E1641" s="3">
        <v>45307</v>
      </c>
      <c r="F1641" s="3">
        <v>45701</v>
      </c>
      <c r="G1641" s="2" t="s">
        <v>3886</v>
      </c>
      <c r="H1641" s="2">
        <v>111700</v>
      </c>
      <c r="I1641" s="2">
        <v>520899</v>
      </c>
      <c r="J1641" s="2" t="s">
        <v>3892</v>
      </c>
      <c r="K1641" s="2" t="s">
        <v>3894</v>
      </c>
      <c r="L1641" s="2">
        <v>2023</v>
      </c>
      <c r="M1641" s="2">
        <v>-409199</v>
      </c>
      <c r="N1641" s="2">
        <f xml:space="preserve"> (Table1[[#This Row],[Variance (USD)]] / Table1[[#This Row],[Actual Spending (USD)]]) * 100</f>
        <v>-78.556303621239437</v>
      </c>
      <c r="O1641" s="5" t="s">
        <v>3899</v>
      </c>
    </row>
    <row r="1642" spans="1:15" x14ac:dyDescent="0.25">
      <c r="A1642" s="4" t="s">
        <v>1655</v>
      </c>
      <c r="B1642" s="2" t="s">
        <v>3501</v>
      </c>
      <c r="C1642" s="2" t="s">
        <v>3872</v>
      </c>
      <c r="D1642" s="2" t="s">
        <v>3882</v>
      </c>
      <c r="E1642" s="3">
        <v>45468</v>
      </c>
      <c r="F1642" s="3">
        <v>45502</v>
      </c>
      <c r="G1642" s="2" t="s">
        <v>3886</v>
      </c>
      <c r="H1642" s="2">
        <v>58109</v>
      </c>
      <c r="I1642" s="2">
        <v>269990</v>
      </c>
      <c r="J1642" s="2" t="s">
        <v>3892</v>
      </c>
      <c r="K1642" s="2" t="s">
        <v>3893</v>
      </c>
      <c r="L1642" s="2">
        <v>2023</v>
      </c>
      <c r="M1642" s="2">
        <v>-211881</v>
      </c>
      <c r="N1642" s="2">
        <f xml:space="preserve"> (Table1[[#This Row],[Variance (USD)]] / Table1[[#This Row],[Actual Spending (USD)]]) * 100</f>
        <v>-78.477351013000487</v>
      </c>
      <c r="O1642" s="5" t="s">
        <v>3899</v>
      </c>
    </row>
    <row r="1643" spans="1:15" x14ac:dyDescent="0.25">
      <c r="A1643" s="4" t="s">
        <v>1656</v>
      </c>
      <c r="B1643" s="2" t="s">
        <v>3258</v>
      </c>
      <c r="C1643" s="2" t="s">
        <v>3870</v>
      </c>
      <c r="D1643" s="2" t="s">
        <v>3882</v>
      </c>
      <c r="E1643" s="3">
        <v>45190</v>
      </c>
      <c r="F1643" s="3">
        <v>45957</v>
      </c>
      <c r="G1643" s="2" t="s">
        <v>3886</v>
      </c>
      <c r="H1643" s="2">
        <v>73758</v>
      </c>
      <c r="I1643" s="2">
        <v>900277</v>
      </c>
      <c r="J1643" s="2" t="s">
        <v>3889</v>
      </c>
      <c r="K1643" s="2" t="s">
        <v>3896</v>
      </c>
      <c r="L1643" s="2">
        <v>2024</v>
      </c>
      <c r="M1643" s="2">
        <v>-826519</v>
      </c>
      <c r="N1643" s="2">
        <f xml:space="preserve"> (Table1[[#This Row],[Variance (USD)]] / Table1[[#This Row],[Actual Spending (USD)]]) * 100</f>
        <v>-91.807188232066352</v>
      </c>
      <c r="O1643" s="5" t="s">
        <v>3899</v>
      </c>
    </row>
    <row r="1644" spans="1:15" x14ac:dyDescent="0.25">
      <c r="A1644" s="4" t="s">
        <v>1657</v>
      </c>
      <c r="B1644" s="2" t="s">
        <v>3112</v>
      </c>
      <c r="C1644" s="2" t="s">
        <v>3872</v>
      </c>
      <c r="D1644" s="2" t="s">
        <v>3880</v>
      </c>
      <c r="E1644" s="3">
        <v>45536</v>
      </c>
      <c r="F1644" s="3">
        <v>45584</v>
      </c>
      <c r="G1644" s="2" t="s">
        <v>3884</v>
      </c>
      <c r="H1644" s="2">
        <v>793987</v>
      </c>
      <c r="I1644" s="2">
        <v>939878</v>
      </c>
      <c r="J1644" s="2" t="s">
        <v>3890</v>
      </c>
      <c r="K1644" s="2" t="s">
        <v>3893</v>
      </c>
      <c r="L1644" s="2">
        <v>2025</v>
      </c>
      <c r="M1644" s="2">
        <v>-145891</v>
      </c>
      <c r="N1644" s="2">
        <f xml:space="preserve"> (Table1[[#This Row],[Variance (USD)]] / Table1[[#This Row],[Actual Spending (USD)]]) * 100</f>
        <v>-15.522333749699429</v>
      </c>
      <c r="O1644" s="5" t="s">
        <v>3897</v>
      </c>
    </row>
    <row r="1645" spans="1:15" x14ac:dyDescent="0.25">
      <c r="A1645" s="4" t="s">
        <v>1658</v>
      </c>
      <c r="B1645" s="2" t="s">
        <v>3161</v>
      </c>
      <c r="C1645" s="2" t="s">
        <v>3875</v>
      </c>
      <c r="D1645" s="2" t="s">
        <v>3881</v>
      </c>
      <c r="E1645" s="3">
        <v>45255</v>
      </c>
      <c r="F1645" s="3">
        <v>45406</v>
      </c>
      <c r="G1645" s="2" t="s">
        <v>3884</v>
      </c>
      <c r="H1645" s="2">
        <v>945024</v>
      </c>
      <c r="I1645" s="2">
        <v>136747</v>
      </c>
      <c r="J1645" s="2" t="s">
        <v>3890</v>
      </c>
      <c r="K1645" s="2" t="s">
        <v>3894</v>
      </c>
      <c r="L1645" s="2">
        <v>2023</v>
      </c>
      <c r="M1645" s="2">
        <v>808277</v>
      </c>
      <c r="N1645" s="2">
        <f xml:space="preserve"> (Table1[[#This Row],[Variance (USD)]] / Table1[[#This Row],[Actual Spending (USD)]]) * 100</f>
        <v>591.07475849561592</v>
      </c>
      <c r="O1645" s="5" t="s">
        <v>3897</v>
      </c>
    </row>
    <row r="1646" spans="1:15" x14ac:dyDescent="0.25">
      <c r="A1646" s="4" t="s">
        <v>1659</v>
      </c>
      <c r="B1646" s="2" t="s">
        <v>3469</v>
      </c>
      <c r="C1646" s="2" t="s">
        <v>3875</v>
      </c>
      <c r="D1646" s="2" t="s">
        <v>3883</v>
      </c>
      <c r="E1646" s="3">
        <v>45041</v>
      </c>
      <c r="F1646" s="3">
        <v>45961</v>
      </c>
      <c r="G1646" s="2" t="s">
        <v>3885</v>
      </c>
      <c r="H1646" s="2">
        <v>587605</v>
      </c>
      <c r="I1646" s="2">
        <v>52036</v>
      </c>
      <c r="J1646" s="2" t="s">
        <v>3888</v>
      </c>
      <c r="K1646" s="2" t="s">
        <v>3894</v>
      </c>
      <c r="L1646" s="2">
        <v>2025</v>
      </c>
      <c r="M1646" s="2">
        <v>535569</v>
      </c>
      <c r="N1646" s="2">
        <f xml:space="preserve"> (Table1[[#This Row],[Variance (USD)]] / Table1[[#This Row],[Actual Spending (USD)]]) * 100</f>
        <v>1029.2278422630486</v>
      </c>
      <c r="O1646" s="5" t="s">
        <v>3898</v>
      </c>
    </row>
    <row r="1647" spans="1:15" x14ac:dyDescent="0.25">
      <c r="A1647" s="4" t="s">
        <v>1660</v>
      </c>
      <c r="B1647" s="2" t="s">
        <v>3388</v>
      </c>
      <c r="C1647" s="2" t="s">
        <v>3874</v>
      </c>
      <c r="D1647" s="2" t="s">
        <v>3881</v>
      </c>
      <c r="E1647" s="3">
        <v>45202</v>
      </c>
      <c r="F1647" s="3">
        <v>45550</v>
      </c>
      <c r="G1647" s="2" t="s">
        <v>3884</v>
      </c>
      <c r="H1647" s="2">
        <v>250073</v>
      </c>
      <c r="I1647" s="2">
        <v>286306</v>
      </c>
      <c r="J1647" s="2" t="s">
        <v>3889</v>
      </c>
      <c r="K1647" s="2" t="s">
        <v>3894</v>
      </c>
      <c r="L1647" s="2">
        <v>2023</v>
      </c>
      <c r="M1647" s="2">
        <v>-36233</v>
      </c>
      <c r="N1647" s="2">
        <f xml:space="preserve"> (Table1[[#This Row],[Variance (USD)]] / Table1[[#This Row],[Actual Spending (USD)]]) * 100</f>
        <v>-12.655340789225514</v>
      </c>
      <c r="O1647" s="5" t="s">
        <v>3897</v>
      </c>
    </row>
    <row r="1648" spans="1:15" x14ac:dyDescent="0.25">
      <c r="A1648" s="4" t="s">
        <v>1661</v>
      </c>
      <c r="B1648" s="2" t="s">
        <v>3571</v>
      </c>
      <c r="C1648" s="2" t="s">
        <v>3875</v>
      </c>
      <c r="D1648" s="2" t="s">
        <v>3877</v>
      </c>
      <c r="E1648" s="3">
        <v>45414</v>
      </c>
      <c r="F1648" s="3">
        <v>45413</v>
      </c>
      <c r="G1648" s="2" t="s">
        <v>3887</v>
      </c>
      <c r="H1648" s="2">
        <v>563909</v>
      </c>
      <c r="I1648" s="2">
        <v>770781</v>
      </c>
      <c r="J1648" s="2" t="s">
        <v>3888</v>
      </c>
      <c r="K1648" s="2" t="s">
        <v>3894</v>
      </c>
      <c r="L1648" s="2">
        <v>2024</v>
      </c>
      <c r="M1648" s="2">
        <v>-206872</v>
      </c>
      <c r="N1648" s="2">
        <f xml:space="preserve"> (Table1[[#This Row],[Variance (USD)]] / Table1[[#This Row],[Actual Spending (USD)]]) * 100</f>
        <v>-26.839270817521449</v>
      </c>
      <c r="O1648" s="5" t="s">
        <v>3900</v>
      </c>
    </row>
    <row r="1649" spans="1:15" x14ac:dyDescent="0.25">
      <c r="A1649" s="4" t="s">
        <v>1662</v>
      </c>
      <c r="B1649" s="2" t="s">
        <v>3347</v>
      </c>
      <c r="C1649" s="2" t="s">
        <v>3872</v>
      </c>
      <c r="D1649" s="2" t="s">
        <v>3882</v>
      </c>
      <c r="E1649" s="3">
        <v>45207</v>
      </c>
      <c r="F1649" s="3">
        <v>45590</v>
      </c>
      <c r="G1649" s="2" t="s">
        <v>3884</v>
      </c>
      <c r="H1649" s="2">
        <v>75622</v>
      </c>
      <c r="I1649" s="2">
        <v>583634</v>
      </c>
      <c r="J1649" s="2" t="s">
        <v>3888</v>
      </c>
      <c r="K1649" s="2" t="s">
        <v>3896</v>
      </c>
      <c r="L1649" s="2">
        <v>2023</v>
      </c>
      <c r="M1649" s="2">
        <v>-508012</v>
      </c>
      <c r="N1649" s="2">
        <f xml:space="preserve"> (Table1[[#This Row],[Variance (USD)]] / Table1[[#This Row],[Actual Spending (USD)]]) * 100</f>
        <v>-87.042907027349344</v>
      </c>
      <c r="O1649" s="5" t="s">
        <v>3897</v>
      </c>
    </row>
    <row r="1650" spans="1:15" x14ac:dyDescent="0.25">
      <c r="A1650" s="4" t="s">
        <v>1663</v>
      </c>
      <c r="B1650" s="2" t="s">
        <v>3574</v>
      </c>
      <c r="C1650" s="2" t="s">
        <v>3871</v>
      </c>
      <c r="D1650" s="2" t="s">
        <v>3879</v>
      </c>
      <c r="E1650" s="3">
        <v>45201</v>
      </c>
      <c r="F1650" s="3">
        <v>45672</v>
      </c>
      <c r="G1650" s="2" t="s">
        <v>3887</v>
      </c>
      <c r="H1650" s="2">
        <v>558911</v>
      </c>
      <c r="I1650" s="2">
        <v>405651</v>
      </c>
      <c r="J1650" s="2" t="s">
        <v>3888</v>
      </c>
      <c r="K1650" s="2" t="s">
        <v>3893</v>
      </c>
      <c r="L1650" s="2">
        <v>2023</v>
      </c>
      <c r="M1650" s="2">
        <v>153260</v>
      </c>
      <c r="N1650" s="2">
        <f xml:space="preserve"> (Table1[[#This Row],[Variance (USD)]] / Table1[[#This Row],[Actual Spending (USD)]]) * 100</f>
        <v>37.781245454836792</v>
      </c>
      <c r="O1650" s="5" t="s">
        <v>3900</v>
      </c>
    </row>
    <row r="1651" spans="1:15" x14ac:dyDescent="0.25">
      <c r="A1651" s="4" t="s">
        <v>1664</v>
      </c>
      <c r="B1651" s="2" t="s">
        <v>3503</v>
      </c>
      <c r="C1651" s="2" t="s">
        <v>3869</v>
      </c>
      <c r="D1651" s="2" t="s">
        <v>3877</v>
      </c>
      <c r="E1651" s="3">
        <v>45645</v>
      </c>
      <c r="F1651" s="3">
        <v>45852</v>
      </c>
      <c r="G1651" s="2" t="s">
        <v>3884</v>
      </c>
      <c r="H1651" s="2">
        <v>581088</v>
      </c>
      <c r="I1651" s="2">
        <v>931105</v>
      </c>
      <c r="J1651" s="2" t="s">
        <v>3888</v>
      </c>
      <c r="K1651" s="2" t="s">
        <v>3893</v>
      </c>
      <c r="L1651" s="2">
        <v>2024</v>
      </c>
      <c r="M1651" s="2">
        <v>-350017</v>
      </c>
      <c r="N1651" s="2">
        <f xml:space="preserve"> (Table1[[#This Row],[Variance (USD)]] / Table1[[#This Row],[Actual Spending (USD)]]) * 100</f>
        <v>-37.591571305062267</v>
      </c>
      <c r="O1651" s="5" t="s">
        <v>3897</v>
      </c>
    </row>
    <row r="1652" spans="1:15" x14ac:dyDescent="0.25">
      <c r="A1652" s="4" t="s">
        <v>1665</v>
      </c>
      <c r="B1652" s="2" t="s">
        <v>3707</v>
      </c>
      <c r="C1652" s="2" t="s">
        <v>3869</v>
      </c>
      <c r="D1652" s="2" t="s">
        <v>3881</v>
      </c>
      <c r="E1652" s="3">
        <v>45254</v>
      </c>
      <c r="F1652" s="3">
        <v>45792</v>
      </c>
      <c r="G1652" s="2" t="s">
        <v>3884</v>
      </c>
      <c r="H1652" s="2">
        <v>820157</v>
      </c>
      <c r="I1652" s="2">
        <v>318835</v>
      </c>
      <c r="J1652" s="2" t="s">
        <v>3892</v>
      </c>
      <c r="K1652" s="2" t="s">
        <v>3895</v>
      </c>
      <c r="L1652" s="2">
        <v>2024</v>
      </c>
      <c r="M1652" s="2">
        <v>501322</v>
      </c>
      <c r="N1652" s="2">
        <f xml:space="preserve"> (Table1[[#This Row],[Variance (USD)]] / Table1[[#This Row],[Actual Spending (USD)]]) * 100</f>
        <v>157.23556071322159</v>
      </c>
      <c r="O1652" s="5" t="s">
        <v>3897</v>
      </c>
    </row>
    <row r="1653" spans="1:15" x14ac:dyDescent="0.25">
      <c r="A1653" s="4" t="s">
        <v>1666</v>
      </c>
      <c r="B1653" s="2" t="s">
        <v>3128</v>
      </c>
      <c r="C1653" s="2" t="s">
        <v>3874</v>
      </c>
      <c r="D1653" s="2" t="s">
        <v>3883</v>
      </c>
      <c r="E1653" s="3">
        <v>45137</v>
      </c>
      <c r="F1653" s="3">
        <v>45588</v>
      </c>
      <c r="G1653" s="2" t="s">
        <v>3884</v>
      </c>
      <c r="H1653" s="2">
        <v>609827</v>
      </c>
      <c r="I1653" s="2">
        <v>726761</v>
      </c>
      <c r="J1653" s="2" t="s">
        <v>3888</v>
      </c>
      <c r="K1653" s="2" t="s">
        <v>3896</v>
      </c>
      <c r="L1653" s="2">
        <v>2023</v>
      </c>
      <c r="M1653" s="2">
        <v>-116934</v>
      </c>
      <c r="N1653" s="2">
        <f xml:space="preserve"> (Table1[[#This Row],[Variance (USD)]] / Table1[[#This Row],[Actual Spending (USD)]]) * 100</f>
        <v>-16.089746147633129</v>
      </c>
      <c r="O1653" s="5" t="s">
        <v>3897</v>
      </c>
    </row>
    <row r="1654" spans="1:15" x14ac:dyDescent="0.25">
      <c r="A1654" s="4" t="s">
        <v>1667</v>
      </c>
      <c r="B1654" s="2" t="s">
        <v>3588</v>
      </c>
      <c r="C1654" s="2" t="s">
        <v>3873</v>
      </c>
      <c r="D1654" s="2" t="s">
        <v>3876</v>
      </c>
      <c r="E1654" s="3">
        <v>45653</v>
      </c>
      <c r="F1654" s="3">
        <v>45653</v>
      </c>
      <c r="G1654" s="2" t="s">
        <v>3886</v>
      </c>
      <c r="H1654" s="2">
        <v>283259</v>
      </c>
      <c r="I1654" s="2">
        <v>1152304</v>
      </c>
      <c r="J1654" s="2" t="s">
        <v>3890</v>
      </c>
      <c r="K1654" s="2" t="s">
        <v>3896</v>
      </c>
      <c r="L1654" s="2">
        <v>2025</v>
      </c>
      <c r="M1654" s="2">
        <v>-869045</v>
      </c>
      <c r="N1654" s="2">
        <f xml:space="preserve"> (Table1[[#This Row],[Variance (USD)]] / Table1[[#This Row],[Actual Spending (USD)]]) * 100</f>
        <v>-75.418032047098677</v>
      </c>
      <c r="O1654" s="5" t="s">
        <v>3899</v>
      </c>
    </row>
    <row r="1655" spans="1:15" x14ac:dyDescent="0.25">
      <c r="A1655" s="4" t="s">
        <v>1668</v>
      </c>
      <c r="B1655" s="2" t="s">
        <v>3335</v>
      </c>
      <c r="C1655" s="2" t="s">
        <v>3869</v>
      </c>
      <c r="D1655" s="2" t="s">
        <v>3881</v>
      </c>
      <c r="E1655" s="3">
        <v>45478</v>
      </c>
      <c r="F1655" s="3">
        <v>45880</v>
      </c>
      <c r="G1655" s="2" t="s">
        <v>3885</v>
      </c>
      <c r="H1655" s="2">
        <v>707960</v>
      </c>
      <c r="I1655" s="2">
        <v>528021</v>
      </c>
      <c r="J1655" s="2" t="s">
        <v>3888</v>
      </c>
      <c r="K1655" s="2" t="s">
        <v>3895</v>
      </c>
      <c r="L1655" s="2">
        <v>2024</v>
      </c>
      <c r="M1655" s="2">
        <v>179939</v>
      </c>
      <c r="N1655" s="2">
        <f xml:space="preserve"> (Table1[[#This Row],[Variance (USD)]] / Table1[[#This Row],[Actual Spending (USD)]]) * 100</f>
        <v>34.078000685578793</v>
      </c>
      <c r="O1655" s="5" t="s">
        <v>3898</v>
      </c>
    </row>
    <row r="1656" spans="1:15" x14ac:dyDescent="0.25">
      <c r="A1656" s="4" t="s">
        <v>1669</v>
      </c>
      <c r="B1656" s="2" t="s">
        <v>3222</v>
      </c>
      <c r="C1656" s="2" t="s">
        <v>3869</v>
      </c>
      <c r="D1656" s="2" t="s">
        <v>3878</v>
      </c>
      <c r="E1656" s="3">
        <v>44952</v>
      </c>
      <c r="F1656" s="3">
        <v>45754</v>
      </c>
      <c r="G1656" s="2" t="s">
        <v>3884</v>
      </c>
      <c r="H1656" s="2">
        <v>659451</v>
      </c>
      <c r="I1656" s="2">
        <v>1075618</v>
      </c>
      <c r="J1656" s="2" t="s">
        <v>3892</v>
      </c>
      <c r="K1656" s="2" t="s">
        <v>3895</v>
      </c>
      <c r="L1656" s="2">
        <v>2023</v>
      </c>
      <c r="M1656" s="2">
        <v>-416167</v>
      </c>
      <c r="N1656" s="2">
        <f xml:space="preserve"> (Table1[[#This Row],[Variance (USD)]] / Table1[[#This Row],[Actual Spending (USD)]]) * 100</f>
        <v>-38.690966495540238</v>
      </c>
      <c r="O1656" s="5" t="s">
        <v>3897</v>
      </c>
    </row>
    <row r="1657" spans="1:15" x14ac:dyDescent="0.25">
      <c r="A1657" s="4" t="s">
        <v>1670</v>
      </c>
      <c r="B1657" s="2" t="s">
        <v>3307</v>
      </c>
      <c r="C1657" s="2" t="s">
        <v>3875</v>
      </c>
      <c r="D1657" s="2" t="s">
        <v>3881</v>
      </c>
      <c r="E1657" s="3">
        <v>44953</v>
      </c>
      <c r="F1657" s="3">
        <v>45729</v>
      </c>
      <c r="G1657" s="2" t="s">
        <v>3885</v>
      </c>
      <c r="H1657" s="2">
        <v>296765</v>
      </c>
      <c r="I1657" s="2">
        <v>432628</v>
      </c>
      <c r="J1657" s="2" t="s">
        <v>3891</v>
      </c>
      <c r="K1657" s="2" t="s">
        <v>3893</v>
      </c>
      <c r="L1657" s="2">
        <v>2024</v>
      </c>
      <c r="M1657" s="2">
        <v>-135863</v>
      </c>
      <c r="N1657" s="2">
        <f xml:space="preserve"> (Table1[[#This Row],[Variance (USD)]] / Table1[[#This Row],[Actual Spending (USD)]]) * 100</f>
        <v>-31.404116238431168</v>
      </c>
      <c r="O1657" s="5" t="s">
        <v>3898</v>
      </c>
    </row>
    <row r="1658" spans="1:15" x14ac:dyDescent="0.25">
      <c r="A1658" s="4" t="s">
        <v>1671</v>
      </c>
      <c r="B1658" s="2" t="s">
        <v>3710</v>
      </c>
      <c r="C1658" s="2" t="s">
        <v>3875</v>
      </c>
      <c r="D1658" s="2" t="s">
        <v>3878</v>
      </c>
      <c r="E1658" s="3">
        <v>45628</v>
      </c>
      <c r="F1658" s="3">
        <v>45418</v>
      </c>
      <c r="G1658" s="2" t="s">
        <v>3886</v>
      </c>
      <c r="H1658" s="2">
        <v>734729</v>
      </c>
      <c r="I1658" s="2">
        <v>635787</v>
      </c>
      <c r="J1658" s="2" t="s">
        <v>3891</v>
      </c>
      <c r="K1658" s="2" t="s">
        <v>3893</v>
      </c>
      <c r="L1658" s="2">
        <v>2025</v>
      </c>
      <c r="M1658" s="2">
        <v>98942</v>
      </c>
      <c r="N1658" s="2">
        <f xml:space="preserve"> (Table1[[#This Row],[Variance (USD)]] / Table1[[#This Row],[Actual Spending (USD)]]) * 100</f>
        <v>15.562130084446521</v>
      </c>
      <c r="O1658" s="5" t="s">
        <v>3899</v>
      </c>
    </row>
    <row r="1659" spans="1:15" x14ac:dyDescent="0.25">
      <c r="A1659" s="4" t="s">
        <v>1672</v>
      </c>
      <c r="B1659" s="2" t="s">
        <v>3510</v>
      </c>
      <c r="C1659" s="2" t="s">
        <v>3872</v>
      </c>
      <c r="D1659" s="2" t="s">
        <v>3876</v>
      </c>
      <c r="E1659" s="3">
        <v>45009</v>
      </c>
      <c r="F1659" s="3">
        <v>45488</v>
      </c>
      <c r="G1659" s="2" t="s">
        <v>3886</v>
      </c>
      <c r="H1659" s="2">
        <v>802341</v>
      </c>
      <c r="I1659" s="2">
        <v>915591</v>
      </c>
      <c r="J1659" s="2" t="s">
        <v>3891</v>
      </c>
      <c r="K1659" s="2" t="s">
        <v>3893</v>
      </c>
      <c r="L1659" s="2">
        <v>2023</v>
      </c>
      <c r="M1659" s="2">
        <v>-113250</v>
      </c>
      <c r="N1659" s="2">
        <f xml:space="preserve"> (Table1[[#This Row],[Variance (USD)]] / Table1[[#This Row],[Actual Spending (USD)]]) * 100</f>
        <v>-12.369059984206922</v>
      </c>
      <c r="O1659" s="5" t="s">
        <v>3899</v>
      </c>
    </row>
    <row r="1660" spans="1:15" x14ac:dyDescent="0.25">
      <c r="A1660" s="4" t="s">
        <v>1673</v>
      </c>
      <c r="B1660" s="2" t="s">
        <v>3757</v>
      </c>
      <c r="C1660" s="2" t="s">
        <v>3874</v>
      </c>
      <c r="D1660" s="2" t="s">
        <v>3881</v>
      </c>
      <c r="E1660" s="3">
        <v>45608</v>
      </c>
      <c r="F1660" s="3">
        <v>45512</v>
      </c>
      <c r="G1660" s="2" t="s">
        <v>3885</v>
      </c>
      <c r="H1660" s="2">
        <v>328833</v>
      </c>
      <c r="I1660" s="2">
        <v>96553</v>
      </c>
      <c r="J1660" s="2" t="s">
        <v>3889</v>
      </c>
      <c r="K1660" s="2" t="s">
        <v>3896</v>
      </c>
      <c r="L1660" s="2">
        <v>2023</v>
      </c>
      <c r="M1660" s="2">
        <v>232280</v>
      </c>
      <c r="N1660" s="2">
        <f xml:space="preserve"> (Table1[[#This Row],[Variance (USD)]] / Table1[[#This Row],[Actual Spending (USD)]]) * 100</f>
        <v>240.57253529149793</v>
      </c>
      <c r="O1660" s="5" t="s">
        <v>3898</v>
      </c>
    </row>
    <row r="1661" spans="1:15" x14ac:dyDescent="0.25">
      <c r="A1661" s="4" t="s">
        <v>1674</v>
      </c>
      <c r="B1661" s="2" t="s">
        <v>3758</v>
      </c>
      <c r="C1661" s="2" t="s">
        <v>3873</v>
      </c>
      <c r="D1661" s="2" t="s">
        <v>3879</v>
      </c>
      <c r="E1661" s="3">
        <v>45339</v>
      </c>
      <c r="F1661" s="3">
        <v>45382</v>
      </c>
      <c r="G1661" s="2" t="s">
        <v>3884</v>
      </c>
      <c r="H1661" s="2">
        <v>917891</v>
      </c>
      <c r="I1661" s="2">
        <v>1023452</v>
      </c>
      <c r="J1661" s="2" t="s">
        <v>3890</v>
      </c>
      <c r="K1661" s="2" t="s">
        <v>3896</v>
      </c>
      <c r="L1661" s="2">
        <v>2025</v>
      </c>
      <c r="M1661" s="2">
        <v>-105561</v>
      </c>
      <c r="N1661" s="2">
        <f xml:space="preserve"> (Table1[[#This Row],[Variance (USD)]] / Table1[[#This Row],[Actual Spending (USD)]]) * 100</f>
        <v>-10.314211120795113</v>
      </c>
      <c r="O1661" s="5" t="s">
        <v>3897</v>
      </c>
    </row>
    <row r="1662" spans="1:15" x14ac:dyDescent="0.25">
      <c r="A1662" s="4" t="s">
        <v>1675</v>
      </c>
      <c r="B1662" s="2" t="s">
        <v>3759</v>
      </c>
      <c r="C1662" s="2" t="s">
        <v>3874</v>
      </c>
      <c r="D1662" s="2" t="s">
        <v>3879</v>
      </c>
      <c r="E1662" s="3">
        <v>45093</v>
      </c>
      <c r="F1662" s="3">
        <v>45702</v>
      </c>
      <c r="G1662" s="2" t="s">
        <v>3884</v>
      </c>
      <c r="H1662" s="2">
        <v>88469</v>
      </c>
      <c r="I1662" s="2">
        <v>299856</v>
      </c>
      <c r="J1662" s="2" t="s">
        <v>3892</v>
      </c>
      <c r="K1662" s="2" t="s">
        <v>3895</v>
      </c>
      <c r="L1662" s="2">
        <v>2025</v>
      </c>
      <c r="M1662" s="2">
        <v>-211387</v>
      </c>
      <c r="N1662" s="2">
        <f xml:space="preserve"> (Table1[[#This Row],[Variance (USD)]] / Table1[[#This Row],[Actual Spending (USD)]]) * 100</f>
        <v>-70.496171495651254</v>
      </c>
      <c r="O1662" s="5" t="s">
        <v>3897</v>
      </c>
    </row>
    <row r="1663" spans="1:15" x14ac:dyDescent="0.25">
      <c r="A1663" s="4" t="s">
        <v>1676</v>
      </c>
      <c r="B1663" s="2" t="s">
        <v>3386</v>
      </c>
      <c r="C1663" s="2" t="s">
        <v>3868</v>
      </c>
      <c r="D1663" s="2" t="s">
        <v>3877</v>
      </c>
      <c r="E1663" s="3">
        <v>45626</v>
      </c>
      <c r="F1663" s="3">
        <v>45299</v>
      </c>
      <c r="G1663" s="2" t="s">
        <v>3885</v>
      </c>
      <c r="H1663" s="2">
        <v>539155</v>
      </c>
      <c r="I1663" s="2">
        <v>307961</v>
      </c>
      <c r="J1663" s="2" t="s">
        <v>3891</v>
      </c>
      <c r="K1663" s="2" t="s">
        <v>3894</v>
      </c>
      <c r="L1663" s="2">
        <v>2023</v>
      </c>
      <c r="M1663" s="2">
        <v>231194</v>
      </c>
      <c r="N1663" s="2">
        <f xml:space="preserve"> (Table1[[#This Row],[Variance (USD)]] / Table1[[#This Row],[Actual Spending (USD)]]) * 100</f>
        <v>75.072492945535302</v>
      </c>
      <c r="O1663" s="5" t="s">
        <v>3898</v>
      </c>
    </row>
    <row r="1664" spans="1:15" x14ac:dyDescent="0.25">
      <c r="A1664" s="4" t="s">
        <v>1677</v>
      </c>
      <c r="B1664" s="2" t="s">
        <v>3327</v>
      </c>
      <c r="C1664" s="2" t="s">
        <v>3870</v>
      </c>
      <c r="D1664" s="2" t="s">
        <v>3876</v>
      </c>
      <c r="E1664" s="3">
        <v>45095</v>
      </c>
      <c r="F1664" s="3">
        <v>45835</v>
      </c>
      <c r="G1664" s="2" t="s">
        <v>3885</v>
      </c>
      <c r="H1664" s="2">
        <v>706318</v>
      </c>
      <c r="I1664" s="2">
        <v>739192</v>
      </c>
      <c r="J1664" s="2" t="s">
        <v>3892</v>
      </c>
      <c r="K1664" s="2" t="s">
        <v>3894</v>
      </c>
      <c r="L1664" s="2">
        <v>2025</v>
      </c>
      <c r="M1664" s="2">
        <v>-32874</v>
      </c>
      <c r="N1664" s="2">
        <f xml:space="preserve"> (Table1[[#This Row],[Variance (USD)]] / Table1[[#This Row],[Actual Spending (USD)]]) * 100</f>
        <v>-4.4472883905669978</v>
      </c>
      <c r="O1664" s="5" t="s">
        <v>3898</v>
      </c>
    </row>
    <row r="1665" spans="1:15" x14ac:dyDescent="0.25">
      <c r="A1665" s="4" t="s">
        <v>1678</v>
      </c>
      <c r="B1665" s="2" t="s">
        <v>3370</v>
      </c>
      <c r="C1665" s="2" t="s">
        <v>3873</v>
      </c>
      <c r="D1665" s="2" t="s">
        <v>3882</v>
      </c>
      <c r="E1665" s="3">
        <v>45155</v>
      </c>
      <c r="F1665" s="3">
        <v>45759</v>
      </c>
      <c r="G1665" s="2" t="s">
        <v>3887</v>
      </c>
      <c r="H1665" s="2">
        <v>304905</v>
      </c>
      <c r="I1665" s="2">
        <v>385760</v>
      </c>
      <c r="J1665" s="2" t="s">
        <v>3892</v>
      </c>
      <c r="K1665" s="2" t="s">
        <v>3894</v>
      </c>
      <c r="L1665" s="2">
        <v>2025</v>
      </c>
      <c r="M1665" s="2">
        <v>-80855</v>
      </c>
      <c r="N1665" s="2">
        <f xml:space="preserve"> (Table1[[#This Row],[Variance (USD)]] / Table1[[#This Row],[Actual Spending (USD)]]) * 100</f>
        <v>-20.959923268353382</v>
      </c>
      <c r="O1665" s="5" t="s">
        <v>3900</v>
      </c>
    </row>
    <row r="1666" spans="1:15" x14ac:dyDescent="0.25">
      <c r="A1666" s="4" t="s">
        <v>1679</v>
      </c>
      <c r="B1666" s="2" t="s">
        <v>3760</v>
      </c>
      <c r="C1666" s="2" t="s">
        <v>3873</v>
      </c>
      <c r="D1666" s="2" t="s">
        <v>3879</v>
      </c>
      <c r="E1666" s="3">
        <v>45535</v>
      </c>
      <c r="F1666" s="3">
        <v>45611</v>
      </c>
      <c r="G1666" s="2" t="s">
        <v>3885</v>
      </c>
      <c r="H1666" s="2">
        <v>825318</v>
      </c>
      <c r="I1666" s="2">
        <v>452342</v>
      </c>
      <c r="J1666" s="2" t="s">
        <v>3889</v>
      </c>
      <c r="K1666" s="2" t="s">
        <v>3894</v>
      </c>
      <c r="L1666" s="2">
        <v>2023</v>
      </c>
      <c r="M1666" s="2">
        <v>372976</v>
      </c>
      <c r="N1666" s="2">
        <f xml:space="preserve"> (Table1[[#This Row],[Variance (USD)]] / Table1[[#This Row],[Actual Spending (USD)]]) * 100</f>
        <v>82.454426075845262</v>
      </c>
      <c r="O1666" s="5" t="s">
        <v>3898</v>
      </c>
    </row>
    <row r="1667" spans="1:15" x14ac:dyDescent="0.25">
      <c r="A1667" s="4" t="s">
        <v>1680</v>
      </c>
      <c r="B1667" s="2" t="s">
        <v>3202</v>
      </c>
      <c r="C1667" s="2" t="s">
        <v>3871</v>
      </c>
      <c r="D1667" s="2" t="s">
        <v>3881</v>
      </c>
      <c r="E1667" s="3">
        <v>45293</v>
      </c>
      <c r="F1667" s="3">
        <v>45685</v>
      </c>
      <c r="G1667" s="2" t="s">
        <v>3884</v>
      </c>
      <c r="H1667" s="2">
        <v>896444</v>
      </c>
      <c r="I1667" s="2">
        <v>634955</v>
      </c>
      <c r="J1667" s="2" t="s">
        <v>3891</v>
      </c>
      <c r="K1667" s="2" t="s">
        <v>3894</v>
      </c>
      <c r="L1667" s="2">
        <v>2024</v>
      </c>
      <c r="M1667" s="2">
        <v>261489</v>
      </c>
      <c r="N1667" s="2">
        <f xml:space="preserve"> (Table1[[#This Row],[Variance (USD)]] / Table1[[#This Row],[Actual Spending (USD)]]) * 100</f>
        <v>41.182288508634471</v>
      </c>
      <c r="O1667" s="5" t="s">
        <v>3897</v>
      </c>
    </row>
    <row r="1668" spans="1:15" x14ac:dyDescent="0.25">
      <c r="A1668" s="4" t="s">
        <v>1681</v>
      </c>
      <c r="B1668" s="2" t="s">
        <v>3761</v>
      </c>
      <c r="C1668" s="2" t="s">
        <v>3874</v>
      </c>
      <c r="D1668" s="2" t="s">
        <v>3876</v>
      </c>
      <c r="E1668" s="3">
        <v>45454</v>
      </c>
      <c r="F1668" s="3">
        <v>45560</v>
      </c>
      <c r="G1668" s="2" t="s">
        <v>3885</v>
      </c>
      <c r="H1668" s="2">
        <v>774434</v>
      </c>
      <c r="I1668" s="2">
        <v>744036</v>
      </c>
      <c r="J1668" s="2" t="s">
        <v>3888</v>
      </c>
      <c r="K1668" s="2" t="s">
        <v>3893</v>
      </c>
      <c r="L1668" s="2">
        <v>2025</v>
      </c>
      <c r="M1668" s="2">
        <v>30398</v>
      </c>
      <c r="N1668" s="2">
        <f xml:space="preserve"> (Table1[[#This Row],[Variance (USD)]] / Table1[[#This Row],[Actual Spending (USD)]]) * 100</f>
        <v>4.0855550000268801</v>
      </c>
      <c r="O1668" s="5" t="s">
        <v>3898</v>
      </c>
    </row>
    <row r="1669" spans="1:15" x14ac:dyDescent="0.25">
      <c r="A1669" s="4" t="s">
        <v>1682</v>
      </c>
      <c r="B1669" s="2" t="s">
        <v>3454</v>
      </c>
      <c r="C1669" s="2" t="s">
        <v>3872</v>
      </c>
      <c r="D1669" s="2" t="s">
        <v>3883</v>
      </c>
      <c r="E1669" s="3">
        <v>45573</v>
      </c>
      <c r="F1669" s="3">
        <v>45482</v>
      </c>
      <c r="G1669" s="2" t="s">
        <v>3884</v>
      </c>
      <c r="H1669" s="2">
        <v>110021</v>
      </c>
      <c r="I1669" s="2">
        <v>732175</v>
      </c>
      <c r="J1669" s="2" t="s">
        <v>3892</v>
      </c>
      <c r="K1669" s="2" t="s">
        <v>3895</v>
      </c>
      <c r="L1669" s="2">
        <v>2024</v>
      </c>
      <c r="M1669" s="2">
        <v>-622154</v>
      </c>
      <c r="N1669" s="2">
        <f xml:space="preserve"> (Table1[[#This Row],[Variance (USD)]] / Table1[[#This Row],[Actual Spending (USD)]]) * 100</f>
        <v>-84.973401167753622</v>
      </c>
      <c r="O1669" s="5" t="s">
        <v>3897</v>
      </c>
    </row>
    <row r="1670" spans="1:15" x14ac:dyDescent="0.25">
      <c r="A1670" s="4" t="s">
        <v>1683</v>
      </c>
      <c r="B1670" s="2" t="s">
        <v>3258</v>
      </c>
      <c r="C1670" s="2" t="s">
        <v>3871</v>
      </c>
      <c r="D1670" s="2" t="s">
        <v>3878</v>
      </c>
      <c r="E1670" s="3">
        <v>45464</v>
      </c>
      <c r="F1670" s="3">
        <v>45966</v>
      </c>
      <c r="G1670" s="2" t="s">
        <v>3887</v>
      </c>
      <c r="H1670" s="2">
        <v>532156</v>
      </c>
      <c r="I1670" s="2">
        <v>788315</v>
      </c>
      <c r="J1670" s="2" t="s">
        <v>3891</v>
      </c>
      <c r="K1670" s="2" t="s">
        <v>3894</v>
      </c>
      <c r="L1670" s="2">
        <v>2024</v>
      </c>
      <c r="M1670" s="2">
        <v>-256159</v>
      </c>
      <c r="N1670" s="2">
        <f xml:space="preserve"> (Table1[[#This Row],[Variance (USD)]] / Table1[[#This Row],[Actual Spending (USD)]]) * 100</f>
        <v>-32.494497757875976</v>
      </c>
      <c r="O1670" s="5" t="s">
        <v>3900</v>
      </c>
    </row>
    <row r="1671" spans="1:15" x14ac:dyDescent="0.25">
      <c r="A1671" s="4" t="s">
        <v>1684</v>
      </c>
      <c r="B1671" s="2" t="s">
        <v>3234</v>
      </c>
      <c r="C1671" s="2" t="s">
        <v>3873</v>
      </c>
      <c r="D1671" s="2" t="s">
        <v>3881</v>
      </c>
      <c r="E1671" s="3">
        <v>45450</v>
      </c>
      <c r="F1671" s="3">
        <v>45352</v>
      </c>
      <c r="G1671" s="2" t="s">
        <v>3884</v>
      </c>
      <c r="H1671" s="2">
        <v>231854</v>
      </c>
      <c r="I1671" s="2">
        <v>774271</v>
      </c>
      <c r="J1671" s="2" t="s">
        <v>3892</v>
      </c>
      <c r="K1671" s="2" t="s">
        <v>3894</v>
      </c>
      <c r="L1671" s="2">
        <v>2024</v>
      </c>
      <c r="M1671" s="2">
        <v>-542417</v>
      </c>
      <c r="N1671" s="2">
        <f xml:space="preserve"> (Table1[[#This Row],[Variance (USD)]] / Table1[[#This Row],[Actual Spending (USD)]]) * 100</f>
        <v>-70.055187395627627</v>
      </c>
      <c r="O1671" s="5" t="s">
        <v>3897</v>
      </c>
    </row>
    <row r="1672" spans="1:15" x14ac:dyDescent="0.25">
      <c r="A1672" s="4" t="s">
        <v>1685</v>
      </c>
      <c r="B1672" s="2" t="s">
        <v>3118</v>
      </c>
      <c r="C1672" s="2" t="s">
        <v>3873</v>
      </c>
      <c r="D1672" s="2" t="s">
        <v>3878</v>
      </c>
      <c r="E1672" s="3">
        <v>44998</v>
      </c>
      <c r="F1672" s="3">
        <v>45729</v>
      </c>
      <c r="G1672" s="2" t="s">
        <v>3886</v>
      </c>
      <c r="H1672" s="2">
        <v>518735</v>
      </c>
      <c r="I1672" s="2">
        <v>665318</v>
      </c>
      <c r="J1672" s="2" t="s">
        <v>3889</v>
      </c>
      <c r="K1672" s="2" t="s">
        <v>3894</v>
      </c>
      <c r="L1672" s="2">
        <v>2025</v>
      </c>
      <c r="M1672" s="2">
        <v>-146583</v>
      </c>
      <c r="N1672" s="2">
        <f xml:space="preserve"> (Table1[[#This Row],[Variance (USD)]] / Table1[[#This Row],[Actual Spending (USD)]]) * 100</f>
        <v>-22.03202077803396</v>
      </c>
      <c r="O1672" s="5" t="s">
        <v>3899</v>
      </c>
    </row>
    <row r="1673" spans="1:15" x14ac:dyDescent="0.25">
      <c r="A1673" s="4" t="s">
        <v>1686</v>
      </c>
      <c r="B1673" s="2" t="s">
        <v>3686</v>
      </c>
      <c r="C1673" s="2" t="s">
        <v>3873</v>
      </c>
      <c r="D1673" s="2" t="s">
        <v>3878</v>
      </c>
      <c r="E1673" s="3">
        <v>45571</v>
      </c>
      <c r="F1673" s="3">
        <v>45555</v>
      </c>
      <c r="G1673" s="2" t="s">
        <v>3884</v>
      </c>
      <c r="H1673" s="2">
        <v>281979</v>
      </c>
      <c r="I1673" s="2">
        <v>671673</v>
      </c>
      <c r="J1673" s="2" t="s">
        <v>3889</v>
      </c>
      <c r="K1673" s="2" t="s">
        <v>3893</v>
      </c>
      <c r="L1673" s="2">
        <v>2023</v>
      </c>
      <c r="M1673" s="2">
        <v>-389694</v>
      </c>
      <c r="N1673" s="2">
        <f xml:space="preserve"> (Table1[[#This Row],[Variance (USD)]] / Table1[[#This Row],[Actual Spending (USD)]]) * 100</f>
        <v>-58.018410744514071</v>
      </c>
      <c r="O1673" s="5" t="s">
        <v>3897</v>
      </c>
    </row>
    <row r="1674" spans="1:15" x14ac:dyDescent="0.25">
      <c r="A1674" s="4" t="s">
        <v>1687</v>
      </c>
      <c r="B1674" s="2" t="s">
        <v>3086</v>
      </c>
      <c r="C1674" s="2" t="s">
        <v>3869</v>
      </c>
      <c r="D1674" s="2" t="s">
        <v>3882</v>
      </c>
      <c r="E1674" s="3">
        <v>45032</v>
      </c>
      <c r="F1674" s="3">
        <v>45386</v>
      </c>
      <c r="G1674" s="2" t="s">
        <v>3884</v>
      </c>
      <c r="H1674" s="2">
        <v>598930</v>
      </c>
      <c r="I1674" s="2">
        <v>193597</v>
      </c>
      <c r="J1674" s="2" t="s">
        <v>3888</v>
      </c>
      <c r="K1674" s="2" t="s">
        <v>3894</v>
      </c>
      <c r="L1674" s="2">
        <v>2023</v>
      </c>
      <c r="M1674" s="2">
        <v>405333</v>
      </c>
      <c r="N1674" s="2">
        <f xml:space="preserve"> (Table1[[#This Row],[Variance (USD)]] / Table1[[#This Row],[Actual Spending (USD)]]) * 100</f>
        <v>209.3694633697836</v>
      </c>
      <c r="O1674" s="5" t="s">
        <v>3897</v>
      </c>
    </row>
    <row r="1675" spans="1:15" x14ac:dyDescent="0.25">
      <c r="A1675" s="4" t="s">
        <v>1688</v>
      </c>
      <c r="B1675" s="2" t="s">
        <v>3371</v>
      </c>
      <c r="C1675" s="2" t="s">
        <v>3874</v>
      </c>
      <c r="D1675" s="2" t="s">
        <v>3876</v>
      </c>
      <c r="E1675" s="3">
        <v>45615</v>
      </c>
      <c r="F1675" s="3">
        <v>45844</v>
      </c>
      <c r="G1675" s="2" t="s">
        <v>3884</v>
      </c>
      <c r="H1675" s="2">
        <v>391147</v>
      </c>
      <c r="I1675" s="2">
        <v>59030</v>
      </c>
      <c r="J1675" s="2" t="s">
        <v>3889</v>
      </c>
      <c r="K1675" s="2" t="s">
        <v>3895</v>
      </c>
      <c r="L1675" s="2">
        <v>2023</v>
      </c>
      <c r="M1675" s="2">
        <v>332117</v>
      </c>
      <c r="N1675" s="2">
        <f xml:space="preserve"> (Table1[[#This Row],[Variance (USD)]] / Table1[[#This Row],[Actual Spending (USD)]]) * 100</f>
        <v>562.62408944604431</v>
      </c>
      <c r="O1675" s="5" t="s">
        <v>3897</v>
      </c>
    </row>
    <row r="1676" spans="1:15" x14ac:dyDescent="0.25">
      <c r="A1676" s="4" t="s">
        <v>1689</v>
      </c>
      <c r="B1676" s="2" t="s">
        <v>3253</v>
      </c>
      <c r="C1676" s="2" t="s">
        <v>3870</v>
      </c>
      <c r="D1676" s="2" t="s">
        <v>3876</v>
      </c>
      <c r="E1676" s="3">
        <v>45208</v>
      </c>
      <c r="F1676" s="3">
        <v>45761</v>
      </c>
      <c r="G1676" s="2" t="s">
        <v>3885</v>
      </c>
      <c r="H1676" s="2">
        <v>698002</v>
      </c>
      <c r="I1676" s="2">
        <v>1122643</v>
      </c>
      <c r="J1676" s="2" t="s">
        <v>3891</v>
      </c>
      <c r="K1676" s="2" t="s">
        <v>3893</v>
      </c>
      <c r="L1676" s="2">
        <v>2023</v>
      </c>
      <c r="M1676" s="2">
        <v>-424641</v>
      </c>
      <c r="N1676" s="2">
        <f xml:space="preserve"> (Table1[[#This Row],[Variance (USD)]] / Table1[[#This Row],[Actual Spending (USD)]]) * 100</f>
        <v>-37.825114484301778</v>
      </c>
      <c r="O1676" s="5" t="s">
        <v>3898</v>
      </c>
    </row>
    <row r="1677" spans="1:15" x14ac:dyDescent="0.25">
      <c r="A1677" s="4" t="s">
        <v>1690</v>
      </c>
      <c r="B1677" s="2" t="s">
        <v>3057</v>
      </c>
      <c r="C1677" s="2" t="s">
        <v>3870</v>
      </c>
      <c r="D1677" s="2" t="s">
        <v>3877</v>
      </c>
      <c r="E1677" s="3">
        <v>45059</v>
      </c>
      <c r="F1677" s="3">
        <v>45952</v>
      </c>
      <c r="G1677" s="2" t="s">
        <v>3885</v>
      </c>
      <c r="H1677" s="2">
        <v>574493</v>
      </c>
      <c r="I1677" s="2">
        <v>538961</v>
      </c>
      <c r="J1677" s="2" t="s">
        <v>3889</v>
      </c>
      <c r="K1677" s="2" t="s">
        <v>3893</v>
      </c>
      <c r="L1677" s="2">
        <v>2023</v>
      </c>
      <c r="M1677" s="2">
        <v>35532</v>
      </c>
      <c r="N1677" s="2">
        <f xml:space="preserve"> (Table1[[#This Row],[Variance (USD)]] / Table1[[#This Row],[Actual Spending (USD)]]) * 100</f>
        <v>6.5926848139290231</v>
      </c>
      <c r="O1677" s="5" t="s">
        <v>3898</v>
      </c>
    </row>
    <row r="1678" spans="1:15" x14ac:dyDescent="0.25">
      <c r="A1678" s="4" t="s">
        <v>1691</v>
      </c>
      <c r="B1678" s="2" t="s">
        <v>3114</v>
      </c>
      <c r="C1678" s="2" t="s">
        <v>3871</v>
      </c>
      <c r="D1678" s="2" t="s">
        <v>3878</v>
      </c>
      <c r="E1678" s="3">
        <v>45460</v>
      </c>
      <c r="F1678" s="3">
        <v>46007</v>
      </c>
      <c r="G1678" s="2" t="s">
        <v>3884</v>
      </c>
      <c r="H1678" s="2">
        <v>929377</v>
      </c>
      <c r="I1678" s="2">
        <v>952711</v>
      </c>
      <c r="J1678" s="2" t="s">
        <v>3888</v>
      </c>
      <c r="K1678" s="2" t="s">
        <v>3896</v>
      </c>
      <c r="L1678" s="2">
        <v>2023</v>
      </c>
      <c r="M1678" s="2">
        <v>-23334</v>
      </c>
      <c r="N1678" s="2">
        <f xml:space="preserve"> (Table1[[#This Row],[Variance (USD)]] / Table1[[#This Row],[Actual Spending (USD)]]) * 100</f>
        <v>-2.4492212223853822</v>
      </c>
      <c r="O1678" s="5" t="s">
        <v>3897</v>
      </c>
    </row>
    <row r="1679" spans="1:15" x14ac:dyDescent="0.25">
      <c r="A1679" s="4" t="s">
        <v>1692</v>
      </c>
      <c r="B1679" s="2" t="s">
        <v>3411</v>
      </c>
      <c r="C1679" s="2" t="s">
        <v>3873</v>
      </c>
      <c r="D1679" s="2" t="s">
        <v>3877</v>
      </c>
      <c r="E1679" s="3">
        <v>45195</v>
      </c>
      <c r="F1679" s="3">
        <v>45805</v>
      </c>
      <c r="G1679" s="2" t="s">
        <v>3886</v>
      </c>
      <c r="H1679" s="2">
        <v>62442</v>
      </c>
      <c r="I1679" s="2">
        <v>892865</v>
      </c>
      <c r="J1679" s="2" t="s">
        <v>3890</v>
      </c>
      <c r="K1679" s="2" t="s">
        <v>3896</v>
      </c>
      <c r="L1679" s="2">
        <v>2024</v>
      </c>
      <c r="M1679" s="2">
        <v>-830423</v>
      </c>
      <c r="N1679" s="2">
        <f xml:space="preserve"> (Table1[[#This Row],[Variance (USD)]] / Table1[[#This Row],[Actual Spending (USD)]]) * 100</f>
        <v>-93.006557542293635</v>
      </c>
      <c r="O1679" s="5" t="s">
        <v>3899</v>
      </c>
    </row>
    <row r="1680" spans="1:15" x14ac:dyDescent="0.25">
      <c r="A1680" s="4" t="s">
        <v>1693</v>
      </c>
      <c r="B1680" s="2" t="s">
        <v>3564</v>
      </c>
      <c r="C1680" s="2" t="s">
        <v>3870</v>
      </c>
      <c r="D1680" s="2" t="s">
        <v>3882</v>
      </c>
      <c r="E1680" s="3">
        <v>45338</v>
      </c>
      <c r="F1680" s="3">
        <v>45981</v>
      </c>
      <c r="G1680" s="2" t="s">
        <v>3886</v>
      </c>
      <c r="H1680" s="2">
        <v>928258</v>
      </c>
      <c r="I1680" s="2">
        <v>843071</v>
      </c>
      <c r="J1680" s="2" t="s">
        <v>3892</v>
      </c>
      <c r="K1680" s="2" t="s">
        <v>3893</v>
      </c>
      <c r="L1680" s="2">
        <v>2024</v>
      </c>
      <c r="M1680" s="2">
        <v>85187</v>
      </c>
      <c r="N1680" s="2">
        <f xml:space="preserve"> (Table1[[#This Row],[Variance (USD)]] / Table1[[#This Row],[Actual Spending (USD)]]) * 100</f>
        <v>10.104368433975312</v>
      </c>
      <c r="O1680" s="5" t="s">
        <v>3899</v>
      </c>
    </row>
    <row r="1681" spans="1:15" x14ac:dyDescent="0.25">
      <c r="A1681" s="4" t="s">
        <v>1694</v>
      </c>
      <c r="B1681" s="2" t="s">
        <v>3762</v>
      </c>
      <c r="C1681" s="2" t="s">
        <v>3875</v>
      </c>
      <c r="D1681" s="2" t="s">
        <v>3878</v>
      </c>
      <c r="E1681" s="3">
        <v>45599</v>
      </c>
      <c r="F1681" s="3">
        <v>45485</v>
      </c>
      <c r="G1681" s="2" t="s">
        <v>3884</v>
      </c>
      <c r="H1681" s="2">
        <v>797004</v>
      </c>
      <c r="I1681" s="2">
        <v>426008</v>
      </c>
      <c r="J1681" s="2" t="s">
        <v>3892</v>
      </c>
      <c r="K1681" s="2" t="s">
        <v>3894</v>
      </c>
      <c r="L1681" s="2">
        <v>2024</v>
      </c>
      <c r="M1681" s="2">
        <v>370996</v>
      </c>
      <c r="N1681" s="2">
        <f xml:space="preserve"> (Table1[[#This Row],[Variance (USD)]] / Table1[[#This Row],[Actual Spending (USD)]]) * 100</f>
        <v>87.086627481174062</v>
      </c>
      <c r="O1681" s="5" t="s">
        <v>3897</v>
      </c>
    </row>
    <row r="1682" spans="1:15" x14ac:dyDescent="0.25">
      <c r="A1682" s="4" t="s">
        <v>1695</v>
      </c>
      <c r="B1682" s="2" t="s">
        <v>3245</v>
      </c>
      <c r="C1682" s="2" t="s">
        <v>3874</v>
      </c>
      <c r="D1682" s="2" t="s">
        <v>3877</v>
      </c>
      <c r="E1682" s="3">
        <v>45545</v>
      </c>
      <c r="F1682" s="3">
        <v>45773</v>
      </c>
      <c r="G1682" s="2" t="s">
        <v>3884</v>
      </c>
      <c r="H1682" s="2">
        <v>973195</v>
      </c>
      <c r="I1682" s="2">
        <v>517976</v>
      </c>
      <c r="J1682" s="2" t="s">
        <v>3891</v>
      </c>
      <c r="K1682" s="2" t="s">
        <v>3894</v>
      </c>
      <c r="L1682" s="2">
        <v>2025</v>
      </c>
      <c r="M1682" s="2">
        <v>455219</v>
      </c>
      <c r="N1682" s="2">
        <f xml:space="preserve"> (Table1[[#This Row],[Variance (USD)]] / Table1[[#This Row],[Actual Spending (USD)]]) * 100</f>
        <v>87.884187684371469</v>
      </c>
      <c r="O1682" s="5" t="s">
        <v>3897</v>
      </c>
    </row>
    <row r="1683" spans="1:15" x14ac:dyDescent="0.25">
      <c r="A1683" s="4" t="s">
        <v>1696</v>
      </c>
      <c r="B1683" s="2" t="s">
        <v>3099</v>
      </c>
      <c r="C1683" s="2" t="s">
        <v>3870</v>
      </c>
      <c r="D1683" s="2" t="s">
        <v>3877</v>
      </c>
      <c r="E1683" s="3">
        <v>44944</v>
      </c>
      <c r="F1683" s="3">
        <v>45627</v>
      </c>
      <c r="G1683" s="2" t="s">
        <v>3885</v>
      </c>
      <c r="H1683" s="2">
        <v>88909</v>
      </c>
      <c r="I1683" s="2">
        <v>49198</v>
      </c>
      <c r="J1683" s="2" t="s">
        <v>3888</v>
      </c>
      <c r="K1683" s="2" t="s">
        <v>3894</v>
      </c>
      <c r="L1683" s="2">
        <v>2025</v>
      </c>
      <c r="M1683" s="2">
        <v>39711</v>
      </c>
      <c r="N1683" s="2">
        <f xml:space="preserve"> (Table1[[#This Row],[Variance (USD)]] / Table1[[#This Row],[Actual Spending (USD)]]) * 100</f>
        <v>80.716695800642299</v>
      </c>
      <c r="O1683" s="5" t="s">
        <v>3898</v>
      </c>
    </row>
    <row r="1684" spans="1:15" x14ac:dyDescent="0.25">
      <c r="A1684" s="4" t="s">
        <v>1697</v>
      </c>
      <c r="B1684" s="2" t="s">
        <v>3641</v>
      </c>
      <c r="C1684" s="2" t="s">
        <v>3872</v>
      </c>
      <c r="D1684" s="2" t="s">
        <v>3883</v>
      </c>
      <c r="E1684" s="3">
        <v>45043</v>
      </c>
      <c r="F1684" s="3">
        <v>45726</v>
      </c>
      <c r="G1684" s="2" t="s">
        <v>3886</v>
      </c>
      <c r="H1684" s="2">
        <v>331648</v>
      </c>
      <c r="I1684" s="2">
        <v>731565</v>
      </c>
      <c r="J1684" s="2" t="s">
        <v>3888</v>
      </c>
      <c r="K1684" s="2" t="s">
        <v>3894</v>
      </c>
      <c r="L1684" s="2">
        <v>2025</v>
      </c>
      <c r="M1684" s="2">
        <v>-399917</v>
      </c>
      <c r="N1684" s="2">
        <f xml:space="preserve"> (Table1[[#This Row],[Variance (USD)]] / Table1[[#This Row],[Actual Spending (USD)]]) * 100</f>
        <v>-54.665955861748436</v>
      </c>
      <c r="O1684" s="5" t="s">
        <v>3899</v>
      </c>
    </row>
    <row r="1685" spans="1:15" x14ac:dyDescent="0.25">
      <c r="A1685" s="4" t="s">
        <v>1698</v>
      </c>
      <c r="B1685" s="2" t="s">
        <v>3763</v>
      </c>
      <c r="C1685" s="2" t="s">
        <v>3874</v>
      </c>
      <c r="D1685" s="2" t="s">
        <v>3877</v>
      </c>
      <c r="E1685" s="3">
        <v>45070</v>
      </c>
      <c r="F1685" s="3">
        <v>45487</v>
      </c>
      <c r="G1685" s="2" t="s">
        <v>3884</v>
      </c>
      <c r="H1685" s="2">
        <v>507486</v>
      </c>
      <c r="I1685" s="2">
        <v>1161527</v>
      </c>
      <c r="J1685" s="2" t="s">
        <v>3888</v>
      </c>
      <c r="K1685" s="2" t="s">
        <v>3896</v>
      </c>
      <c r="L1685" s="2">
        <v>2023</v>
      </c>
      <c r="M1685" s="2">
        <v>-654041</v>
      </c>
      <c r="N1685" s="2">
        <f xml:space="preserve"> (Table1[[#This Row],[Variance (USD)]] / Table1[[#This Row],[Actual Spending (USD)]]) * 100</f>
        <v>-56.30872119201706</v>
      </c>
      <c r="O1685" s="5" t="s">
        <v>3897</v>
      </c>
    </row>
    <row r="1686" spans="1:15" x14ac:dyDescent="0.25">
      <c r="A1686" s="4" t="s">
        <v>1699</v>
      </c>
      <c r="B1686" s="2" t="s">
        <v>3069</v>
      </c>
      <c r="C1686" s="2" t="s">
        <v>3872</v>
      </c>
      <c r="D1686" s="2" t="s">
        <v>3876</v>
      </c>
      <c r="E1686" s="3">
        <v>45643</v>
      </c>
      <c r="F1686" s="3">
        <v>45540</v>
      </c>
      <c r="G1686" s="2" t="s">
        <v>3886</v>
      </c>
      <c r="H1686" s="2">
        <v>145698</v>
      </c>
      <c r="I1686" s="2">
        <v>100511</v>
      </c>
      <c r="J1686" s="2" t="s">
        <v>3892</v>
      </c>
      <c r="K1686" s="2" t="s">
        <v>3895</v>
      </c>
      <c r="L1686" s="2">
        <v>2024</v>
      </c>
      <c r="M1686" s="2">
        <v>45187</v>
      </c>
      <c r="N1686" s="2">
        <f xml:space="preserve"> (Table1[[#This Row],[Variance (USD)]] / Table1[[#This Row],[Actual Spending (USD)]]) * 100</f>
        <v>44.957268358687109</v>
      </c>
      <c r="O1686" s="5" t="s">
        <v>3899</v>
      </c>
    </row>
    <row r="1687" spans="1:15" x14ac:dyDescent="0.25">
      <c r="A1687" s="4" t="s">
        <v>1700</v>
      </c>
      <c r="B1687" s="2" t="s">
        <v>3502</v>
      </c>
      <c r="C1687" s="2" t="s">
        <v>3870</v>
      </c>
      <c r="D1687" s="2" t="s">
        <v>3877</v>
      </c>
      <c r="E1687" s="3">
        <v>45477</v>
      </c>
      <c r="F1687" s="3">
        <v>45789</v>
      </c>
      <c r="G1687" s="2" t="s">
        <v>3884</v>
      </c>
      <c r="H1687" s="2">
        <v>810392</v>
      </c>
      <c r="I1687" s="2">
        <v>309037</v>
      </c>
      <c r="J1687" s="2" t="s">
        <v>3889</v>
      </c>
      <c r="K1687" s="2" t="s">
        <v>3893</v>
      </c>
      <c r="L1687" s="2">
        <v>2025</v>
      </c>
      <c r="M1687" s="2">
        <v>501355</v>
      </c>
      <c r="N1687" s="2">
        <f xml:space="preserve"> (Table1[[#This Row],[Variance (USD)]] / Table1[[#This Row],[Actual Spending (USD)]]) * 100</f>
        <v>162.23138329714567</v>
      </c>
      <c r="O1687" s="5" t="s">
        <v>3897</v>
      </c>
    </row>
    <row r="1688" spans="1:15" x14ac:dyDescent="0.25">
      <c r="A1688" s="4" t="s">
        <v>1701</v>
      </c>
      <c r="B1688" s="2" t="s">
        <v>3701</v>
      </c>
      <c r="C1688" s="2" t="s">
        <v>3875</v>
      </c>
      <c r="D1688" s="2" t="s">
        <v>3878</v>
      </c>
      <c r="E1688" s="3">
        <v>45592</v>
      </c>
      <c r="F1688" s="3">
        <v>45503</v>
      </c>
      <c r="G1688" s="2" t="s">
        <v>3884</v>
      </c>
      <c r="H1688" s="2">
        <v>754690</v>
      </c>
      <c r="I1688" s="2">
        <v>225985</v>
      </c>
      <c r="J1688" s="2" t="s">
        <v>3892</v>
      </c>
      <c r="K1688" s="2" t="s">
        <v>3894</v>
      </c>
      <c r="L1688" s="2">
        <v>2024</v>
      </c>
      <c r="M1688" s="2">
        <v>528705</v>
      </c>
      <c r="N1688" s="2">
        <f xml:space="preserve"> (Table1[[#This Row],[Variance (USD)]] / Table1[[#This Row],[Actual Spending (USD)]]) * 100</f>
        <v>233.95579352611898</v>
      </c>
      <c r="O1688" s="5" t="s">
        <v>3897</v>
      </c>
    </row>
    <row r="1689" spans="1:15" x14ac:dyDescent="0.25">
      <c r="A1689" s="4" t="s">
        <v>1702</v>
      </c>
      <c r="B1689" s="2" t="s">
        <v>3714</v>
      </c>
      <c r="C1689" s="2" t="s">
        <v>3872</v>
      </c>
      <c r="D1689" s="2" t="s">
        <v>3877</v>
      </c>
      <c r="E1689" s="3">
        <v>45614</v>
      </c>
      <c r="F1689" s="3">
        <v>45956</v>
      </c>
      <c r="G1689" s="2" t="s">
        <v>3884</v>
      </c>
      <c r="H1689" s="2">
        <v>137087</v>
      </c>
      <c r="I1689" s="2">
        <v>48243</v>
      </c>
      <c r="J1689" s="2" t="s">
        <v>3892</v>
      </c>
      <c r="K1689" s="2" t="s">
        <v>3896</v>
      </c>
      <c r="L1689" s="2">
        <v>2023</v>
      </c>
      <c r="M1689" s="2">
        <v>88844</v>
      </c>
      <c r="N1689" s="2">
        <f xml:space="preserve"> (Table1[[#This Row],[Variance (USD)]] / Table1[[#This Row],[Actual Spending (USD)]]) * 100</f>
        <v>184.15935990713677</v>
      </c>
      <c r="O1689" s="5" t="s">
        <v>3897</v>
      </c>
    </row>
    <row r="1690" spans="1:15" x14ac:dyDescent="0.25">
      <c r="A1690" s="4" t="s">
        <v>1703</v>
      </c>
      <c r="B1690" s="2" t="s">
        <v>3626</v>
      </c>
      <c r="C1690" s="2" t="s">
        <v>3869</v>
      </c>
      <c r="D1690" s="2" t="s">
        <v>3879</v>
      </c>
      <c r="E1690" s="3">
        <v>45348</v>
      </c>
      <c r="F1690" s="3">
        <v>45961</v>
      </c>
      <c r="G1690" s="2" t="s">
        <v>3884</v>
      </c>
      <c r="H1690" s="2">
        <v>259991</v>
      </c>
      <c r="I1690" s="2">
        <v>710849</v>
      </c>
      <c r="J1690" s="2" t="s">
        <v>3892</v>
      </c>
      <c r="K1690" s="2" t="s">
        <v>3895</v>
      </c>
      <c r="L1690" s="2">
        <v>2024</v>
      </c>
      <c r="M1690" s="2">
        <v>-450858</v>
      </c>
      <c r="N1690" s="2">
        <f xml:space="preserve"> (Table1[[#This Row],[Variance (USD)]] / Table1[[#This Row],[Actual Spending (USD)]]) * 100</f>
        <v>-63.425284413426766</v>
      </c>
      <c r="O1690" s="5" t="s">
        <v>3897</v>
      </c>
    </row>
    <row r="1691" spans="1:15" x14ac:dyDescent="0.25">
      <c r="A1691" s="4" t="s">
        <v>1704</v>
      </c>
      <c r="B1691" s="2" t="s">
        <v>3518</v>
      </c>
      <c r="C1691" s="2" t="s">
        <v>3870</v>
      </c>
      <c r="D1691" s="2" t="s">
        <v>3880</v>
      </c>
      <c r="E1691" s="3">
        <v>45295</v>
      </c>
      <c r="F1691" s="3">
        <v>45757</v>
      </c>
      <c r="G1691" s="2" t="s">
        <v>3886</v>
      </c>
      <c r="H1691" s="2">
        <v>787392</v>
      </c>
      <c r="I1691" s="2">
        <v>371358</v>
      </c>
      <c r="J1691" s="2" t="s">
        <v>3889</v>
      </c>
      <c r="K1691" s="2" t="s">
        <v>3893</v>
      </c>
      <c r="L1691" s="2">
        <v>2023</v>
      </c>
      <c r="M1691" s="2">
        <v>416034</v>
      </c>
      <c r="N1691" s="2">
        <f xml:space="preserve"> (Table1[[#This Row],[Variance (USD)]] / Table1[[#This Row],[Actual Spending (USD)]]) * 100</f>
        <v>112.03043962968349</v>
      </c>
      <c r="O1691" s="5" t="s">
        <v>3899</v>
      </c>
    </row>
    <row r="1692" spans="1:15" x14ac:dyDescent="0.25">
      <c r="A1692" s="4" t="s">
        <v>1705</v>
      </c>
      <c r="B1692" s="2" t="s">
        <v>3544</v>
      </c>
      <c r="C1692" s="2" t="s">
        <v>3869</v>
      </c>
      <c r="D1692" s="2" t="s">
        <v>3878</v>
      </c>
      <c r="E1692" s="3">
        <v>45572</v>
      </c>
      <c r="F1692" s="3">
        <v>45942</v>
      </c>
      <c r="G1692" s="2" t="s">
        <v>3885</v>
      </c>
      <c r="H1692" s="2">
        <v>91716</v>
      </c>
      <c r="I1692" s="2">
        <v>916801</v>
      </c>
      <c r="J1692" s="2" t="s">
        <v>3890</v>
      </c>
      <c r="K1692" s="2" t="s">
        <v>3893</v>
      </c>
      <c r="L1692" s="2">
        <v>2025</v>
      </c>
      <c r="M1692" s="2">
        <v>-825085</v>
      </c>
      <c r="N1692" s="2">
        <f xml:space="preserve"> (Table1[[#This Row],[Variance (USD)]] / Table1[[#This Row],[Actual Spending (USD)]]) * 100</f>
        <v>-89.996084210204828</v>
      </c>
      <c r="O1692" s="5" t="s">
        <v>3898</v>
      </c>
    </row>
    <row r="1693" spans="1:15" x14ac:dyDescent="0.25">
      <c r="A1693" s="4" t="s">
        <v>1706</v>
      </c>
      <c r="B1693" s="2" t="s">
        <v>3277</v>
      </c>
      <c r="C1693" s="2" t="s">
        <v>3870</v>
      </c>
      <c r="D1693" s="2" t="s">
        <v>3879</v>
      </c>
      <c r="E1693" s="3">
        <v>45484</v>
      </c>
      <c r="F1693" s="3">
        <v>45512</v>
      </c>
      <c r="G1693" s="2" t="s">
        <v>3884</v>
      </c>
      <c r="H1693" s="2">
        <v>255696</v>
      </c>
      <c r="I1693" s="2">
        <v>733365</v>
      </c>
      <c r="J1693" s="2" t="s">
        <v>3891</v>
      </c>
      <c r="K1693" s="2" t="s">
        <v>3893</v>
      </c>
      <c r="L1693" s="2">
        <v>2023</v>
      </c>
      <c r="M1693" s="2">
        <v>-477669</v>
      </c>
      <c r="N1693" s="2">
        <f xml:space="preserve"> (Table1[[#This Row],[Variance (USD)]] / Table1[[#This Row],[Actual Spending (USD)]]) * 100</f>
        <v>-65.13386921928371</v>
      </c>
      <c r="O1693" s="5" t="s">
        <v>3897</v>
      </c>
    </row>
    <row r="1694" spans="1:15" x14ac:dyDescent="0.25">
      <c r="A1694" s="4" t="s">
        <v>1707</v>
      </c>
      <c r="B1694" s="2" t="s">
        <v>3115</v>
      </c>
      <c r="C1694" s="2" t="s">
        <v>3868</v>
      </c>
      <c r="D1694" s="2" t="s">
        <v>3882</v>
      </c>
      <c r="E1694" s="3">
        <v>44976</v>
      </c>
      <c r="F1694" s="3">
        <v>45564</v>
      </c>
      <c r="G1694" s="2" t="s">
        <v>3884</v>
      </c>
      <c r="H1694" s="2">
        <v>228054</v>
      </c>
      <c r="I1694" s="2">
        <v>256073</v>
      </c>
      <c r="J1694" s="2" t="s">
        <v>3890</v>
      </c>
      <c r="K1694" s="2" t="s">
        <v>3894</v>
      </c>
      <c r="L1694" s="2">
        <v>2023</v>
      </c>
      <c r="M1694" s="2">
        <v>-28019</v>
      </c>
      <c r="N1694" s="2">
        <f xml:space="preserve"> (Table1[[#This Row],[Variance (USD)]] / Table1[[#This Row],[Actual Spending (USD)]]) * 100</f>
        <v>-10.941801751844201</v>
      </c>
      <c r="O1694" s="5" t="s">
        <v>3897</v>
      </c>
    </row>
    <row r="1695" spans="1:15" x14ac:dyDescent="0.25">
      <c r="A1695" s="4" t="s">
        <v>1708</v>
      </c>
      <c r="B1695" s="2" t="s">
        <v>3702</v>
      </c>
      <c r="C1695" s="2" t="s">
        <v>3868</v>
      </c>
      <c r="D1695" s="2" t="s">
        <v>3878</v>
      </c>
      <c r="E1695" s="3">
        <v>45604</v>
      </c>
      <c r="F1695" s="3">
        <v>45445</v>
      </c>
      <c r="G1695" s="2" t="s">
        <v>3886</v>
      </c>
      <c r="H1695" s="2">
        <v>208516</v>
      </c>
      <c r="I1695" s="2">
        <v>1074221</v>
      </c>
      <c r="J1695" s="2" t="s">
        <v>3890</v>
      </c>
      <c r="K1695" s="2" t="s">
        <v>3893</v>
      </c>
      <c r="L1695" s="2">
        <v>2024</v>
      </c>
      <c r="M1695" s="2">
        <v>-865705</v>
      </c>
      <c r="N1695" s="2">
        <f xml:space="preserve"> (Table1[[#This Row],[Variance (USD)]] / Table1[[#This Row],[Actual Spending (USD)]]) * 100</f>
        <v>-80.589096657019368</v>
      </c>
      <c r="O1695" s="5" t="s">
        <v>3899</v>
      </c>
    </row>
    <row r="1696" spans="1:15" x14ac:dyDescent="0.25">
      <c r="A1696" s="4" t="s">
        <v>1709</v>
      </c>
      <c r="B1696" s="2" t="s">
        <v>3334</v>
      </c>
      <c r="C1696" s="2" t="s">
        <v>3868</v>
      </c>
      <c r="D1696" s="2" t="s">
        <v>3876</v>
      </c>
      <c r="E1696" s="3">
        <v>45032</v>
      </c>
      <c r="F1696" s="3">
        <v>45540</v>
      </c>
      <c r="G1696" s="2" t="s">
        <v>3885</v>
      </c>
      <c r="H1696" s="2">
        <v>992238</v>
      </c>
      <c r="I1696" s="2">
        <v>676868</v>
      </c>
      <c r="J1696" s="2" t="s">
        <v>3892</v>
      </c>
      <c r="K1696" s="2" t="s">
        <v>3894</v>
      </c>
      <c r="L1696" s="2">
        <v>2023</v>
      </c>
      <c r="M1696" s="2">
        <v>315370</v>
      </c>
      <c r="N1696" s="2">
        <f xml:space="preserve"> (Table1[[#This Row],[Variance (USD)]] / Table1[[#This Row],[Actual Spending (USD)]]) * 100</f>
        <v>46.59254093855818</v>
      </c>
      <c r="O1696" s="5" t="s">
        <v>3898</v>
      </c>
    </row>
    <row r="1697" spans="1:15" x14ac:dyDescent="0.25">
      <c r="A1697" s="4" t="s">
        <v>1710</v>
      </c>
      <c r="B1697" s="2" t="s">
        <v>3474</v>
      </c>
      <c r="C1697" s="2" t="s">
        <v>3872</v>
      </c>
      <c r="D1697" s="2" t="s">
        <v>3880</v>
      </c>
      <c r="E1697" s="3">
        <v>45142</v>
      </c>
      <c r="F1697" s="3">
        <v>45570</v>
      </c>
      <c r="G1697" s="2" t="s">
        <v>3886</v>
      </c>
      <c r="H1697" s="2">
        <v>747105</v>
      </c>
      <c r="I1697" s="2">
        <v>367468</v>
      </c>
      <c r="J1697" s="2" t="s">
        <v>3890</v>
      </c>
      <c r="K1697" s="2" t="s">
        <v>3895</v>
      </c>
      <c r="L1697" s="2">
        <v>2025</v>
      </c>
      <c r="M1697" s="2">
        <v>379637</v>
      </c>
      <c r="N1697" s="2">
        <f xml:space="preserve"> (Table1[[#This Row],[Variance (USD)]] / Table1[[#This Row],[Actual Spending (USD)]]) * 100</f>
        <v>103.31158087234806</v>
      </c>
      <c r="O1697" s="5" t="s">
        <v>3899</v>
      </c>
    </row>
    <row r="1698" spans="1:15" x14ac:dyDescent="0.25">
      <c r="A1698" s="4" t="s">
        <v>1711</v>
      </c>
      <c r="B1698" s="2" t="s">
        <v>3230</v>
      </c>
      <c r="C1698" s="2" t="s">
        <v>3869</v>
      </c>
      <c r="D1698" s="2" t="s">
        <v>3880</v>
      </c>
      <c r="E1698" s="3">
        <v>45584</v>
      </c>
      <c r="F1698" s="3">
        <v>45731</v>
      </c>
      <c r="G1698" s="2" t="s">
        <v>3885</v>
      </c>
      <c r="H1698" s="2">
        <v>84571</v>
      </c>
      <c r="I1698" s="2">
        <v>717703</v>
      </c>
      <c r="J1698" s="2" t="s">
        <v>3892</v>
      </c>
      <c r="K1698" s="2" t="s">
        <v>3896</v>
      </c>
      <c r="L1698" s="2">
        <v>2025</v>
      </c>
      <c r="M1698" s="2">
        <v>-633132</v>
      </c>
      <c r="N1698" s="2">
        <f xml:space="preserve"> (Table1[[#This Row],[Variance (USD)]] / Table1[[#This Row],[Actual Spending (USD)]]) * 100</f>
        <v>-88.216434931998336</v>
      </c>
      <c r="O1698" s="5" t="s">
        <v>3898</v>
      </c>
    </row>
    <row r="1699" spans="1:15" x14ac:dyDescent="0.25">
      <c r="A1699" s="4" t="s">
        <v>1712</v>
      </c>
      <c r="B1699" s="2" t="s">
        <v>3264</v>
      </c>
      <c r="C1699" s="2" t="s">
        <v>3869</v>
      </c>
      <c r="D1699" s="2" t="s">
        <v>3876</v>
      </c>
      <c r="E1699" s="3">
        <v>45351</v>
      </c>
      <c r="F1699" s="3">
        <v>45567</v>
      </c>
      <c r="G1699" s="2" t="s">
        <v>3884</v>
      </c>
      <c r="H1699" s="2">
        <v>273023</v>
      </c>
      <c r="I1699" s="2">
        <v>273470</v>
      </c>
      <c r="J1699" s="2" t="s">
        <v>3892</v>
      </c>
      <c r="K1699" s="2" t="s">
        <v>3896</v>
      </c>
      <c r="L1699" s="2">
        <v>2023</v>
      </c>
      <c r="M1699" s="2">
        <v>-447</v>
      </c>
      <c r="N1699" s="2">
        <f xml:space="preserve"> (Table1[[#This Row],[Variance (USD)]] / Table1[[#This Row],[Actual Spending (USD)]]) * 100</f>
        <v>-0.16345485793688522</v>
      </c>
      <c r="O1699" s="5" t="s">
        <v>3897</v>
      </c>
    </row>
    <row r="1700" spans="1:15" x14ac:dyDescent="0.25">
      <c r="A1700" s="4" t="s">
        <v>1713</v>
      </c>
      <c r="B1700" s="2" t="s">
        <v>3236</v>
      </c>
      <c r="C1700" s="2" t="s">
        <v>3869</v>
      </c>
      <c r="D1700" s="2" t="s">
        <v>3880</v>
      </c>
      <c r="E1700" s="3">
        <v>44998</v>
      </c>
      <c r="F1700" s="3">
        <v>45805</v>
      </c>
      <c r="G1700" s="2" t="s">
        <v>3886</v>
      </c>
      <c r="H1700" s="2">
        <v>982893</v>
      </c>
      <c r="I1700" s="2">
        <v>1153359</v>
      </c>
      <c r="J1700" s="2" t="s">
        <v>3891</v>
      </c>
      <c r="K1700" s="2" t="s">
        <v>3896</v>
      </c>
      <c r="L1700" s="2">
        <v>2024</v>
      </c>
      <c r="M1700" s="2">
        <v>-170466</v>
      </c>
      <c r="N1700" s="2">
        <f xml:space="preserve"> (Table1[[#This Row],[Variance (USD)]] / Table1[[#This Row],[Actual Spending (USD)]]) * 100</f>
        <v>-14.779960099153863</v>
      </c>
      <c r="O1700" s="5" t="s">
        <v>3899</v>
      </c>
    </row>
    <row r="1701" spans="1:15" x14ac:dyDescent="0.25">
      <c r="A1701" s="4" t="s">
        <v>1714</v>
      </c>
      <c r="B1701" s="2" t="s">
        <v>3764</v>
      </c>
      <c r="C1701" s="2" t="s">
        <v>3875</v>
      </c>
      <c r="D1701" s="2" t="s">
        <v>3876</v>
      </c>
      <c r="E1701" s="3">
        <v>45372</v>
      </c>
      <c r="F1701" s="3">
        <v>45379</v>
      </c>
      <c r="G1701" s="2" t="s">
        <v>3884</v>
      </c>
      <c r="H1701" s="2">
        <v>929712</v>
      </c>
      <c r="I1701" s="2">
        <v>469179</v>
      </c>
      <c r="J1701" s="2" t="s">
        <v>3888</v>
      </c>
      <c r="K1701" s="2" t="s">
        <v>3893</v>
      </c>
      <c r="L1701" s="2">
        <v>2025</v>
      </c>
      <c r="M1701" s="2">
        <v>460533</v>
      </c>
      <c r="N1701" s="2">
        <f xml:space="preserve"> (Table1[[#This Row],[Variance (USD)]] / Table1[[#This Row],[Actual Spending (USD)]]) * 100</f>
        <v>98.157206524588688</v>
      </c>
      <c r="O1701" s="5" t="s">
        <v>3897</v>
      </c>
    </row>
    <row r="1702" spans="1:15" x14ac:dyDescent="0.25">
      <c r="A1702" s="4" t="s">
        <v>1715</v>
      </c>
      <c r="B1702" s="2" t="s">
        <v>3305</v>
      </c>
      <c r="C1702" s="2" t="s">
        <v>3869</v>
      </c>
      <c r="D1702" s="2" t="s">
        <v>3879</v>
      </c>
      <c r="E1702" s="3">
        <v>45112</v>
      </c>
      <c r="F1702" s="3">
        <v>45933</v>
      </c>
      <c r="G1702" s="2" t="s">
        <v>3884</v>
      </c>
      <c r="H1702" s="2">
        <v>789578</v>
      </c>
      <c r="I1702" s="2">
        <v>721332</v>
      </c>
      <c r="J1702" s="2" t="s">
        <v>3892</v>
      </c>
      <c r="K1702" s="2" t="s">
        <v>3896</v>
      </c>
      <c r="L1702" s="2">
        <v>2025</v>
      </c>
      <c r="M1702" s="2">
        <v>68246</v>
      </c>
      <c r="N1702" s="2">
        <f xml:space="preserve"> (Table1[[#This Row],[Variance (USD)]] / Table1[[#This Row],[Actual Spending (USD)]]) * 100</f>
        <v>9.4611080611978959</v>
      </c>
      <c r="O1702" s="5" t="s">
        <v>3897</v>
      </c>
    </row>
    <row r="1703" spans="1:15" x14ac:dyDescent="0.25">
      <c r="A1703" s="4" t="s">
        <v>1716</v>
      </c>
      <c r="B1703" s="2" t="s">
        <v>3765</v>
      </c>
      <c r="C1703" s="2" t="s">
        <v>3875</v>
      </c>
      <c r="D1703" s="2" t="s">
        <v>3882</v>
      </c>
      <c r="E1703" s="3">
        <v>44996</v>
      </c>
      <c r="F1703" s="3">
        <v>45796</v>
      </c>
      <c r="G1703" s="2" t="s">
        <v>3884</v>
      </c>
      <c r="H1703" s="2">
        <v>619326</v>
      </c>
      <c r="I1703" s="2">
        <v>309103</v>
      </c>
      <c r="J1703" s="2" t="s">
        <v>3890</v>
      </c>
      <c r="K1703" s="2" t="s">
        <v>3895</v>
      </c>
      <c r="L1703" s="2">
        <v>2023</v>
      </c>
      <c r="M1703" s="2">
        <v>310223</v>
      </c>
      <c r="N1703" s="2">
        <f xml:space="preserve"> (Table1[[#This Row],[Variance (USD)]] / Table1[[#This Row],[Actual Spending (USD)]]) * 100</f>
        <v>100.36233876733644</v>
      </c>
      <c r="O1703" s="5" t="s">
        <v>3897</v>
      </c>
    </row>
    <row r="1704" spans="1:15" x14ac:dyDescent="0.25">
      <c r="A1704" s="4" t="s">
        <v>1717</v>
      </c>
      <c r="B1704" s="2" t="s">
        <v>3598</v>
      </c>
      <c r="C1704" s="2" t="s">
        <v>3868</v>
      </c>
      <c r="D1704" s="2" t="s">
        <v>3883</v>
      </c>
      <c r="E1704" s="3">
        <v>45076</v>
      </c>
      <c r="F1704" s="3">
        <v>45881</v>
      </c>
      <c r="G1704" s="2" t="s">
        <v>3884</v>
      </c>
      <c r="H1704" s="2">
        <v>647083</v>
      </c>
      <c r="I1704" s="2">
        <v>538102</v>
      </c>
      <c r="J1704" s="2" t="s">
        <v>3891</v>
      </c>
      <c r="K1704" s="2" t="s">
        <v>3894</v>
      </c>
      <c r="L1704" s="2">
        <v>2023</v>
      </c>
      <c r="M1704" s="2">
        <v>108981</v>
      </c>
      <c r="N1704" s="2">
        <f xml:space="preserve"> (Table1[[#This Row],[Variance (USD)]] / Table1[[#This Row],[Actual Spending (USD)]]) * 100</f>
        <v>20.252851689828322</v>
      </c>
      <c r="O1704" s="5" t="s">
        <v>3897</v>
      </c>
    </row>
    <row r="1705" spans="1:15" x14ac:dyDescent="0.25">
      <c r="A1705" s="4" t="s">
        <v>1718</v>
      </c>
      <c r="B1705" s="2" t="s">
        <v>3737</v>
      </c>
      <c r="C1705" s="2" t="s">
        <v>3868</v>
      </c>
      <c r="D1705" s="2" t="s">
        <v>3878</v>
      </c>
      <c r="E1705" s="3">
        <v>45172</v>
      </c>
      <c r="F1705" s="3">
        <v>45532</v>
      </c>
      <c r="G1705" s="2" t="s">
        <v>3885</v>
      </c>
      <c r="H1705" s="2">
        <v>881600</v>
      </c>
      <c r="I1705" s="2">
        <v>195205</v>
      </c>
      <c r="J1705" s="2" t="s">
        <v>3890</v>
      </c>
      <c r="K1705" s="2" t="s">
        <v>3896</v>
      </c>
      <c r="L1705" s="2">
        <v>2025</v>
      </c>
      <c r="M1705" s="2">
        <v>686395</v>
      </c>
      <c r="N1705" s="2">
        <f xml:space="preserve"> (Table1[[#This Row],[Variance (USD)]] / Table1[[#This Row],[Actual Spending (USD)]]) * 100</f>
        <v>351.62777592787069</v>
      </c>
      <c r="O1705" s="5" t="s">
        <v>3898</v>
      </c>
    </row>
    <row r="1706" spans="1:15" x14ac:dyDescent="0.25">
      <c r="A1706" s="4" t="s">
        <v>1719</v>
      </c>
      <c r="B1706" s="2" t="s">
        <v>3640</v>
      </c>
      <c r="C1706" s="2" t="s">
        <v>3872</v>
      </c>
      <c r="D1706" s="2" t="s">
        <v>3876</v>
      </c>
      <c r="E1706" s="3">
        <v>45464</v>
      </c>
      <c r="F1706" s="3">
        <v>45944</v>
      </c>
      <c r="G1706" s="2" t="s">
        <v>3885</v>
      </c>
      <c r="H1706" s="2">
        <v>783442</v>
      </c>
      <c r="I1706" s="2">
        <v>250826</v>
      </c>
      <c r="J1706" s="2" t="s">
        <v>3888</v>
      </c>
      <c r="K1706" s="2" t="s">
        <v>3894</v>
      </c>
      <c r="L1706" s="2">
        <v>2023</v>
      </c>
      <c r="M1706" s="2">
        <v>532616</v>
      </c>
      <c r="N1706" s="2">
        <f xml:space="preserve"> (Table1[[#This Row],[Variance (USD)]] / Table1[[#This Row],[Actual Spending (USD)]]) * 100</f>
        <v>212.34481273871131</v>
      </c>
      <c r="O1706" s="5" t="s">
        <v>3898</v>
      </c>
    </row>
    <row r="1707" spans="1:15" x14ac:dyDescent="0.25">
      <c r="A1707" s="4" t="s">
        <v>1720</v>
      </c>
      <c r="B1707" s="2" t="s">
        <v>3033</v>
      </c>
      <c r="C1707" s="2" t="s">
        <v>3870</v>
      </c>
      <c r="D1707" s="2" t="s">
        <v>3878</v>
      </c>
      <c r="E1707" s="3">
        <v>45578</v>
      </c>
      <c r="F1707" s="3">
        <v>45966</v>
      </c>
      <c r="G1707" s="2" t="s">
        <v>3884</v>
      </c>
      <c r="H1707" s="2">
        <v>117690</v>
      </c>
      <c r="I1707" s="2">
        <v>1129726</v>
      </c>
      <c r="J1707" s="2" t="s">
        <v>3889</v>
      </c>
      <c r="K1707" s="2" t="s">
        <v>3894</v>
      </c>
      <c r="L1707" s="2">
        <v>2023</v>
      </c>
      <c r="M1707" s="2">
        <v>-1012036</v>
      </c>
      <c r="N1707" s="2">
        <f xml:space="preserve"> (Table1[[#This Row],[Variance (USD)]] / Table1[[#This Row],[Actual Spending (USD)]]) * 100</f>
        <v>-89.582429721897171</v>
      </c>
      <c r="O1707" s="5" t="s">
        <v>3897</v>
      </c>
    </row>
    <row r="1708" spans="1:15" x14ac:dyDescent="0.25">
      <c r="A1708" s="4" t="s">
        <v>1721</v>
      </c>
      <c r="B1708" s="2" t="s">
        <v>3441</v>
      </c>
      <c r="C1708" s="2" t="s">
        <v>3868</v>
      </c>
      <c r="D1708" s="2" t="s">
        <v>3882</v>
      </c>
      <c r="E1708" s="3">
        <v>45025</v>
      </c>
      <c r="F1708" s="3">
        <v>45527</v>
      </c>
      <c r="G1708" s="2" t="s">
        <v>3884</v>
      </c>
      <c r="H1708" s="2">
        <v>950485</v>
      </c>
      <c r="I1708" s="2">
        <v>313878</v>
      </c>
      <c r="J1708" s="2" t="s">
        <v>3888</v>
      </c>
      <c r="K1708" s="2" t="s">
        <v>3896</v>
      </c>
      <c r="L1708" s="2">
        <v>2025</v>
      </c>
      <c r="M1708" s="2">
        <v>636607</v>
      </c>
      <c r="N1708" s="2">
        <f xml:space="preserve"> (Table1[[#This Row],[Variance (USD)]] / Table1[[#This Row],[Actual Spending (USD)]]) * 100</f>
        <v>202.81988543319378</v>
      </c>
      <c r="O1708" s="5" t="s">
        <v>3897</v>
      </c>
    </row>
    <row r="1709" spans="1:15" x14ac:dyDescent="0.25">
      <c r="A1709" s="4" t="s">
        <v>1722</v>
      </c>
      <c r="B1709" s="2" t="s">
        <v>3766</v>
      </c>
      <c r="C1709" s="2" t="s">
        <v>3870</v>
      </c>
      <c r="D1709" s="2" t="s">
        <v>3879</v>
      </c>
      <c r="E1709" s="3">
        <v>45204</v>
      </c>
      <c r="F1709" s="3">
        <v>45419</v>
      </c>
      <c r="G1709" s="2" t="s">
        <v>3884</v>
      </c>
      <c r="H1709" s="2">
        <v>585518</v>
      </c>
      <c r="I1709" s="2">
        <v>181074</v>
      </c>
      <c r="J1709" s="2" t="s">
        <v>3891</v>
      </c>
      <c r="K1709" s="2" t="s">
        <v>3896</v>
      </c>
      <c r="L1709" s="2">
        <v>2024</v>
      </c>
      <c r="M1709" s="2">
        <v>404444</v>
      </c>
      <c r="N1709" s="2">
        <f xml:space="preserve"> (Table1[[#This Row],[Variance (USD)]] / Table1[[#This Row],[Actual Spending (USD)]]) * 100</f>
        <v>223.35840595557616</v>
      </c>
      <c r="O1709" s="5" t="s">
        <v>3897</v>
      </c>
    </row>
    <row r="1710" spans="1:15" x14ac:dyDescent="0.25">
      <c r="A1710" s="4" t="s">
        <v>1723</v>
      </c>
      <c r="B1710" s="2" t="s">
        <v>3431</v>
      </c>
      <c r="C1710" s="2" t="s">
        <v>3870</v>
      </c>
      <c r="D1710" s="2" t="s">
        <v>3883</v>
      </c>
      <c r="E1710" s="3">
        <v>45489</v>
      </c>
      <c r="F1710" s="3">
        <v>45794</v>
      </c>
      <c r="G1710" s="2" t="s">
        <v>3884</v>
      </c>
      <c r="H1710" s="2">
        <v>919733</v>
      </c>
      <c r="I1710" s="2">
        <v>416582</v>
      </c>
      <c r="J1710" s="2" t="s">
        <v>3888</v>
      </c>
      <c r="K1710" s="2" t="s">
        <v>3896</v>
      </c>
      <c r="L1710" s="2">
        <v>2024</v>
      </c>
      <c r="M1710" s="2">
        <v>503151</v>
      </c>
      <c r="N1710" s="2">
        <f xml:space="preserve"> (Table1[[#This Row],[Variance (USD)]] / Table1[[#This Row],[Actual Spending (USD)]]) * 100</f>
        <v>120.78078265503551</v>
      </c>
      <c r="O1710" s="5" t="s">
        <v>3897</v>
      </c>
    </row>
    <row r="1711" spans="1:15" x14ac:dyDescent="0.25">
      <c r="A1711" s="4" t="s">
        <v>1724</v>
      </c>
      <c r="B1711" s="2" t="s">
        <v>3637</v>
      </c>
      <c r="C1711" s="2" t="s">
        <v>3874</v>
      </c>
      <c r="D1711" s="2" t="s">
        <v>3882</v>
      </c>
      <c r="E1711" s="3">
        <v>45589</v>
      </c>
      <c r="F1711" s="3">
        <v>45491</v>
      </c>
      <c r="G1711" s="2" t="s">
        <v>3886</v>
      </c>
      <c r="H1711" s="2">
        <v>186974</v>
      </c>
      <c r="I1711" s="2">
        <v>652041</v>
      </c>
      <c r="J1711" s="2" t="s">
        <v>3888</v>
      </c>
      <c r="K1711" s="2" t="s">
        <v>3893</v>
      </c>
      <c r="L1711" s="2">
        <v>2025</v>
      </c>
      <c r="M1711" s="2">
        <v>-465067</v>
      </c>
      <c r="N1711" s="2">
        <f xml:space="preserve"> (Table1[[#This Row],[Variance (USD)]] / Table1[[#This Row],[Actual Spending (USD)]]) * 100</f>
        <v>-71.324809329474675</v>
      </c>
      <c r="O1711" s="5" t="s">
        <v>3899</v>
      </c>
    </row>
    <row r="1712" spans="1:15" x14ac:dyDescent="0.25">
      <c r="A1712" s="4" t="s">
        <v>1725</v>
      </c>
      <c r="B1712" s="2" t="s">
        <v>3145</v>
      </c>
      <c r="C1712" s="2" t="s">
        <v>3872</v>
      </c>
      <c r="D1712" s="2" t="s">
        <v>3879</v>
      </c>
      <c r="E1712" s="3">
        <v>45381</v>
      </c>
      <c r="F1712" s="3">
        <v>45834</v>
      </c>
      <c r="G1712" s="2" t="s">
        <v>3885</v>
      </c>
      <c r="H1712" s="2">
        <v>903190</v>
      </c>
      <c r="I1712" s="2">
        <v>544497</v>
      </c>
      <c r="J1712" s="2" t="s">
        <v>3891</v>
      </c>
      <c r="K1712" s="2" t="s">
        <v>3896</v>
      </c>
      <c r="L1712" s="2">
        <v>2023</v>
      </c>
      <c r="M1712" s="2">
        <v>358693</v>
      </c>
      <c r="N1712" s="2">
        <f xml:space="preserve"> (Table1[[#This Row],[Variance (USD)]] / Table1[[#This Row],[Actual Spending (USD)]]) * 100</f>
        <v>65.876028701719207</v>
      </c>
      <c r="O1712" s="5" t="s">
        <v>3898</v>
      </c>
    </row>
    <row r="1713" spans="1:15" x14ac:dyDescent="0.25">
      <c r="A1713" s="4" t="s">
        <v>1726</v>
      </c>
      <c r="B1713" s="2" t="s">
        <v>3439</v>
      </c>
      <c r="C1713" s="2" t="s">
        <v>3873</v>
      </c>
      <c r="D1713" s="2" t="s">
        <v>3880</v>
      </c>
      <c r="E1713" s="3">
        <v>45030</v>
      </c>
      <c r="F1713" s="3">
        <v>45793</v>
      </c>
      <c r="G1713" s="2" t="s">
        <v>3887</v>
      </c>
      <c r="H1713" s="2">
        <v>77050</v>
      </c>
      <c r="I1713" s="2">
        <v>401007</v>
      </c>
      <c r="J1713" s="2" t="s">
        <v>3891</v>
      </c>
      <c r="K1713" s="2" t="s">
        <v>3893</v>
      </c>
      <c r="L1713" s="2">
        <v>2025</v>
      </c>
      <c r="M1713" s="2">
        <v>-323957</v>
      </c>
      <c r="N1713" s="2">
        <f xml:space="preserve"> (Table1[[#This Row],[Variance (USD)]] / Table1[[#This Row],[Actual Spending (USD)]]) * 100</f>
        <v>-80.785871568326741</v>
      </c>
      <c r="O1713" s="5" t="s">
        <v>3900</v>
      </c>
    </row>
    <row r="1714" spans="1:15" x14ac:dyDescent="0.25">
      <c r="A1714" s="4" t="s">
        <v>1727</v>
      </c>
      <c r="B1714" s="2" t="s">
        <v>3479</v>
      </c>
      <c r="C1714" s="2" t="s">
        <v>3873</v>
      </c>
      <c r="D1714" s="2" t="s">
        <v>3878</v>
      </c>
      <c r="E1714" s="3">
        <v>45527</v>
      </c>
      <c r="F1714" s="3">
        <v>45941</v>
      </c>
      <c r="G1714" s="2" t="s">
        <v>3886</v>
      </c>
      <c r="H1714" s="2">
        <v>411949</v>
      </c>
      <c r="I1714" s="2">
        <v>716235</v>
      </c>
      <c r="J1714" s="2" t="s">
        <v>3890</v>
      </c>
      <c r="K1714" s="2" t="s">
        <v>3895</v>
      </c>
      <c r="L1714" s="2">
        <v>2025</v>
      </c>
      <c r="M1714" s="2">
        <v>-304286</v>
      </c>
      <c r="N1714" s="2">
        <f xml:space="preserve"> (Table1[[#This Row],[Variance (USD)]] / Table1[[#This Row],[Actual Spending (USD)]]) * 100</f>
        <v>-42.48410088867481</v>
      </c>
      <c r="O1714" s="5" t="s">
        <v>3899</v>
      </c>
    </row>
    <row r="1715" spans="1:15" x14ac:dyDescent="0.25">
      <c r="A1715" s="4" t="s">
        <v>1728</v>
      </c>
      <c r="B1715" s="2" t="s">
        <v>3413</v>
      </c>
      <c r="C1715" s="2" t="s">
        <v>3871</v>
      </c>
      <c r="D1715" s="2" t="s">
        <v>3881</v>
      </c>
      <c r="E1715" s="3">
        <v>45579</v>
      </c>
      <c r="F1715" s="3">
        <v>45783</v>
      </c>
      <c r="G1715" s="2" t="s">
        <v>3885</v>
      </c>
      <c r="H1715" s="2">
        <v>255658</v>
      </c>
      <c r="I1715" s="2">
        <v>186118</v>
      </c>
      <c r="J1715" s="2" t="s">
        <v>3892</v>
      </c>
      <c r="K1715" s="2" t="s">
        <v>3894</v>
      </c>
      <c r="L1715" s="2">
        <v>2023</v>
      </c>
      <c r="M1715" s="2">
        <v>69540</v>
      </c>
      <c r="N1715" s="2">
        <f xml:space="preserve"> (Table1[[#This Row],[Variance (USD)]] / Table1[[#This Row],[Actual Spending (USD)]]) * 100</f>
        <v>37.363393116195105</v>
      </c>
      <c r="O1715" s="5" t="s">
        <v>3898</v>
      </c>
    </row>
    <row r="1716" spans="1:15" x14ac:dyDescent="0.25">
      <c r="A1716" s="4" t="s">
        <v>1729</v>
      </c>
      <c r="B1716" s="2" t="s">
        <v>3271</v>
      </c>
      <c r="C1716" s="2" t="s">
        <v>3874</v>
      </c>
      <c r="D1716" s="2" t="s">
        <v>3883</v>
      </c>
      <c r="E1716" s="3">
        <v>45651</v>
      </c>
      <c r="F1716" s="3">
        <v>45312</v>
      </c>
      <c r="G1716" s="2" t="s">
        <v>3884</v>
      </c>
      <c r="H1716" s="2">
        <v>557728</v>
      </c>
      <c r="I1716" s="2">
        <v>184736</v>
      </c>
      <c r="J1716" s="2" t="s">
        <v>3889</v>
      </c>
      <c r="K1716" s="2" t="s">
        <v>3895</v>
      </c>
      <c r="L1716" s="2">
        <v>2024</v>
      </c>
      <c r="M1716" s="2">
        <v>372992</v>
      </c>
      <c r="N1716" s="2">
        <f xml:space="preserve"> (Table1[[#This Row],[Variance (USD)]] / Table1[[#This Row],[Actual Spending (USD)]]) * 100</f>
        <v>201.9054217910965</v>
      </c>
      <c r="O1716" s="5" t="s">
        <v>3897</v>
      </c>
    </row>
    <row r="1717" spans="1:15" x14ac:dyDescent="0.25">
      <c r="A1717" s="4" t="s">
        <v>1730</v>
      </c>
      <c r="B1717" s="2" t="s">
        <v>3025</v>
      </c>
      <c r="C1717" s="2" t="s">
        <v>3872</v>
      </c>
      <c r="D1717" s="2" t="s">
        <v>3880</v>
      </c>
      <c r="E1717" s="3">
        <v>45159</v>
      </c>
      <c r="F1717" s="3">
        <v>45525</v>
      </c>
      <c r="G1717" s="2" t="s">
        <v>3884</v>
      </c>
      <c r="H1717" s="2">
        <v>905542</v>
      </c>
      <c r="I1717" s="2">
        <v>447669</v>
      </c>
      <c r="J1717" s="2" t="s">
        <v>3889</v>
      </c>
      <c r="K1717" s="2" t="s">
        <v>3896</v>
      </c>
      <c r="L1717" s="2">
        <v>2024</v>
      </c>
      <c r="M1717" s="2">
        <v>457873</v>
      </c>
      <c r="N1717" s="2">
        <f xml:space="preserve"> (Table1[[#This Row],[Variance (USD)]] / Table1[[#This Row],[Actual Spending (USD)]]) * 100</f>
        <v>102.27936265410382</v>
      </c>
      <c r="O1717" s="5" t="s">
        <v>3897</v>
      </c>
    </row>
    <row r="1718" spans="1:15" x14ac:dyDescent="0.25">
      <c r="A1718" s="4" t="s">
        <v>1731</v>
      </c>
      <c r="B1718" s="2" t="s">
        <v>3166</v>
      </c>
      <c r="C1718" s="2" t="s">
        <v>3871</v>
      </c>
      <c r="D1718" s="2" t="s">
        <v>3882</v>
      </c>
      <c r="E1718" s="3">
        <v>45320</v>
      </c>
      <c r="F1718" s="3">
        <v>46005</v>
      </c>
      <c r="G1718" s="2" t="s">
        <v>3884</v>
      </c>
      <c r="H1718" s="2">
        <v>938465</v>
      </c>
      <c r="I1718" s="2">
        <v>559034</v>
      </c>
      <c r="J1718" s="2" t="s">
        <v>3889</v>
      </c>
      <c r="K1718" s="2" t="s">
        <v>3894</v>
      </c>
      <c r="L1718" s="2">
        <v>2023</v>
      </c>
      <c r="M1718" s="2">
        <v>379431</v>
      </c>
      <c r="N1718" s="2">
        <f xml:space="preserve"> (Table1[[#This Row],[Variance (USD)]] / Table1[[#This Row],[Actual Spending (USD)]]) * 100</f>
        <v>67.872615976845779</v>
      </c>
      <c r="O1718" s="5" t="s">
        <v>3897</v>
      </c>
    </row>
    <row r="1719" spans="1:15" x14ac:dyDescent="0.25">
      <c r="A1719" s="4" t="s">
        <v>1732</v>
      </c>
      <c r="B1719" s="2" t="s">
        <v>3065</v>
      </c>
      <c r="C1719" s="2" t="s">
        <v>3871</v>
      </c>
      <c r="D1719" s="2" t="s">
        <v>3883</v>
      </c>
      <c r="E1719" s="3">
        <v>45427</v>
      </c>
      <c r="F1719" s="3">
        <v>45934</v>
      </c>
      <c r="G1719" s="2" t="s">
        <v>3886</v>
      </c>
      <c r="H1719" s="2">
        <v>126693</v>
      </c>
      <c r="I1719" s="2">
        <v>678053</v>
      </c>
      <c r="J1719" s="2" t="s">
        <v>3888</v>
      </c>
      <c r="K1719" s="2" t="s">
        <v>3896</v>
      </c>
      <c r="L1719" s="2">
        <v>2025</v>
      </c>
      <c r="M1719" s="2">
        <v>-551360</v>
      </c>
      <c r="N1719" s="2">
        <f xml:space="preserve"> (Table1[[#This Row],[Variance (USD)]] / Table1[[#This Row],[Actual Spending (USD)]]) * 100</f>
        <v>-81.315177427133278</v>
      </c>
      <c r="O1719" s="5" t="s">
        <v>3899</v>
      </c>
    </row>
    <row r="1720" spans="1:15" x14ac:dyDescent="0.25">
      <c r="A1720" s="4" t="s">
        <v>1733</v>
      </c>
      <c r="B1720" s="2" t="s">
        <v>3741</v>
      </c>
      <c r="C1720" s="2" t="s">
        <v>3874</v>
      </c>
      <c r="D1720" s="2" t="s">
        <v>3880</v>
      </c>
      <c r="E1720" s="3">
        <v>45621</v>
      </c>
      <c r="F1720" s="3">
        <v>45707</v>
      </c>
      <c r="G1720" s="2" t="s">
        <v>3886</v>
      </c>
      <c r="H1720" s="2">
        <v>958860</v>
      </c>
      <c r="I1720" s="2">
        <v>436433</v>
      </c>
      <c r="J1720" s="2" t="s">
        <v>3891</v>
      </c>
      <c r="K1720" s="2" t="s">
        <v>3896</v>
      </c>
      <c r="L1720" s="2">
        <v>2023</v>
      </c>
      <c r="M1720" s="2">
        <v>522427</v>
      </c>
      <c r="N1720" s="2">
        <f xml:space="preserve"> (Table1[[#This Row],[Variance (USD)]] / Table1[[#This Row],[Actual Spending (USD)]]) * 100</f>
        <v>119.703826245953</v>
      </c>
      <c r="O1720" s="5" t="s">
        <v>3899</v>
      </c>
    </row>
    <row r="1721" spans="1:15" x14ac:dyDescent="0.25">
      <c r="A1721" s="4" t="s">
        <v>1734</v>
      </c>
      <c r="B1721" s="2" t="s">
        <v>3460</v>
      </c>
      <c r="C1721" s="2" t="s">
        <v>3873</v>
      </c>
      <c r="D1721" s="2" t="s">
        <v>3879</v>
      </c>
      <c r="E1721" s="3">
        <v>45177</v>
      </c>
      <c r="F1721" s="3">
        <v>45439</v>
      </c>
      <c r="G1721" s="2" t="s">
        <v>3884</v>
      </c>
      <c r="H1721" s="2">
        <v>593863</v>
      </c>
      <c r="I1721" s="2">
        <v>355328</v>
      </c>
      <c r="J1721" s="2" t="s">
        <v>3891</v>
      </c>
      <c r="K1721" s="2" t="s">
        <v>3894</v>
      </c>
      <c r="L1721" s="2">
        <v>2025</v>
      </c>
      <c r="M1721" s="2">
        <v>238535</v>
      </c>
      <c r="N1721" s="2">
        <f xml:space="preserve"> (Table1[[#This Row],[Variance (USD)]] / Table1[[#This Row],[Actual Spending (USD)]]) * 100</f>
        <v>67.130932546829968</v>
      </c>
      <c r="O1721" s="5" t="s">
        <v>3897</v>
      </c>
    </row>
    <row r="1722" spans="1:15" x14ac:dyDescent="0.25">
      <c r="A1722" s="4" t="s">
        <v>1735</v>
      </c>
      <c r="B1722" s="2" t="s">
        <v>3767</v>
      </c>
      <c r="C1722" s="2" t="s">
        <v>3872</v>
      </c>
      <c r="D1722" s="2" t="s">
        <v>3876</v>
      </c>
      <c r="E1722" s="3">
        <v>45447</v>
      </c>
      <c r="F1722" s="3">
        <v>45320</v>
      </c>
      <c r="G1722" s="2" t="s">
        <v>3884</v>
      </c>
      <c r="H1722" s="2">
        <v>764300</v>
      </c>
      <c r="I1722" s="2">
        <v>118898</v>
      </c>
      <c r="J1722" s="2" t="s">
        <v>3891</v>
      </c>
      <c r="K1722" s="2" t="s">
        <v>3895</v>
      </c>
      <c r="L1722" s="2">
        <v>2023</v>
      </c>
      <c r="M1722" s="2">
        <v>645402</v>
      </c>
      <c r="N1722" s="2">
        <f xml:space="preserve"> (Table1[[#This Row],[Variance (USD)]] / Table1[[#This Row],[Actual Spending (USD)]]) * 100</f>
        <v>542.81989604534976</v>
      </c>
      <c r="O1722" s="5" t="s">
        <v>3897</v>
      </c>
    </row>
    <row r="1723" spans="1:15" x14ac:dyDescent="0.25">
      <c r="A1723" s="4" t="s">
        <v>1736</v>
      </c>
      <c r="B1723" s="2" t="s">
        <v>3325</v>
      </c>
      <c r="C1723" s="2" t="s">
        <v>3873</v>
      </c>
      <c r="D1723" s="2" t="s">
        <v>3878</v>
      </c>
      <c r="E1723" s="3">
        <v>45005</v>
      </c>
      <c r="F1723" s="3">
        <v>45652</v>
      </c>
      <c r="G1723" s="2" t="s">
        <v>3884</v>
      </c>
      <c r="H1723" s="2">
        <v>352388</v>
      </c>
      <c r="I1723" s="2">
        <v>858267</v>
      </c>
      <c r="J1723" s="2" t="s">
        <v>3892</v>
      </c>
      <c r="K1723" s="2" t="s">
        <v>3896</v>
      </c>
      <c r="L1723" s="2">
        <v>2023</v>
      </c>
      <c r="M1723" s="2">
        <v>-505879</v>
      </c>
      <c r="N1723" s="2">
        <f xml:space="preserve"> (Table1[[#This Row],[Variance (USD)]] / Table1[[#This Row],[Actual Spending (USD)]]) * 100</f>
        <v>-58.941914346001887</v>
      </c>
      <c r="O1723" s="5" t="s">
        <v>3897</v>
      </c>
    </row>
    <row r="1724" spans="1:15" x14ac:dyDescent="0.25">
      <c r="A1724" s="4" t="s">
        <v>1737</v>
      </c>
      <c r="B1724" s="2" t="s">
        <v>3768</v>
      </c>
      <c r="C1724" s="2" t="s">
        <v>3871</v>
      </c>
      <c r="D1724" s="2" t="s">
        <v>3877</v>
      </c>
      <c r="E1724" s="3">
        <v>44978</v>
      </c>
      <c r="F1724" s="3">
        <v>45599</v>
      </c>
      <c r="G1724" s="2" t="s">
        <v>3887</v>
      </c>
      <c r="H1724" s="2">
        <v>526697</v>
      </c>
      <c r="I1724" s="2">
        <v>825565</v>
      </c>
      <c r="J1724" s="2" t="s">
        <v>3891</v>
      </c>
      <c r="K1724" s="2" t="s">
        <v>3894</v>
      </c>
      <c r="L1724" s="2">
        <v>2024</v>
      </c>
      <c r="M1724" s="2">
        <v>-298868</v>
      </c>
      <c r="N1724" s="2">
        <f xml:space="preserve"> (Table1[[#This Row],[Variance (USD)]] / Table1[[#This Row],[Actual Spending (USD)]]) * 100</f>
        <v>-36.201631609867178</v>
      </c>
      <c r="O1724" s="5" t="s">
        <v>3900</v>
      </c>
    </row>
    <row r="1725" spans="1:15" x14ac:dyDescent="0.25">
      <c r="A1725" s="4" t="s">
        <v>1738</v>
      </c>
      <c r="B1725" s="2" t="s">
        <v>3152</v>
      </c>
      <c r="C1725" s="2" t="s">
        <v>3872</v>
      </c>
      <c r="D1725" s="2" t="s">
        <v>3877</v>
      </c>
      <c r="E1725" s="3">
        <v>45152</v>
      </c>
      <c r="F1725" s="3">
        <v>45453</v>
      </c>
      <c r="G1725" s="2" t="s">
        <v>3884</v>
      </c>
      <c r="H1725" s="2">
        <v>327106</v>
      </c>
      <c r="I1725" s="2">
        <v>952908</v>
      </c>
      <c r="J1725" s="2" t="s">
        <v>3891</v>
      </c>
      <c r="K1725" s="2" t="s">
        <v>3895</v>
      </c>
      <c r="L1725" s="2">
        <v>2024</v>
      </c>
      <c r="M1725" s="2">
        <v>-625802</v>
      </c>
      <c r="N1725" s="2">
        <f xml:space="preserve"> (Table1[[#This Row],[Variance (USD)]] / Table1[[#This Row],[Actual Spending (USD)]]) * 100</f>
        <v>-65.672866635603853</v>
      </c>
      <c r="O1725" s="5" t="s">
        <v>3897</v>
      </c>
    </row>
    <row r="1726" spans="1:15" x14ac:dyDescent="0.25">
      <c r="A1726" s="4" t="s">
        <v>1739</v>
      </c>
      <c r="B1726" s="2" t="s">
        <v>3427</v>
      </c>
      <c r="C1726" s="2" t="s">
        <v>3871</v>
      </c>
      <c r="D1726" s="2" t="s">
        <v>3879</v>
      </c>
      <c r="E1726" s="3">
        <v>44977</v>
      </c>
      <c r="F1726" s="3">
        <v>45352</v>
      </c>
      <c r="G1726" s="2" t="s">
        <v>3886</v>
      </c>
      <c r="H1726" s="2">
        <v>281898</v>
      </c>
      <c r="I1726" s="2">
        <v>194411</v>
      </c>
      <c r="J1726" s="2" t="s">
        <v>3888</v>
      </c>
      <c r="K1726" s="2" t="s">
        <v>3893</v>
      </c>
      <c r="L1726" s="2">
        <v>2023</v>
      </c>
      <c r="M1726" s="2">
        <v>87487</v>
      </c>
      <c r="N1726" s="2">
        <f xml:space="preserve"> (Table1[[#This Row],[Variance (USD)]] / Table1[[#This Row],[Actual Spending (USD)]]) * 100</f>
        <v>45.001054467082625</v>
      </c>
      <c r="O1726" s="5" t="s">
        <v>3899</v>
      </c>
    </row>
    <row r="1727" spans="1:15" x14ac:dyDescent="0.25">
      <c r="A1727" s="4" t="s">
        <v>1740</v>
      </c>
      <c r="B1727" s="2" t="s">
        <v>3567</v>
      </c>
      <c r="C1727" s="2" t="s">
        <v>3869</v>
      </c>
      <c r="D1727" s="2" t="s">
        <v>3882</v>
      </c>
      <c r="E1727" s="3">
        <v>45112</v>
      </c>
      <c r="F1727" s="3">
        <v>45416</v>
      </c>
      <c r="G1727" s="2" t="s">
        <v>3886</v>
      </c>
      <c r="H1727" s="2">
        <v>830839</v>
      </c>
      <c r="I1727" s="2">
        <v>759692</v>
      </c>
      <c r="J1727" s="2" t="s">
        <v>3890</v>
      </c>
      <c r="K1727" s="2" t="s">
        <v>3895</v>
      </c>
      <c r="L1727" s="2">
        <v>2023</v>
      </c>
      <c r="M1727" s="2">
        <v>71147</v>
      </c>
      <c r="N1727" s="2">
        <f xml:space="preserve"> (Table1[[#This Row],[Variance (USD)]] / Table1[[#This Row],[Actual Spending (USD)]]) * 100</f>
        <v>9.3652427562749114</v>
      </c>
      <c r="O1727" s="5" t="s">
        <v>3899</v>
      </c>
    </row>
    <row r="1728" spans="1:15" x14ac:dyDescent="0.25">
      <c r="A1728" s="4" t="s">
        <v>1741</v>
      </c>
      <c r="B1728" s="2" t="s">
        <v>3468</v>
      </c>
      <c r="C1728" s="2" t="s">
        <v>3874</v>
      </c>
      <c r="D1728" s="2" t="s">
        <v>3878</v>
      </c>
      <c r="E1728" s="3">
        <v>44960</v>
      </c>
      <c r="F1728" s="3">
        <v>45747</v>
      </c>
      <c r="G1728" s="2" t="s">
        <v>3884</v>
      </c>
      <c r="H1728" s="2">
        <v>412839</v>
      </c>
      <c r="I1728" s="2">
        <v>247972</v>
      </c>
      <c r="J1728" s="2" t="s">
        <v>3889</v>
      </c>
      <c r="K1728" s="2" t="s">
        <v>3895</v>
      </c>
      <c r="L1728" s="2">
        <v>2024</v>
      </c>
      <c r="M1728" s="2">
        <v>164867</v>
      </c>
      <c r="N1728" s="2">
        <f xml:space="preserve"> (Table1[[#This Row],[Variance (USD)]] / Table1[[#This Row],[Actual Spending (USD)]]) * 100</f>
        <v>66.486135531430961</v>
      </c>
      <c r="O1728" s="5" t="s">
        <v>3897</v>
      </c>
    </row>
    <row r="1729" spans="1:15" x14ac:dyDescent="0.25">
      <c r="A1729" s="4" t="s">
        <v>1742</v>
      </c>
      <c r="B1729" s="2" t="s">
        <v>3625</v>
      </c>
      <c r="C1729" s="2" t="s">
        <v>3870</v>
      </c>
      <c r="D1729" s="2" t="s">
        <v>3882</v>
      </c>
      <c r="E1729" s="3">
        <v>45057</v>
      </c>
      <c r="F1729" s="3">
        <v>45362</v>
      </c>
      <c r="G1729" s="2" t="s">
        <v>3886</v>
      </c>
      <c r="H1729" s="2">
        <v>822723</v>
      </c>
      <c r="I1729" s="2">
        <v>157240</v>
      </c>
      <c r="J1729" s="2" t="s">
        <v>3888</v>
      </c>
      <c r="K1729" s="2" t="s">
        <v>3894</v>
      </c>
      <c r="L1729" s="2">
        <v>2025</v>
      </c>
      <c r="M1729" s="2">
        <v>665483</v>
      </c>
      <c r="N1729" s="2">
        <f xml:space="preserve"> (Table1[[#This Row],[Variance (USD)]] / Table1[[#This Row],[Actual Spending (USD)]]) * 100</f>
        <v>423.22755024166884</v>
      </c>
      <c r="O1729" s="5" t="s">
        <v>3899</v>
      </c>
    </row>
    <row r="1730" spans="1:15" x14ac:dyDescent="0.25">
      <c r="A1730" s="4" t="s">
        <v>1743</v>
      </c>
      <c r="B1730" s="2" t="s">
        <v>3769</v>
      </c>
      <c r="C1730" s="2" t="s">
        <v>3872</v>
      </c>
      <c r="D1730" s="2" t="s">
        <v>3878</v>
      </c>
      <c r="E1730" s="3">
        <v>45558</v>
      </c>
      <c r="F1730" s="3">
        <v>45757</v>
      </c>
      <c r="G1730" s="2" t="s">
        <v>3885</v>
      </c>
      <c r="H1730" s="2">
        <v>297943</v>
      </c>
      <c r="I1730" s="2">
        <v>293380</v>
      </c>
      <c r="J1730" s="2" t="s">
        <v>3888</v>
      </c>
      <c r="K1730" s="2" t="s">
        <v>3895</v>
      </c>
      <c r="L1730" s="2">
        <v>2024</v>
      </c>
      <c r="M1730" s="2">
        <v>4563</v>
      </c>
      <c r="N1730" s="2">
        <f xml:space="preserve"> (Table1[[#This Row],[Variance (USD)]] / Table1[[#This Row],[Actual Spending (USD)]]) * 100</f>
        <v>1.5553207444270229</v>
      </c>
      <c r="O1730" s="5" t="s">
        <v>3898</v>
      </c>
    </row>
    <row r="1731" spans="1:15" x14ac:dyDescent="0.25">
      <c r="A1731" s="4" t="s">
        <v>1744</v>
      </c>
      <c r="B1731" s="2" t="s">
        <v>3115</v>
      </c>
      <c r="C1731" s="2" t="s">
        <v>3872</v>
      </c>
      <c r="D1731" s="2" t="s">
        <v>3879</v>
      </c>
      <c r="E1731" s="3">
        <v>45369</v>
      </c>
      <c r="F1731" s="3">
        <v>45534</v>
      </c>
      <c r="G1731" s="2" t="s">
        <v>3884</v>
      </c>
      <c r="H1731" s="2">
        <v>140388</v>
      </c>
      <c r="I1731" s="2">
        <v>884348</v>
      </c>
      <c r="J1731" s="2" t="s">
        <v>3888</v>
      </c>
      <c r="K1731" s="2" t="s">
        <v>3893</v>
      </c>
      <c r="L1731" s="2">
        <v>2025</v>
      </c>
      <c r="M1731" s="2">
        <v>-743960</v>
      </c>
      <c r="N1731" s="2">
        <f xml:space="preserve"> (Table1[[#This Row],[Variance (USD)]] / Table1[[#This Row],[Actual Spending (USD)]]) * 100</f>
        <v>-84.125253859340447</v>
      </c>
      <c r="O1731" s="5" t="s">
        <v>3897</v>
      </c>
    </row>
    <row r="1732" spans="1:15" x14ac:dyDescent="0.25">
      <c r="A1732" s="4" t="s">
        <v>1745</v>
      </c>
      <c r="B1732" s="2" t="s">
        <v>3335</v>
      </c>
      <c r="C1732" s="2" t="s">
        <v>3870</v>
      </c>
      <c r="D1732" s="2" t="s">
        <v>3878</v>
      </c>
      <c r="E1732" s="3">
        <v>45358</v>
      </c>
      <c r="F1732" s="3">
        <v>45781</v>
      </c>
      <c r="G1732" s="2" t="s">
        <v>3885</v>
      </c>
      <c r="H1732" s="2">
        <v>801580</v>
      </c>
      <c r="I1732" s="2">
        <v>921913</v>
      </c>
      <c r="J1732" s="2" t="s">
        <v>3889</v>
      </c>
      <c r="K1732" s="2" t="s">
        <v>3893</v>
      </c>
      <c r="L1732" s="2">
        <v>2024</v>
      </c>
      <c r="M1732" s="2">
        <v>-120333</v>
      </c>
      <c r="N1732" s="2">
        <f xml:space="preserve"> (Table1[[#This Row],[Variance (USD)]] / Table1[[#This Row],[Actual Spending (USD)]]) * 100</f>
        <v>-13.052533156599374</v>
      </c>
      <c r="O1732" s="5" t="s">
        <v>3898</v>
      </c>
    </row>
    <row r="1733" spans="1:15" x14ac:dyDescent="0.25">
      <c r="A1733" s="4" t="s">
        <v>1746</v>
      </c>
      <c r="B1733" s="2" t="s">
        <v>3276</v>
      </c>
      <c r="C1733" s="2" t="s">
        <v>3871</v>
      </c>
      <c r="D1733" s="2" t="s">
        <v>3876</v>
      </c>
      <c r="E1733" s="3">
        <v>45630</v>
      </c>
      <c r="F1733" s="3">
        <v>45512</v>
      </c>
      <c r="G1733" s="2" t="s">
        <v>3884</v>
      </c>
      <c r="H1733" s="2">
        <v>127332</v>
      </c>
      <c r="I1733" s="2">
        <v>158357</v>
      </c>
      <c r="J1733" s="2" t="s">
        <v>3888</v>
      </c>
      <c r="K1733" s="2" t="s">
        <v>3896</v>
      </c>
      <c r="L1733" s="2">
        <v>2024</v>
      </c>
      <c r="M1733" s="2">
        <v>-31025</v>
      </c>
      <c r="N1733" s="2">
        <f xml:space="preserve"> (Table1[[#This Row],[Variance (USD)]] / Table1[[#This Row],[Actual Spending (USD)]]) * 100</f>
        <v>-19.591808382326008</v>
      </c>
      <c r="O1733" s="5" t="s">
        <v>3897</v>
      </c>
    </row>
    <row r="1734" spans="1:15" x14ac:dyDescent="0.25">
      <c r="A1734" s="4" t="s">
        <v>1747</v>
      </c>
      <c r="B1734" s="2" t="s">
        <v>3123</v>
      </c>
      <c r="C1734" s="2" t="s">
        <v>3869</v>
      </c>
      <c r="D1734" s="2" t="s">
        <v>3882</v>
      </c>
      <c r="E1734" s="3">
        <v>45423</v>
      </c>
      <c r="F1734" s="3">
        <v>45764</v>
      </c>
      <c r="G1734" s="2" t="s">
        <v>3884</v>
      </c>
      <c r="H1734" s="2">
        <v>991954</v>
      </c>
      <c r="I1734" s="2">
        <v>531817</v>
      </c>
      <c r="J1734" s="2" t="s">
        <v>3890</v>
      </c>
      <c r="K1734" s="2" t="s">
        <v>3893</v>
      </c>
      <c r="L1734" s="2">
        <v>2025</v>
      </c>
      <c r="M1734" s="2">
        <v>460137</v>
      </c>
      <c r="N1734" s="2">
        <f xml:space="preserve"> (Table1[[#This Row],[Variance (USD)]] / Table1[[#This Row],[Actual Spending (USD)]]) * 100</f>
        <v>86.521679449885951</v>
      </c>
      <c r="O1734" s="5" t="s">
        <v>3897</v>
      </c>
    </row>
    <row r="1735" spans="1:15" x14ac:dyDescent="0.25">
      <c r="A1735" s="4" t="s">
        <v>1748</v>
      </c>
      <c r="B1735" s="2" t="s">
        <v>3620</v>
      </c>
      <c r="C1735" s="2" t="s">
        <v>3875</v>
      </c>
      <c r="D1735" s="2" t="s">
        <v>3879</v>
      </c>
      <c r="E1735" s="3">
        <v>45329</v>
      </c>
      <c r="F1735" s="3">
        <v>45824</v>
      </c>
      <c r="G1735" s="2" t="s">
        <v>3885</v>
      </c>
      <c r="H1735" s="2">
        <v>758854</v>
      </c>
      <c r="I1735" s="2">
        <v>654109</v>
      </c>
      <c r="J1735" s="2" t="s">
        <v>3891</v>
      </c>
      <c r="K1735" s="2" t="s">
        <v>3896</v>
      </c>
      <c r="L1735" s="2">
        <v>2023</v>
      </c>
      <c r="M1735" s="2">
        <v>104745</v>
      </c>
      <c r="N1735" s="2">
        <f xml:space="preserve"> (Table1[[#This Row],[Variance (USD)]] / Table1[[#This Row],[Actual Spending (USD)]]) * 100</f>
        <v>16.013386148180196</v>
      </c>
      <c r="O1735" s="5" t="s">
        <v>3898</v>
      </c>
    </row>
    <row r="1736" spans="1:15" x14ac:dyDescent="0.25">
      <c r="A1736" s="4" t="s">
        <v>1749</v>
      </c>
      <c r="B1736" s="2" t="s">
        <v>3683</v>
      </c>
      <c r="C1736" s="2" t="s">
        <v>3870</v>
      </c>
      <c r="D1736" s="2" t="s">
        <v>3876</v>
      </c>
      <c r="E1736" s="3">
        <v>45249</v>
      </c>
      <c r="F1736" s="3">
        <v>45785</v>
      </c>
      <c r="G1736" s="2" t="s">
        <v>3885</v>
      </c>
      <c r="H1736" s="2">
        <v>963818</v>
      </c>
      <c r="I1736" s="2">
        <v>762382</v>
      </c>
      <c r="J1736" s="2" t="s">
        <v>3890</v>
      </c>
      <c r="K1736" s="2" t="s">
        <v>3893</v>
      </c>
      <c r="L1736" s="2">
        <v>2024</v>
      </c>
      <c r="M1736" s="2">
        <v>201436</v>
      </c>
      <c r="N1736" s="2">
        <f xml:space="preserve"> (Table1[[#This Row],[Variance (USD)]] / Table1[[#This Row],[Actual Spending (USD)]]) * 100</f>
        <v>26.421924966748954</v>
      </c>
      <c r="O1736" s="5" t="s">
        <v>3898</v>
      </c>
    </row>
    <row r="1737" spans="1:15" x14ac:dyDescent="0.25">
      <c r="A1737" s="4" t="s">
        <v>1750</v>
      </c>
      <c r="B1737" s="2" t="s">
        <v>3503</v>
      </c>
      <c r="C1737" s="2" t="s">
        <v>3874</v>
      </c>
      <c r="D1737" s="2" t="s">
        <v>3878</v>
      </c>
      <c r="E1737" s="3">
        <v>45136</v>
      </c>
      <c r="F1737" s="3">
        <v>45373</v>
      </c>
      <c r="G1737" s="2" t="s">
        <v>3887</v>
      </c>
      <c r="H1737" s="2">
        <v>357181</v>
      </c>
      <c r="I1737" s="2">
        <v>414691</v>
      </c>
      <c r="J1737" s="2" t="s">
        <v>3891</v>
      </c>
      <c r="K1737" s="2" t="s">
        <v>3895</v>
      </c>
      <c r="L1737" s="2">
        <v>2024</v>
      </c>
      <c r="M1737" s="2">
        <v>-57510</v>
      </c>
      <c r="N1737" s="2">
        <f xml:space="preserve"> (Table1[[#This Row],[Variance (USD)]] / Table1[[#This Row],[Actual Spending (USD)]]) * 100</f>
        <v>-13.868157254437641</v>
      </c>
      <c r="O1737" s="5" t="s">
        <v>3900</v>
      </c>
    </row>
    <row r="1738" spans="1:15" x14ac:dyDescent="0.25">
      <c r="A1738" s="4" t="s">
        <v>1751</v>
      </c>
      <c r="B1738" s="2" t="s">
        <v>3496</v>
      </c>
      <c r="C1738" s="2" t="s">
        <v>3873</v>
      </c>
      <c r="D1738" s="2" t="s">
        <v>3879</v>
      </c>
      <c r="E1738" s="3">
        <v>45541</v>
      </c>
      <c r="F1738" s="3">
        <v>45813</v>
      </c>
      <c r="G1738" s="2" t="s">
        <v>3886</v>
      </c>
      <c r="H1738" s="2">
        <v>162666</v>
      </c>
      <c r="I1738" s="2">
        <v>934609</v>
      </c>
      <c r="J1738" s="2" t="s">
        <v>3891</v>
      </c>
      <c r="K1738" s="2" t="s">
        <v>3896</v>
      </c>
      <c r="L1738" s="2">
        <v>2024</v>
      </c>
      <c r="M1738" s="2">
        <v>-771943</v>
      </c>
      <c r="N1738" s="2">
        <f xml:space="preserve"> (Table1[[#This Row],[Variance (USD)]] / Table1[[#This Row],[Actual Spending (USD)]]) * 100</f>
        <v>-82.595288511024407</v>
      </c>
      <c r="O1738" s="5" t="s">
        <v>3899</v>
      </c>
    </row>
    <row r="1739" spans="1:15" x14ac:dyDescent="0.25">
      <c r="A1739" s="4" t="s">
        <v>1752</v>
      </c>
      <c r="B1739" s="2" t="s">
        <v>3363</v>
      </c>
      <c r="C1739" s="2" t="s">
        <v>3871</v>
      </c>
      <c r="D1739" s="2" t="s">
        <v>3878</v>
      </c>
      <c r="E1739" s="3">
        <v>45255</v>
      </c>
      <c r="F1739" s="3">
        <v>45303</v>
      </c>
      <c r="G1739" s="2" t="s">
        <v>3885</v>
      </c>
      <c r="H1739" s="2">
        <v>701336</v>
      </c>
      <c r="I1739" s="2">
        <v>1008793</v>
      </c>
      <c r="J1739" s="2" t="s">
        <v>3888</v>
      </c>
      <c r="K1739" s="2" t="s">
        <v>3893</v>
      </c>
      <c r="L1739" s="2">
        <v>2023</v>
      </c>
      <c r="M1739" s="2">
        <v>-307457</v>
      </c>
      <c r="N1739" s="2">
        <f xml:space="preserve"> (Table1[[#This Row],[Variance (USD)]] / Table1[[#This Row],[Actual Spending (USD)]]) * 100</f>
        <v>-30.477709500363304</v>
      </c>
      <c r="O1739" s="5" t="s">
        <v>3898</v>
      </c>
    </row>
    <row r="1740" spans="1:15" x14ac:dyDescent="0.25">
      <c r="A1740" s="4" t="s">
        <v>1753</v>
      </c>
      <c r="B1740" s="2" t="s">
        <v>3718</v>
      </c>
      <c r="C1740" s="2" t="s">
        <v>3870</v>
      </c>
      <c r="D1740" s="2" t="s">
        <v>3882</v>
      </c>
      <c r="E1740" s="3">
        <v>45298</v>
      </c>
      <c r="F1740" s="3">
        <v>45554</v>
      </c>
      <c r="G1740" s="2" t="s">
        <v>3885</v>
      </c>
      <c r="H1740" s="2">
        <v>836360</v>
      </c>
      <c r="I1740" s="2">
        <v>198482</v>
      </c>
      <c r="J1740" s="2" t="s">
        <v>3888</v>
      </c>
      <c r="K1740" s="2" t="s">
        <v>3895</v>
      </c>
      <c r="L1740" s="2">
        <v>2024</v>
      </c>
      <c r="M1740" s="2">
        <v>637878</v>
      </c>
      <c r="N1740" s="2">
        <f xml:space="preserve"> (Table1[[#This Row],[Variance (USD)]] / Table1[[#This Row],[Actual Spending (USD)]]) * 100</f>
        <v>321.37826100099755</v>
      </c>
      <c r="O1740" s="5" t="s">
        <v>3898</v>
      </c>
    </row>
    <row r="1741" spans="1:15" x14ac:dyDescent="0.25">
      <c r="A1741" s="4" t="s">
        <v>1754</v>
      </c>
      <c r="B1741" s="2" t="s">
        <v>3034</v>
      </c>
      <c r="C1741" s="2" t="s">
        <v>3870</v>
      </c>
      <c r="D1741" s="2" t="s">
        <v>3879</v>
      </c>
      <c r="E1741" s="3">
        <v>45386</v>
      </c>
      <c r="F1741" s="3">
        <v>45948</v>
      </c>
      <c r="G1741" s="2" t="s">
        <v>3885</v>
      </c>
      <c r="H1741" s="2">
        <v>395184</v>
      </c>
      <c r="I1741" s="2">
        <v>383126</v>
      </c>
      <c r="J1741" s="2" t="s">
        <v>3889</v>
      </c>
      <c r="K1741" s="2" t="s">
        <v>3895</v>
      </c>
      <c r="L1741" s="2">
        <v>2023</v>
      </c>
      <c r="M1741" s="2">
        <v>12058</v>
      </c>
      <c r="N1741" s="2">
        <f xml:space="preserve"> (Table1[[#This Row],[Variance (USD)]] / Table1[[#This Row],[Actual Spending (USD)]]) * 100</f>
        <v>3.1472674785840691</v>
      </c>
      <c r="O1741" s="5" t="s">
        <v>3898</v>
      </c>
    </row>
    <row r="1742" spans="1:15" x14ac:dyDescent="0.25">
      <c r="A1742" s="4" t="s">
        <v>1755</v>
      </c>
      <c r="B1742" s="2" t="s">
        <v>3770</v>
      </c>
      <c r="C1742" s="2" t="s">
        <v>3872</v>
      </c>
      <c r="D1742" s="2" t="s">
        <v>3878</v>
      </c>
      <c r="E1742" s="3">
        <v>45059</v>
      </c>
      <c r="F1742" s="3">
        <v>45740</v>
      </c>
      <c r="G1742" s="2" t="s">
        <v>3886</v>
      </c>
      <c r="H1742" s="2">
        <v>685552</v>
      </c>
      <c r="I1742" s="2">
        <v>474518</v>
      </c>
      <c r="J1742" s="2" t="s">
        <v>3892</v>
      </c>
      <c r="K1742" s="2" t="s">
        <v>3896</v>
      </c>
      <c r="L1742" s="2">
        <v>2024</v>
      </c>
      <c r="M1742" s="2">
        <v>211034</v>
      </c>
      <c r="N1742" s="2">
        <f xml:space="preserve"> (Table1[[#This Row],[Variance (USD)]] / Table1[[#This Row],[Actual Spending (USD)]]) * 100</f>
        <v>44.47333926215655</v>
      </c>
      <c r="O1742" s="5" t="s">
        <v>3899</v>
      </c>
    </row>
    <row r="1743" spans="1:15" x14ac:dyDescent="0.25">
      <c r="A1743" s="4" t="s">
        <v>1756</v>
      </c>
      <c r="B1743" s="2" t="s">
        <v>3548</v>
      </c>
      <c r="C1743" s="2" t="s">
        <v>3873</v>
      </c>
      <c r="D1743" s="2" t="s">
        <v>3882</v>
      </c>
      <c r="E1743" s="3">
        <v>45577</v>
      </c>
      <c r="F1743" s="3">
        <v>45483</v>
      </c>
      <c r="G1743" s="2" t="s">
        <v>3884</v>
      </c>
      <c r="H1743" s="2">
        <v>735401</v>
      </c>
      <c r="I1743" s="2">
        <v>444919</v>
      </c>
      <c r="J1743" s="2" t="s">
        <v>3890</v>
      </c>
      <c r="K1743" s="2" t="s">
        <v>3894</v>
      </c>
      <c r="L1743" s="2">
        <v>2025</v>
      </c>
      <c r="M1743" s="2">
        <v>290482</v>
      </c>
      <c r="N1743" s="2">
        <f xml:space="preserve"> (Table1[[#This Row],[Variance (USD)]] / Table1[[#This Row],[Actual Spending (USD)]]) * 100</f>
        <v>65.288737950053829</v>
      </c>
      <c r="O1743" s="5" t="s">
        <v>3897</v>
      </c>
    </row>
    <row r="1744" spans="1:15" x14ac:dyDescent="0.25">
      <c r="A1744" s="4" t="s">
        <v>1757</v>
      </c>
      <c r="B1744" s="2" t="s">
        <v>3771</v>
      </c>
      <c r="C1744" s="2" t="s">
        <v>3873</v>
      </c>
      <c r="D1744" s="2" t="s">
        <v>3876</v>
      </c>
      <c r="E1744" s="3">
        <v>45047</v>
      </c>
      <c r="F1744" s="3">
        <v>45405</v>
      </c>
      <c r="G1744" s="2" t="s">
        <v>3885</v>
      </c>
      <c r="H1744" s="2">
        <v>847147</v>
      </c>
      <c r="I1744" s="2">
        <v>860623</v>
      </c>
      <c r="J1744" s="2" t="s">
        <v>3889</v>
      </c>
      <c r="K1744" s="2" t="s">
        <v>3895</v>
      </c>
      <c r="L1744" s="2">
        <v>2024</v>
      </c>
      <c r="M1744" s="2">
        <v>-13476</v>
      </c>
      <c r="N1744" s="2">
        <f xml:space="preserve"> (Table1[[#This Row],[Variance (USD)]] / Table1[[#This Row],[Actual Spending (USD)]]) * 100</f>
        <v>-1.5658424188059115</v>
      </c>
      <c r="O1744" s="5" t="s">
        <v>3898</v>
      </c>
    </row>
    <row r="1745" spans="1:15" x14ac:dyDescent="0.25">
      <c r="A1745" s="4" t="s">
        <v>1758</v>
      </c>
      <c r="B1745" s="2" t="s">
        <v>3336</v>
      </c>
      <c r="C1745" s="2" t="s">
        <v>3874</v>
      </c>
      <c r="D1745" s="2" t="s">
        <v>3881</v>
      </c>
      <c r="E1745" s="3">
        <v>45532</v>
      </c>
      <c r="F1745" s="3">
        <v>45317</v>
      </c>
      <c r="G1745" s="2" t="s">
        <v>3884</v>
      </c>
      <c r="H1745" s="2">
        <v>465019</v>
      </c>
      <c r="I1745" s="2">
        <v>279526</v>
      </c>
      <c r="J1745" s="2" t="s">
        <v>3889</v>
      </c>
      <c r="K1745" s="2" t="s">
        <v>3895</v>
      </c>
      <c r="L1745" s="2">
        <v>2024</v>
      </c>
      <c r="M1745" s="2">
        <v>185493</v>
      </c>
      <c r="N1745" s="2">
        <f xml:space="preserve"> (Table1[[#This Row],[Variance (USD)]] / Table1[[#This Row],[Actual Spending (USD)]]) * 100</f>
        <v>66.35983772529211</v>
      </c>
      <c r="O1745" s="5" t="s">
        <v>3897</v>
      </c>
    </row>
    <row r="1746" spans="1:15" x14ac:dyDescent="0.25">
      <c r="A1746" s="4" t="s">
        <v>1759</v>
      </c>
      <c r="B1746" s="2" t="s">
        <v>3428</v>
      </c>
      <c r="C1746" s="2" t="s">
        <v>3873</v>
      </c>
      <c r="D1746" s="2" t="s">
        <v>3876</v>
      </c>
      <c r="E1746" s="3">
        <v>45378</v>
      </c>
      <c r="F1746" s="3">
        <v>45790</v>
      </c>
      <c r="G1746" s="2" t="s">
        <v>3884</v>
      </c>
      <c r="H1746" s="2">
        <v>512122</v>
      </c>
      <c r="I1746" s="2">
        <v>346256</v>
      </c>
      <c r="J1746" s="2" t="s">
        <v>3890</v>
      </c>
      <c r="K1746" s="2" t="s">
        <v>3894</v>
      </c>
      <c r="L1746" s="2">
        <v>2023</v>
      </c>
      <c r="M1746" s="2">
        <v>165866</v>
      </c>
      <c r="N1746" s="2">
        <f xml:space="preserve"> (Table1[[#This Row],[Variance (USD)]] / Table1[[#This Row],[Actual Spending (USD)]]) * 100</f>
        <v>47.902707823113531</v>
      </c>
      <c r="O1746" s="5" t="s">
        <v>3897</v>
      </c>
    </row>
    <row r="1747" spans="1:15" x14ac:dyDescent="0.25">
      <c r="A1747" s="4" t="s">
        <v>1760</v>
      </c>
      <c r="B1747" s="2" t="s">
        <v>3692</v>
      </c>
      <c r="C1747" s="2" t="s">
        <v>3870</v>
      </c>
      <c r="D1747" s="2" t="s">
        <v>3878</v>
      </c>
      <c r="E1747" s="3">
        <v>45055</v>
      </c>
      <c r="F1747" s="3">
        <v>45799</v>
      </c>
      <c r="G1747" s="2" t="s">
        <v>3884</v>
      </c>
      <c r="H1747" s="2">
        <v>898158</v>
      </c>
      <c r="I1747" s="2">
        <v>41399</v>
      </c>
      <c r="J1747" s="2" t="s">
        <v>3890</v>
      </c>
      <c r="K1747" s="2" t="s">
        <v>3896</v>
      </c>
      <c r="L1747" s="2">
        <v>2023</v>
      </c>
      <c r="M1747" s="2">
        <v>856759</v>
      </c>
      <c r="N1747" s="2">
        <f xml:space="preserve"> (Table1[[#This Row],[Variance (USD)]] / Table1[[#This Row],[Actual Spending (USD)]]) * 100</f>
        <v>2069.5161718882096</v>
      </c>
      <c r="O1747" s="5" t="s">
        <v>3897</v>
      </c>
    </row>
    <row r="1748" spans="1:15" x14ac:dyDescent="0.25">
      <c r="A1748" s="4" t="s">
        <v>1761</v>
      </c>
      <c r="B1748" s="2" t="s">
        <v>3772</v>
      </c>
      <c r="C1748" s="2" t="s">
        <v>3875</v>
      </c>
      <c r="D1748" s="2" t="s">
        <v>3879</v>
      </c>
      <c r="E1748" s="3">
        <v>45017</v>
      </c>
      <c r="F1748" s="3">
        <v>45836</v>
      </c>
      <c r="G1748" s="2" t="s">
        <v>3886</v>
      </c>
      <c r="H1748" s="2">
        <v>445124</v>
      </c>
      <c r="I1748" s="2">
        <v>920797</v>
      </c>
      <c r="J1748" s="2" t="s">
        <v>3891</v>
      </c>
      <c r="K1748" s="2" t="s">
        <v>3893</v>
      </c>
      <c r="L1748" s="2">
        <v>2023</v>
      </c>
      <c r="M1748" s="2">
        <v>-475673</v>
      </c>
      <c r="N1748" s="2">
        <f xml:space="preserve"> (Table1[[#This Row],[Variance (USD)]] / Table1[[#This Row],[Actual Spending (USD)]]) * 100</f>
        <v>-51.658834683431856</v>
      </c>
      <c r="O1748" s="5" t="s">
        <v>3899</v>
      </c>
    </row>
    <row r="1749" spans="1:15" x14ac:dyDescent="0.25">
      <c r="A1749" s="4" t="s">
        <v>1762</v>
      </c>
      <c r="B1749" s="2" t="s">
        <v>3773</v>
      </c>
      <c r="C1749" s="2" t="s">
        <v>3868</v>
      </c>
      <c r="D1749" s="2" t="s">
        <v>3877</v>
      </c>
      <c r="E1749" s="3">
        <v>45530</v>
      </c>
      <c r="F1749" s="3">
        <v>45353</v>
      </c>
      <c r="G1749" s="2" t="s">
        <v>3884</v>
      </c>
      <c r="H1749" s="2">
        <v>954640</v>
      </c>
      <c r="I1749" s="2">
        <v>42685</v>
      </c>
      <c r="J1749" s="2" t="s">
        <v>3892</v>
      </c>
      <c r="K1749" s="2" t="s">
        <v>3893</v>
      </c>
      <c r="L1749" s="2">
        <v>2025</v>
      </c>
      <c r="M1749" s="2">
        <v>911955</v>
      </c>
      <c r="N1749" s="2">
        <f xml:space="preserve"> (Table1[[#This Row],[Variance (USD)]] / Table1[[#This Row],[Actual Spending (USD)]]) * 100</f>
        <v>2136.4765139978913</v>
      </c>
      <c r="O1749" s="5" t="s">
        <v>3897</v>
      </c>
    </row>
    <row r="1750" spans="1:15" x14ac:dyDescent="0.25">
      <c r="A1750" s="4" t="s">
        <v>1763</v>
      </c>
      <c r="B1750" s="2" t="s">
        <v>3624</v>
      </c>
      <c r="C1750" s="2" t="s">
        <v>3871</v>
      </c>
      <c r="D1750" s="2" t="s">
        <v>3876</v>
      </c>
      <c r="E1750" s="3">
        <v>45501</v>
      </c>
      <c r="F1750" s="3">
        <v>45520</v>
      </c>
      <c r="G1750" s="2" t="s">
        <v>3884</v>
      </c>
      <c r="H1750" s="2">
        <v>218147</v>
      </c>
      <c r="I1750" s="2">
        <v>379921</v>
      </c>
      <c r="J1750" s="2" t="s">
        <v>3888</v>
      </c>
      <c r="K1750" s="2" t="s">
        <v>3895</v>
      </c>
      <c r="L1750" s="2">
        <v>2025</v>
      </c>
      <c r="M1750" s="2">
        <v>-161774</v>
      </c>
      <c r="N1750" s="2">
        <f xml:space="preserve"> (Table1[[#This Row],[Variance (USD)]] / Table1[[#This Row],[Actual Spending (USD)]]) * 100</f>
        <v>-42.580957620136815</v>
      </c>
      <c r="O1750" s="5" t="s">
        <v>3897</v>
      </c>
    </row>
    <row r="1751" spans="1:15" x14ac:dyDescent="0.25">
      <c r="A1751" s="4" t="s">
        <v>1764</v>
      </c>
      <c r="B1751" s="2" t="s">
        <v>3774</v>
      </c>
      <c r="C1751" s="2" t="s">
        <v>3868</v>
      </c>
      <c r="D1751" s="2" t="s">
        <v>3876</v>
      </c>
      <c r="E1751" s="3">
        <v>44955</v>
      </c>
      <c r="F1751" s="3">
        <v>45898</v>
      </c>
      <c r="G1751" s="2" t="s">
        <v>3885</v>
      </c>
      <c r="H1751" s="2">
        <v>245659</v>
      </c>
      <c r="I1751" s="2">
        <v>820919</v>
      </c>
      <c r="J1751" s="2" t="s">
        <v>3892</v>
      </c>
      <c r="K1751" s="2" t="s">
        <v>3894</v>
      </c>
      <c r="L1751" s="2">
        <v>2023</v>
      </c>
      <c r="M1751" s="2">
        <v>-575260</v>
      </c>
      <c r="N1751" s="2">
        <f xml:space="preserve"> (Table1[[#This Row],[Variance (USD)]] / Table1[[#This Row],[Actual Spending (USD)]]) * 100</f>
        <v>-70.075123124205916</v>
      </c>
      <c r="O1751" s="5" t="s">
        <v>3898</v>
      </c>
    </row>
    <row r="1752" spans="1:15" x14ac:dyDescent="0.25">
      <c r="A1752" s="4" t="s">
        <v>1765</v>
      </c>
      <c r="B1752" s="2" t="s">
        <v>3167</v>
      </c>
      <c r="C1752" s="2" t="s">
        <v>3870</v>
      </c>
      <c r="D1752" s="2" t="s">
        <v>3882</v>
      </c>
      <c r="E1752" s="3">
        <v>45648</v>
      </c>
      <c r="F1752" s="3">
        <v>45326</v>
      </c>
      <c r="G1752" s="2" t="s">
        <v>3884</v>
      </c>
      <c r="H1752" s="2">
        <v>365792</v>
      </c>
      <c r="I1752" s="2">
        <v>978329</v>
      </c>
      <c r="J1752" s="2" t="s">
        <v>3892</v>
      </c>
      <c r="K1752" s="2" t="s">
        <v>3895</v>
      </c>
      <c r="L1752" s="2">
        <v>2025</v>
      </c>
      <c r="M1752" s="2">
        <v>-612537</v>
      </c>
      <c r="N1752" s="2">
        <f xml:space="preserve"> (Table1[[#This Row],[Variance (USD)]] / Table1[[#This Row],[Actual Spending (USD)]]) * 100</f>
        <v>-62.610532857556102</v>
      </c>
      <c r="O1752" s="5" t="s">
        <v>3897</v>
      </c>
    </row>
    <row r="1753" spans="1:15" x14ac:dyDescent="0.25">
      <c r="A1753" s="4" t="s">
        <v>1766</v>
      </c>
      <c r="B1753" s="2" t="s">
        <v>3775</v>
      </c>
      <c r="C1753" s="2" t="s">
        <v>3868</v>
      </c>
      <c r="D1753" s="2" t="s">
        <v>3880</v>
      </c>
      <c r="E1753" s="3">
        <v>45450</v>
      </c>
      <c r="F1753" s="3">
        <v>45996</v>
      </c>
      <c r="G1753" s="2" t="s">
        <v>3886</v>
      </c>
      <c r="H1753" s="2">
        <v>595422</v>
      </c>
      <c r="I1753" s="2">
        <v>693110</v>
      </c>
      <c r="J1753" s="2" t="s">
        <v>3888</v>
      </c>
      <c r="K1753" s="2" t="s">
        <v>3896</v>
      </c>
      <c r="L1753" s="2">
        <v>2023</v>
      </c>
      <c r="M1753" s="2">
        <v>-97688</v>
      </c>
      <c r="N1753" s="2">
        <f xml:space="preserve"> (Table1[[#This Row],[Variance (USD)]] / Table1[[#This Row],[Actual Spending (USD)]]) * 100</f>
        <v>-14.094155328879976</v>
      </c>
      <c r="O1753" s="5" t="s">
        <v>3899</v>
      </c>
    </row>
    <row r="1754" spans="1:15" x14ac:dyDescent="0.25">
      <c r="A1754" s="4" t="s">
        <v>1767</v>
      </c>
      <c r="B1754" s="2" t="s">
        <v>3678</v>
      </c>
      <c r="C1754" s="2" t="s">
        <v>3870</v>
      </c>
      <c r="D1754" s="2" t="s">
        <v>3877</v>
      </c>
      <c r="E1754" s="3">
        <v>45259</v>
      </c>
      <c r="F1754" s="3">
        <v>45747</v>
      </c>
      <c r="G1754" s="2" t="s">
        <v>3884</v>
      </c>
      <c r="H1754" s="2">
        <v>820545</v>
      </c>
      <c r="I1754" s="2">
        <v>473445</v>
      </c>
      <c r="J1754" s="2" t="s">
        <v>3892</v>
      </c>
      <c r="K1754" s="2" t="s">
        <v>3895</v>
      </c>
      <c r="L1754" s="2">
        <v>2025</v>
      </c>
      <c r="M1754" s="2">
        <v>347100</v>
      </c>
      <c r="N1754" s="2">
        <f xml:space="preserve"> (Table1[[#This Row],[Variance (USD)]] / Table1[[#This Row],[Actual Spending (USD)]]) * 100</f>
        <v>73.313690080157144</v>
      </c>
      <c r="O1754" s="5" t="s">
        <v>3897</v>
      </c>
    </row>
    <row r="1755" spans="1:15" x14ac:dyDescent="0.25">
      <c r="A1755" s="4" t="s">
        <v>1768</v>
      </c>
      <c r="B1755" s="2" t="s">
        <v>3335</v>
      </c>
      <c r="C1755" s="2" t="s">
        <v>3868</v>
      </c>
      <c r="D1755" s="2" t="s">
        <v>3878</v>
      </c>
      <c r="E1755" s="3">
        <v>45223</v>
      </c>
      <c r="F1755" s="3">
        <v>45879</v>
      </c>
      <c r="G1755" s="2" t="s">
        <v>3884</v>
      </c>
      <c r="H1755" s="2">
        <v>892575</v>
      </c>
      <c r="I1755" s="2">
        <v>637508</v>
      </c>
      <c r="J1755" s="2" t="s">
        <v>3889</v>
      </c>
      <c r="K1755" s="2" t="s">
        <v>3893</v>
      </c>
      <c r="L1755" s="2">
        <v>2023</v>
      </c>
      <c r="M1755" s="2">
        <v>255067</v>
      </c>
      <c r="N1755" s="2">
        <f xml:space="preserve"> (Table1[[#This Row],[Variance (USD)]] / Table1[[#This Row],[Actual Spending (USD)]]) * 100</f>
        <v>40.010007717550209</v>
      </c>
      <c r="O1755" s="5" t="s">
        <v>3897</v>
      </c>
    </row>
    <row r="1756" spans="1:15" x14ac:dyDescent="0.25">
      <c r="A1756" s="4" t="s">
        <v>1769</v>
      </c>
      <c r="B1756" s="2" t="s">
        <v>3552</v>
      </c>
      <c r="C1756" s="2" t="s">
        <v>3873</v>
      </c>
      <c r="D1756" s="2" t="s">
        <v>3881</v>
      </c>
      <c r="E1756" s="3">
        <v>45056</v>
      </c>
      <c r="F1756" s="3">
        <v>45793</v>
      </c>
      <c r="G1756" s="2" t="s">
        <v>3884</v>
      </c>
      <c r="H1756" s="2">
        <v>119123</v>
      </c>
      <c r="I1756" s="2">
        <v>1138191</v>
      </c>
      <c r="J1756" s="2" t="s">
        <v>3889</v>
      </c>
      <c r="K1756" s="2" t="s">
        <v>3894</v>
      </c>
      <c r="L1756" s="2">
        <v>2023</v>
      </c>
      <c r="M1756" s="2">
        <v>-1019068</v>
      </c>
      <c r="N1756" s="2">
        <f xml:space="preserve"> (Table1[[#This Row],[Variance (USD)]] / Table1[[#This Row],[Actual Spending (USD)]]) * 100</f>
        <v>-89.534006155381647</v>
      </c>
      <c r="O1756" s="5" t="s">
        <v>3897</v>
      </c>
    </row>
    <row r="1757" spans="1:15" x14ac:dyDescent="0.25">
      <c r="A1757" s="4" t="s">
        <v>1770</v>
      </c>
      <c r="B1757" s="2" t="s">
        <v>3500</v>
      </c>
      <c r="C1757" s="2" t="s">
        <v>3869</v>
      </c>
      <c r="D1757" s="2" t="s">
        <v>3879</v>
      </c>
      <c r="E1757" s="3">
        <v>45219</v>
      </c>
      <c r="F1757" s="3">
        <v>45886</v>
      </c>
      <c r="G1757" s="2" t="s">
        <v>3886</v>
      </c>
      <c r="H1757" s="2">
        <v>538775</v>
      </c>
      <c r="I1757" s="2">
        <v>676157</v>
      </c>
      <c r="J1757" s="2" t="s">
        <v>3888</v>
      </c>
      <c r="K1757" s="2" t="s">
        <v>3896</v>
      </c>
      <c r="L1757" s="2">
        <v>2025</v>
      </c>
      <c r="M1757" s="2">
        <v>-137382</v>
      </c>
      <c r="N1757" s="2">
        <f xml:space="preserve"> (Table1[[#This Row],[Variance (USD)]] / Table1[[#This Row],[Actual Spending (USD)]]) * 100</f>
        <v>-20.318062225193263</v>
      </c>
      <c r="O1757" s="5" t="s">
        <v>3899</v>
      </c>
    </row>
    <row r="1758" spans="1:15" x14ac:dyDescent="0.25">
      <c r="A1758" s="4" t="s">
        <v>1771</v>
      </c>
      <c r="B1758" s="2" t="s">
        <v>3396</v>
      </c>
      <c r="C1758" s="2" t="s">
        <v>3873</v>
      </c>
      <c r="D1758" s="2" t="s">
        <v>3880</v>
      </c>
      <c r="E1758" s="3">
        <v>45099</v>
      </c>
      <c r="F1758" s="3">
        <v>45316</v>
      </c>
      <c r="G1758" s="2" t="s">
        <v>3884</v>
      </c>
      <c r="H1758" s="2">
        <v>226225</v>
      </c>
      <c r="I1758" s="2">
        <v>966417</v>
      </c>
      <c r="J1758" s="2" t="s">
        <v>3888</v>
      </c>
      <c r="K1758" s="2" t="s">
        <v>3895</v>
      </c>
      <c r="L1758" s="2">
        <v>2024</v>
      </c>
      <c r="M1758" s="2">
        <v>-740192</v>
      </c>
      <c r="N1758" s="2">
        <f xml:space="preserve"> (Table1[[#This Row],[Variance (USD)]] / Table1[[#This Row],[Actual Spending (USD)]]) * 100</f>
        <v>-76.591367908470147</v>
      </c>
      <c r="O1758" s="5" t="s">
        <v>3897</v>
      </c>
    </row>
    <row r="1759" spans="1:15" x14ac:dyDescent="0.25">
      <c r="A1759" s="4" t="s">
        <v>1772</v>
      </c>
      <c r="B1759" s="2" t="s">
        <v>3232</v>
      </c>
      <c r="C1759" s="2" t="s">
        <v>3873</v>
      </c>
      <c r="D1759" s="2" t="s">
        <v>3878</v>
      </c>
      <c r="E1759" s="3">
        <v>45646</v>
      </c>
      <c r="F1759" s="3">
        <v>45860</v>
      </c>
      <c r="G1759" s="2" t="s">
        <v>3885</v>
      </c>
      <c r="H1759" s="2">
        <v>707773</v>
      </c>
      <c r="I1759" s="2">
        <v>917996</v>
      </c>
      <c r="J1759" s="2" t="s">
        <v>3890</v>
      </c>
      <c r="K1759" s="2" t="s">
        <v>3893</v>
      </c>
      <c r="L1759" s="2">
        <v>2023</v>
      </c>
      <c r="M1759" s="2">
        <v>-210223</v>
      </c>
      <c r="N1759" s="2">
        <f xml:space="preserve"> (Table1[[#This Row],[Variance (USD)]] / Table1[[#This Row],[Actual Spending (USD)]]) * 100</f>
        <v>-22.900208715506384</v>
      </c>
      <c r="O1759" s="5" t="s">
        <v>3898</v>
      </c>
    </row>
    <row r="1760" spans="1:15" x14ac:dyDescent="0.25">
      <c r="A1760" s="4" t="s">
        <v>1773</v>
      </c>
      <c r="B1760" s="2" t="s">
        <v>3543</v>
      </c>
      <c r="C1760" s="2" t="s">
        <v>3874</v>
      </c>
      <c r="D1760" s="2" t="s">
        <v>3883</v>
      </c>
      <c r="E1760" s="3">
        <v>44950</v>
      </c>
      <c r="F1760" s="3">
        <v>45323</v>
      </c>
      <c r="G1760" s="2" t="s">
        <v>3884</v>
      </c>
      <c r="H1760" s="2">
        <v>271646</v>
      </c>
      <c r="I1760" s="2">
        <v>734875</v>
      </c>
      <c r="J1760" s="2" t="s">
        <v>3890</v>
      </c>
      <c r="K1760" s="2" t="s">
        <v>3895</v>
      </c>
      <c r="L1760" s="2">
        <v>2023</v>
      </c>
      <c r="M1760" s="2">
        <v>-463229</v>
      </c>
      <c r="N1760" s="2">
        <f xml:space="preserve"> (Table1[[#This Row],[Variance (USD)]] / Table1[[#This Row],[Actual Spending (USD)]]) * 100</f>
        <v>-63.035073992175541</v>
      </c>
      <c r="O1760" s="5" t="s">
        <v>3897</v>
      </c>
    </row>
    <row r="1761" spans="1:15" x14ac:dyDescent="0.25">
      <c r="A1761" s="4" t="s">
        <v>1774</v>
      </c>
      <c r="B1761" s="2" t="s">
        <v>3458</v>
      </c>
      <c r="C1761" s="2" t="s">
        <v>3872</v>
      </c>
      <c r="D1761" s="2" t="s">
        <v>3881</v>
      </c>
      <c r="E1761" s="3">
        <v>45025</v>
      </c>
      <c r="F1761" s="3">
        <v>45303</v>
      </c>
      <c r="G1761" s="2" t="s">
        <v>3884</v>
      </c>
      <c r="H1761" s="2">
        <v>203627</v>
      </c>
      <c r="I1761" s="2">
        <v>1125918</v>
      </c>
      <c r="J1761" s="2" t="s">
        <v>3892</v>
      </c>
      <c r="K1761" s="2" t="s">
        <v>3893</v>
      </c>
      <c r="L1761" s="2">
        <v>2024</v>
      </c>
      <c r="M1761" s="2">
        <v>-922291</v>
      </c>
      <c r="N1761" s="2">
        <f xml:space="preserve"> (Table1[[#This Row],[Variance (USD)]] / Table1[[#This Row],[Actual Spending (USD)]]) * 100</f>
        <v>-81.914579925003423</v>
      </c>
      <c r="O1761" s="5" t="s">
        <v>3897</v>
      </c>
    </row>
    <row r="1762" spans="1:15" x14ac:dyDescent="0.25">
      <c r="A1762" s="4" t="s">
        <v>1775</v>
      </c>
      <c r="B1762" s="2" t="s">
        <v>3221</v>
      </c>
      <c r="C1762" s="2" t="s">
        <v>3872</v>
      </c>
      <c r="D1762" s="2" t="s">
        <v>3876</v>
      </c>
      <c r="E1762" s="3">
        <v>45332</v>
      </c>
      <c r="F1762" s="3">
        <v>45610</v>
      </c>
      <c r="G1762" s="2" t="s">
        <v>3884</v>
      </c>
      <c r="H1762" s="2">
        <v>454168</v>
      </c>
      <c r="I1762" s="2">
        <v>404160</v>
      </c>
      <c r="J1762" s="2" t="s">
        <v>3892</v>
      </c>
      <c r="K1762" s="2" t="s">
        <v>3894</v>
      </c>
      <c r="L1762" s="2">
        <v>2023</v>
      </c>
      <c r="M1762" s="2">
        <v>50008</v>
      </c>
      <c r="N1762" s="2">
        <f xml:space="preserve"> (Table1[[#This Row],[Variance (USD)]] / Table1[[#This Row],[Actual Spending (USD)]]) * 100</f>
        <v>12.373317498020587</v>
      </c>
      <c r="O1762" s="5" t="s">
        <v>3897</v>
      </c>
    </row>
    <row r="1763" spans="1:15" x14ac:dyDescent="0.25">
      <c r="A1763" s="4" t="s">
        <v>1776</v>
      </c>
      <c r="B1763" s="2" t="s">
        <v>3776</v>
      </c>
      <c r="C1763" s="2" t="s">
        <v>3868</v>
      </c>
      <c r="D1763" s="2" t="s">
        <v>3883</v>
      </c>
      <c r="E1763" s="3">
        <v>45282</v>
      </c>
      <c r="F1763" s="3">
        <v>45895</v>
      </c>
      <c r="G1763" s="2" t="s">
        <v>3884</v>
      </c>
      <c r="H1763" s="2">
        <v>774353</v>
      </c>
      <c r="I1763" s="2">
        <v>800893</v>
      </c>
      <c r="J1763" s="2" t="s">
        <v>3888</v>
      </c>
      <c r="K1763" s="2" t="s">
        <v>3896</v>
      </c>
      <c r="L1763" s="2">
        <v>2023</v>
      </c>
      <c r="M1763" s="2">
        <v>-26540</v>
      </c>
      <c r="N1763" s="2">
        <f xml:space="preserve"> (Table1[[#This Row],[Variance (USD)]] / Table1[[#This Row],[Actual Spending (USD)]]) * 100</f>
        <v>-3.313800969667609</v>
      </c>
      <c r="O1763" s="5" t="s">
        <v>3897</v>
      </c>
    </row>
    <row r="1764" spans="1:15" x14ac:dyDescent="0.25">
      <c r="A1764" s="4" t="s">
        <v>1777</v>
      </c>
      <c r="B1764" s="2" t="s">
        <v>3635</v>
      </c>
      <c r="C1764" s="2" t="s">
        <v>3870</v>
      </c>
      <c r="D1764" s="2" t="s">
        <v>3876</v>
      </c>
      <c r="E1764" s="3">
        <v>45065</v>
      </c>
      <c r="F1764" s="3">
        <v>45292</v>
      </c>
      <c r="G1764" s="2" t="s">
        <v>3886</v>
      </c>
      <c r="H1764" s="2">
        <v>517216</v>
      </c>
      <c r="I1764" s="2">
        <v>876938</v>
      </c>
      <c r="J1764" s="2" t="s">
        <v>3892</v>
      </c>
      <c r="K1764" s="2" t="s">
        <v>3895</v>
      </c>
      <c r="L1764" s="2">
        <v>2025</v>
      </c>
      <c r="M1764" s="2">
        <v>-359722</v>
      </c>
      <c r="N1764" s="2">
        <f xml:space="preserve"> (Table1[[#This Row],[Variance (USD)]] / Table1[[#This Row],[Actual Spending (USD)]]) * 100</f>
        <v>-41.020231760968279</v>
      </c>
      <c r="O1764" s="5" t="s">
        <v>3899</v>
      </c>
    </row>
    <row r="1765" spans="1:15" x14ac:dyDescent="0.25">
      <c r="A1765" s="4" t="s">
        <v>1778</v>
      </c>
      <c r="B1765" s="2" t="s">
        <v>3520</v>
      </c>
      <c r="C1765" s="2" t="s">
        <v>3874</v>
      </c>
      <c r="D1765" s="2" t="s">
        <v>3876</v>
      </c>
      <c r="E1765" s="3">
        <v>45429</v>
      </c>
      <c r="F1765" s="3">
        <v>45726</v>
      </c>
      <c r="G1765" s="2" t="s">
        <v>3885</v>
      </c>
      <c r="H1765" s="2">
        <v>958089</v>
      </c>
      <c r="I1765" s="2">
        <v>870720</v>
      </c>
      <c r="J1765" s="2" t="s">
        <v>3891</v>
      </c>
      <c r="K1765" s="2" t="s">
        <v>3896</v>
      </c>
      <c r="L1765" s="2">
        <v>2024</v>
      </c>
      <c r="M1765" s="2">
        <v>87369</v>
      </c>
      <c r="N1765" s="2">
        <f xml:space="preserve"> (Table1[[#This Row],[Variance (USD)]] / Table1[[#This Row],[Actual Spending (USD)]]) * 100</f>
        <v>10.034109702315325</v>
      </c>
      <c r="O1765" s="5" t="s">
        <v>3898</v>
      </c>
    </row>
    <row r="1766" spans="1:15" x14ac:dyDescent="0.25">
      <c r="A1766" s="4" t="s">
        <v>1779</v>
      </c>
      <c r="B1766" s="2" t="s">
        <v>3089</v>
      </c>
      <c r="C1766" s="2" t="s">
        <v>3873</v>
      </c>
      <c r="D1766" s="2" t="s">
        <v>3883</v>
      </c>
      <c r="E1766" s="3">
        <v>45100</v>
      </c>
      <c r="F1766" s="3">
        <v>45427</v>
      </c>
      <c r="G1766" s="2" t="s">
        <v>3886</v>
      </c>
      <c r="H1766" s="2">
        <v>116686</v>
      </c>
      <c r="I1766" s="2">
        <v>807156</v>
      </c>
      <c r="J1766" s="2" t="s">
        <v>3889</v>
      </c>
      <c r="K1766" s="2" t="s">
        <v>3894</v>
      </c>
      <c r="L1766" s="2">
        <v>2023</v>
      </c>
      <c r="M1766" s="2">
        <v>-690470</v>
      </c>
      <c r="N1766" s="2">
        <f xml:space="preserve"> (Table1[[#This Row],[Variance (USD)]] / Table1[[#This Row],[Actual Spending (USD)]]) * 100</f>
        <v>-85.543562830481349</v>
      </c>
      <c r="O1766" s="5" t="s">
        <v>3899</v>
      </c>
    </row>
    <row r="1767" spans="1:15" x14ac:dyDescent="0.25">
      <c r="A1767" s="4" t="s">
        <v>1780</v>
      </c>
      <c r="B1767" s="2" t="s">
        <v>3715</v>
      </c>
      <c r="C1767" s="2" t="s">
        <v>3874</v>
      </c>
      <c r="D1767" s="2" t="s">
        <v>3881</v>
      </c>
      <c r="E1767" s="3">
        <v>44955</v>
      </c>
      <c r="F1767" s="3">
        <v>45487</v>
      </c>
      <c r="G1767" s="2" t="s">
        <v>3884</v>
      </c>
      <c r="H1767" s="2">
        <v>949273</v>
      </c>
      <c r="I1767" s="2">
        <v>154939</v>
      </c>
      <c r="J1767" s="2" t="s">
        <v>3892</v>
      </c>
      <c r="K1767" s="2" t="s">
        <v>3893</v>
      </c>
      <c r="L1767" s="2">
        <v>2023</v>
      </c>
      <c r="M1767" s="2">
        <v>794334</v>
      </c>
      <c r="N1767" s="2">
        <f xml:space="preserve"> (Table1[[#This Row],[Variance (USD)]] / Table1[[#This Row],[Actual Spending (USD)]]) * 100</f>
        <v>512.67531092881711</v>
      </c>
      <c r="O1767" s="5" t="s">
        <v>3897</v>
      </c>
    </row>
    <row r="1768" spans="1:15" x14ac:dyDescent="0.25">
      <c r="A1768" s="4" t="s">
        <v>1781</v>
      </c>
      <c r="B1768" s="2" t="s">
        <v>3092</v>
      </c>
      <c r="C1768" s="2" t="s">
        <v>3868</v>
      </c>
      <c r="D1768" s="2" t="s">
        <v>3882</v>
      </c>
      <c r="E1768" s="3">
        <v>45422</v>
      </c>
      <c r="F1768" s="3">
        <v>45424</v>
      </c>
      <c r="G1768" s="2" t="s">
        <v>3884</v>
      </c>
      <c r="H1768" s="2">
        <v>606552</v>
      </c>
      <c r="I1768" s="2">
        <v>318766</v>
      </c>
      <c r="J1768" s="2" t="s">
        <v>3892</v>
      </c>
      <c r="K1768" s="2" t="s">
        <v>3894</v>
      </c>
      <c r="L1768" s="2">
        <v>2024</v>
      </c>
      <c r="M1768" s="2">
        <v>287786</v>
      </c>
      <c r="N1768" s="2">
        <f xml:space="preserve"> (Table1[[#This Row],[Variance (USD)]] / Table1[[#This Row],[Actual Spending (USD)]]) * 100</f>
        <v>90.281272155750614</v>
      </c>
      <c r="O1768" s="5" t="s">
        <v>3897</v>
      </c>
    </row>
    <row r="1769" spans="1:15" x14ac:dyDescent="0.25">
      <c r="A1769" s="4" t="s">
        <v>1782</v>
      </c>
      <c r="B1769" s="2" t="s">
        <v>3112</v>
      </c>
      <c r="C1769" s="2" t="s">
        <v>3872</v>
      </c>
      <c r="D1769" s="2" t="s">
        <v>3883</v>
      </c>
      <c r="E1769" s="3">
        <v>45581</v>
      </c>
      <c r="F1769" s="3">
        <v>45377</v>
      </c>
      <c r="G1769" s="2" t="s">
        <v>3884</v>
      </c>
      <c r="H1769" s="2">
        <v>286830</v>
      </c>
      <c r="I1769" s="2">
        <v>865141</v>
      </c>
      <c r="J1769" s="2" t="s">
        <v>3890</v>
      </c>
      <c r="K1769" s="2" t="s">
        <v>3894</v>
      </c>
      <c r="L1769" s="2">
        <v>2024</v>
      </c>
      <c r="M1769" s="2">
        <v>-578311</v>
      </c>
      <c r="N1769" s="2">
        <f xml:space="preserve"> (Table1[[#This Row],[Variance (USD)]] / Table1[[#This Row],[Actual Spending (USD)]]) * 100</f>
        <v>-66.845866743108928</v>
      </c>
      <c r="O1769" s="5" t="s">
        <v>3897</v>
      </c>
    </row>
    <row r="1770" spans="1:15" x14ac:dyDescent="0.25">
      <c r="A1770" s="4" t="s">
        <v>1783</v>
      </c>
      <c r="B1770" s="2" t="s">
        <v>3068</v>
      </c>
      <c r="C1770" s="2" t="s">
        <v>3869</v>
      </c>
      <c r="D1770" s="2" t="s">
        <v>3878</v>
      </c>
      <c r="E1770" s="3">
        <v>45277</v>
      </c>
      <c r="F1770" s="3">
        <v>45767</v>
      </c>
      <c r="G1770" s="2" t="s">
        <v>3887</v>
      </c>
      <c r="H1770" s="2">
        <v>490769</v>
      </c>
      <c r="I1770" s="2">
        <v>974974</v>
      </c>
      <c r="J1770" s="2" t="s">
        <v>3891</v>
      </c>
      <c r="K1770" s="2" t="s">
        <v>3896</v>
      </c>
      <c r="L1770" s="2">
        <v>2025</v>
      </c>
      <c r="M1770" s="2">
        <v>-484205</v>
      </c>
      <c r="N1770" s="2">
        <f xml:space="preserve"> (Table1[[#This Row],[Variance (USD)]] / Table1[[#This Row],[Actual Spending (USD)]]) * 100</f>
        <v>-49.663375638734983</v>
      </c>
      <c r="O1770" s="5" t="s">
        <v>3900</v>
      </c>
    </row>
    <row r="1771" spans="1:15" x14ac:dyDescent="0.25">
      <c r="A1771" s="4" t="s">
        <v>1784</v>
      </c>
      <c r="B1771" s="2" t="s">
        <v>3225</v>
      </c>
      <c r="C1771" s="2" t="s">
        <v>3871</v>
      </c>
      <c r="D1771" s="2" t="s">
        <v>3880</v>
      </c>
      <c r="E1771" s="3">
        <v>45480</v>
      </c>
      <c r="F1771" s="3">
        <v>45615</v>
      </c>
      <c r="G1771" s="2" t="s">
        <v>3884</v>
      </c>
      <c r="H1771" s="2">
        <v>235431</v>
      </c>
      <c r="I1771" s="2">
        <v>166537</v>
      </c>
      <c r="J1771" s="2" t="s">
        <v>3892</v>
      </c>
      <c r="K1771" s="2" t="s">
        <v>3894</v>
      </c>
      <c r="L1771" s="2">
        <v>2025</v>
      </c>
      <c r="M1771" s="2">
        <v>68894</v>
      </c>
      <c r="N1771" s="2">
        <f xml:space="preserve"> (Table1[[#This Row],[Variance (USD)]] / Table1[[#This Row],[Actual Spending (USD)]]) * 100</f>
        <v>41.368584758942454</v>
      </c>
      <c r="O1771" s="5" t="s">
        <v>3897</v>
      </c>
    </row>
    <row r="1772" spans="1:15" x14ac:dyDescent="0.25">
      <c r="A1772" s="4" t="s">
        <v>1785</v>
      </c>
      <c r="B1772" s="2" t="s">
        <v>3218</v>
      </c>
      <c r="C1772" s="2" t="s">
        <v>3868</v>
      </c>
      <c r="D1772" s="2" t="s">
        <v>3880</v>
      </c>
      <c r="E1772" s="3">
        <v>45225</v>
      </c>
      <c r="F1772" s="3">
        <v>45471</v>
      </c>
      <c r="G1772" s="2" t="s">
        <v>3886</v>
      </c>
      <c r="H1772" s="2">
        <v>946317</v>
      </c>
      <c r="I1772" s="2">
        <v>898850</v>
      </c>
      <c r="J1772" s="2" t="s">
        <v>3889</v>
      </c>
      <c r="K1772" s="2" t="s">
        <v>3895</v>
      </c>
      <c r="L1772" s="2">
        <v>2025</v>
      </c>
      <c r="M1772" s="2">
        <v>47467</v>
      </c>
      <c r="N1772" s="2">
        <f xml:space="preserve"> (Table1[[#This Row],[Variance (USD)]] / Table1[[#This Row],[Actual Spending (USD)]]) * 100</f>
        <v>5.2808588752294598</v>
      </c>
      <c r="O1772" s="5" t="s">
        <v>3899</v>
      </c>
    </row>
    <row r="1773" spans="1:15" x14ac:dyDescent="0.25">
      <c r="A1773" s="4" t="s">
        <v>1786</v>
      </c>
      <c r="B1773" s="2" t="s">
        <v>3777</v>
      </c>
      <c r="C1773" s="2" t="s">
        <v>3874</v>
      </c>
      <c r="D1773" s="2" t="s">
        <v>3883</v>
      </c>
      <c r="E1773" s="3">
        <v>45646</v>
      </c>
      <c r="F1773" s="3">
        <v>45807</v>
      </c>
      <c r="G1773" s="2" t="s">
        <v>3884</v>
      </c>
      <c r="H1773" s="2">
        <v>803682</v>
      </c>
      <c r="I1773" s="2">
        <v>127739</v>
      </c>
      <c r="J1773" s="2" t="s">
        <v>3892</v>
      </c>
      <c r="K1773" s="2" t="s">
        <v>3893</v>
      </c>
      <c r="L1773" s="2">
        <v>2023</v>
      </c>
      <c r="M1773" s="2">
        <v>675943</v>
      </c>
      <c r="N1773" s="2">
        <f xml:space="preserve"> (Table1[[#This Row],[Variance (USD)]] / Table1[[#This Row],[Actual Spending (USD)]]) * 100</f>
        <v>529.15945795724099</v>
      </c>
      <c r="O1773" s="5" t="s">
        <v>3897</v>
      </c>
    </row>
    <row r="1774" spans="1:15" x14ac:dyDescent="0.25">
      <c r="A1774" s="4" t="s">
        <v>1787</v>
      </c>
      <c r="B1774" s="2" t="s">
        <v>3644</v>
      </c>
      <c r="C1774" s="2" t="s">
        <v>3869</v>
      </c>
      <c r="D1774" s="2" t="s">
        <v>3878</v>
      </c>
      <c r="E1774" s="3">
        <v>45118</v>
      </c>
      <c r="F1774" s="3">
        <v>45929</v>
      </c>
      <c r="G1774" s="2" t="s">
        <v>3884</v>
      </c>
      <c r="H1774" s="2">
        <v>190880</v>
      </c>
      <c r="I1774" s="2">
        <v>256445</v>
      </c>
      <c r="J1774" s="2" t="s">
        <v>3888</v>
      </c>
      <c r="K1774" s="2" t="s">
        <v>3894</v>
      </c>
      <c r="L1774" s="2">
        <v>2024</v>
      </c>
      <c r="M1774" s="2">
        <v>-65565</v>
      </c>
      <c r="N1774" s="2">
        <f xml:space="preserve"> (Table1[[#This Row],[Variance (USD)]] / Table1[[#This Row],[Actual Spending (USD)]]) * 100</f>
        <v>-25.566885686989416</v>
      </c>
      <c r="O1774" s="5" t="s">
        <v>3897</v>
      </c>
    </row>
    <row r="1775" spans="1:15" x14ac:dyDescent="0.25">
      <c r="A1775" s="4" t="s">
        <v>1788</v>
      </c>
      <c r="B1775" s="2" t="s">
        <v>3622</v>
      </c>
      <c r="C1775" s="2" t="s">
        <v>3871</v>
      </c>
      <c r="D1775" s="2" t="s">
        <v>3882</v>
      </c>
      <c r="E1775" s="3">
        <v>45598</v>
      </c>
      <c r="F1775" s="3">
        <v>45466</v>
      </c>
      <c r="G1775" s="2" t="s">
        <v>3884</v>
      </c>
      <c r="H1775" s="2">
        <v>102330</v>
      </c>
      <c r="I1775" s="2">
        <v>1102912</v>
      </c>
      <c r="J1775" s="2" t="s">
        <v>3891</v>
      </c>
      <c r="K1775" s="2" t="s">
        <v>3895</v>
      </c>
      <c r="L1775" s="2">
        <v>2025</v>
      </c>
      <c r="M1775" s="2">
        <v>-1000582</v>
      </c>
      <c r="N1775" s="2">
        <f xml:space="preserve"> (Table1[[#This Row],[Variance (USD)]] / Table1[[#This Row],[Actual Spending (USD)]]) * 100</f>
        <v>-90.721834561596935</v>
      </c>
      <c r="O1775" s="5" t="s">
        <v>3897</v>
      </c>
    </row>
    <row r="1776" spans="1:15" x14ac:dyDescent="0.25">
      <c r="A1776" s="4" t="s">
        <v>1789</v>
      </c>
      <c r="B1776" s="2" t="s">
        <v>3681</v>
      </c>
      <c r="C1776" s="2" t="s">
        <v>3875</v>
      </c>
      <c r="D1776" s="2" t="s">
        <v>3880</v>
      </c>
      <c r="E1776" s="3">
        <v>44990</v>
      </c>
      <c r="F1776" s="3">
        <v>45312</v>
      </c>
      <c r="G1776" s="2" t="s">
        <v>3884</v>
      </c>
      <c r="H1776" s="2">
        <v>688960</v>
      </c>
      <c r="I1776" s="2">
        <v>1123340</v>
      </c>
      <c r="J1776" s="2" t="s">
        <v>3892</v>
      </c>
      <c r="K1776" s="2" t="s">
        <v>3893</v>
      </c>
      <c r="L1776" s="2">
        <v>2024</v>
      </c>
      <c r="M1776" s="2">
        <v>-434380</v>
      </c>
      <c r="N1776" s="2">
        <f xml:space="preserve"> (Table1[[#This Row],[Variance (USD)]] / Table1[[#This Row],[Actual Spending (USD)]]) * 100</f>
        <v>-38.668613242651375</v>
      </c>
      <c r="O1776" s="5" t="s">
        <v>3897</v>
      </c>
    </row>
    <row r="1777" spans="1:15" x14ac:dyDescent="0.25">
      <c r="A1777" s="4" t="s">
        <v>1790</v>
      </c>
      <c r="B1777" s="2" t="s">
        <v>3234</v>
      </c>
      <c r="C1777" s="2" t="s">
        <v>3868</v>
      </c>
      <c r="D1777" s="2" t="s">
        <v>3878</v>
      </c>
      <c r="E1777" s="3">
        <v>45590</v>
      </c>
      <c r="F1777" s="3">
        <v>45396</v>
      </c>
      <c r="G1777" s="2" t="s">
        <v>3886</v>
      </c>
      <c r="H1777" s="2">
        <v>350489</v>
      </c>
      <c r="I1777" s="2">
        <v>520548</v>
      </c>
      <c r="J1777" s="2" t="s">
        <v>3891</v>
      </c>
      <c r="K1777" s="2" t="s">
        <v>3896</v>
      </c>
      <c r="L1777" s="2">
        <v>2023</v>
      </c>
      <c r="M1777" s="2">
        <v>-170059</v>
      </c>
      <c r="N1777" s="2">
        <f xml:space="preserve"> (Table1[[#This Row],[Variance (USD)]] / Table1[[#This Row],[Actual Spending (USD)]]) * 100</f>
        <v>-32.669225508502578</v>
      </c>
      <c r="O1777" s="5" t="s">
        <v>3899</v>
      </c>
    </row>
    <row r="1778" spans="1:15" x14ac:dyDescent="0.25">
      <c r="A1778" s="4" t="s">
        <v>1791</v>
      </c>
      <c r="B1778" s="2" t="s">
        <v>3190</v>
      </c>
      <c r="C1778" s="2" t="s">
        <v>3868</v>
      </c>
      <c r="D1778" s="2" t="s">
        <v>3882</v>
      </c>
      <c r="E1778" s="3">
        <v>45141</v>
      </c>
      <c r="F1778" s="3">
        <v>45869</v>
      </c>
      <c r="G1778" s="2" t="s">
        <v>3884</v>
      </c>
      <c r="H1778" s="2">
        <v>512833</v>
      </c>
      <c r="I1778" s="2">
        <v>1123996</v>
      </c>
      <c r="J1778" s="2" t="s">
        <v>3892</v>
      </c>
      <c r="K1778" s="2" t="s">
        <v>3893</v>
      </c>
      <c r="L1778" s="2">
        <v>2023</v>
      </c>
      <c r="M1778" s="2">
        <v>-611163</v>
      </c>
      <c r="N1778" s="2">
        <f xml:space="preserve"> (Table1[[#This Row],[Variance (USD)]] / Table1[[#This Row],[Actual Spending (USD)]]) * 100</f>
        <v>-54.37412588656899</v>
      </c>
      <c r="O1778" s="5" t="s">
        <v>3897</v>
      </c>
    </row>
    <row r="1779" spans="1:15" x14ac:dyDescent="0.25">
      <c r="A1779" s="4" t="s">
        <v>1792</v>
      </c>
      <c r="B1779" s="2" t="s">
        <v>3778</v>
      </c>
      <c r="C1779" s="2" t="s">
        <v>3875</v>
      </c>
      <c r="D1779" s="2" t="s">
        <v>3878</v>
      </c>
      <c r="E1779" s="3">
        <v>45092</v>
      </c>
      <c r="F1779" s="3">
        <v>45734</v>
      </c>
      <c r="G1779" s="2" t="s">
        <v>3886</v>
      </c>
      <c r="H1779" s="2">
        <v>613510</v>
      </c>
      <c r="I1779" s="2">
        <v>512974</v>
      </c>
      <c r="J1779" s="2" t="s">
        <v>3889</v>
      </c>
      <c r="K1779" s="2" t="s">
        <v>3896</v>
      </c>
      <c r="L1779" s="2">
        <v>2024</v>
      </c>
      <c r="M1779" s="2">
        <v>100536</v>
      </c>
      <c r="N1779" s="2">
        <f xml:space="preserve"> (Table1[[#This Row],[Variance (USD)]] / Table1[[#This Row],[Actual Spending (USD)]]) * 100</f>
        <v>19.598654122821042</v>
      </c>
      <c r="O1779" s="5" t="s">
        <v>3899</v>
      </c>
    </row>
    <row r="1780" spans="1:15" x14ac:dyDescent="0.25">
      <c r="A1780" s="4" t="s">
        <v>1793</v>
      </c>
      <c r="B1780" s="2" t="s">
        <v>3274</v>
      </c>
      <c r="C1780" s="2" t="s">
        <v>3875</v>
      </c>
      <c r="D1780" s="2" t="s">
        <v>3876</v>
      </c>
      <c r="E1780" s="3">
        <v>45469</v>
      </c>
      <c r="F1780" s="3">
        <v>45340</v>
      </c>
      <c r="G1780" s="2" t="s">
        <v>3884</v>
      </c>
      <c r="H1780" s="2">
        <v>107755</v>
      </c>
      <c r="I1780" s="2">
        <v>1182957</v>
      </c>
      <c r="J1780" s="2" t="s">
        <v>3889</v>
      </c>
      <c r="K1780" s="2" t="s">
        <v>3893</v>
      </c>
      <c r="L1780" s="2">
        <v>2024</v>
      </c>
      <c r="M1780" s="2">
        <v>-1075202</v>
      </c>
      <c r="N1780" s="2">
        <f xml:space="preserve"> (Table1[[#This Row],[Variance (USD)]] / Table1[[#This Row],[Actual Spending (USD)]]) * 100</f>
        <v>-90.891046758250724</v>
      </c>
      <c r="O1780" s="5" t="s">
        <v>3897</v>
      </c>
    </row>
    <row r="1781" spans="1:15" x14ac:dyDescent="0.25">
      <c r="A1781" s="4" t="s">
        <v>1794</v>
      </c>
      <c r="B1781" s="2" t="s">
        <v>3393</v>
      </c>
      <c r="C1781" s="2" t="s">
        <v>3868</v>
      </c>
      <c r="D1781" s="2" t="s">
        <v>3880</v>
      </c>
      <c r="E1781" s="3">
        <v>45158</v>
      </c>
      <c r="F1781" s="3">
        <v>45819</v>
      </c>
      <c r="G1781" s="2" t="s">
        <v>3887</v>
      </c>
      <c r="H1781" s="2">
        <v>845365</v>
      </c>
      <c r="I1781" s="2">
        <v>661884</v>
      </c>
      <c r="J1781" s="2" t="s">
        <v>3891</v>
      </c>
      <c r="K1781" s="2" t="s">
        <v>3894</v>
      </c>
      <c r="L1781" s="2">
        <v>2025</v>
      </c>
      <c r="M1781" s="2">
        <v>183481</v>
      </c>
      <c r="N1781" s="2">
        <f xml:space="preserve"> (Table1[[#This Row],[Variance (USD)]] / Table1[[#This Row],[Actual Spending (USD)]]) * 100</f>
        <v>27.721020601797292</v>
      </c>
      <c r="O1781" s="5" t="s">
        <v>3900</v>
      </c>
    </row>
    <row r="1782" spans="1:15" x14ac:dyDescent="0.25">
      <c r="A1782" s="4" t="s">
        <v>1795</v>
      </c>
      <c r="B1782" s="2" t="s">
        <v>3365</v>
      </c>
      <c r="C1782" s="2" t="s">
        <v>3875</v>
      </c>
      <c r="D1782" s="2" t="s">
        <v>3882</v>
      </c>
      <c r="E1782" s="3">
        <v>45467</v>
      </c>
      <c r="F1782" s="3">
        <v>45436</v>
      </c>
      <c r="G1782" s="2" t="s">
        <v>3884</v>
      </c>
      <c r="H1782" s="2">
        <v>904639</v>
      </c>
      <c r="I1782" s="2">
        <v>842879</v>
      </c>
      <c r="J1782" s="2" t="s">
        <v>3890</v>
      </c>
      <c r="K1782" s="2" t="s">
        <v>3896</v>
      </c>
      <c r="L1782" s="2">
        <v>2024</v>
      </c>
      <c r="M1782" s="2">
        <v>61760</v>
      </c>
      <c r="N1782" s="2">
        <f xml:space="preserve"> (Table1[[#This Row],[Variance (USD)]] / Table1[[#This Row],[Actual Spending (USD)]]) * 100</f>
        <v>7.3272676149245628</v>
      </c>
      <c r="O1782" s="5" t="s">
        <v>3897</v>
      </c>
    </row>
    <row r="1783" spans="1:15" x14ac:dyDescent="0.25">
      <c r="A1783" s="4" t="s">
        <v>1796</v>
      </c>
      <c r="B1783" s="2" t="s">
        <v>3395</v>
      </c>
      <c r="C1783" s="2" t="s">
        <v>3873</v>
      </c>
      <c r="D1783" s="2" t="s">
        <v>3880</v>
      </c>
      <c r="E1783" s="3">
        <v>45121</v>
      </c>
      <c r="F1783" s="3">
        <v>45631</v>
      </c>
      <c r="G1783" s="2" t="s">
        <v>3885</v>
      </c>
      <c r="H1783" s="2">
        <v>224811</v>
      </c>
      <c r="I1783" s="2">
        <v>165105</v>
      </c>
      <c r="J1783" s="2" t="s">
        <v>3890</v>
      </c>
      <c r="K1783" s="2" t="s">
        <v>3896</v>
      </c>
      <c r="L1783" s="2">
        <v>2025</v>
      </c>
      <c r="M1783" s="2">
        <v>59706</v>
      </c>
      <c r="N1783" s="2">
        <f xml:space="preserve"> (Table1[[#This Row],[Variance (USD)]] / Table1[[#This Row],[Actual Spending (USD)]]) * 100</f>
        <v>36.162442082311259</v>
      </c>
      <c r="O1783" s="5" t="s">
        <v>3898</v>
      </c>
    </row>
    <row r="1784" spans="1:15" x14ac:dyDescent="0.25">
      <c r="A1784" s="4" t="s">
        <v>1797</v>
      </c>
      <c r="B1784" s="2" t="s">
        <v>3354</v>
      </c>
      <c r="C1784" s="2" t="s">
        <v>3871</v>
      </c>
      <c r="D1784" s="2" t="s">
        <v>3876</v>
      </c>
      <c r="E1784" s="3">
        <v>45432</v>
      </c>
      <c r="F1784" s="3">
        <v>45645</v>
      </c>
      <c r="G1784" s="2" t="s">
        <v>3885</v>
      </c>
      <c r="H1784" s="2">
        <v>228810</v>
      </c>
      <c r="I1784" s="2">
        <v>1003356</v>
      </c>
      <c r="J1784" s="2" t="s">
        <v>3888</v>
      </c>
      <c r="K1784" s="2" t="s">
        <v>3896</v>
      </c>
      <c r="L1784" s="2">
        <v>2024</v>
      </c>
      <c r="M1784" s="2">
        <v>-774546</v>
      </c>
      <c r="N1784" s="2">
        <f xml:space="preserve"> (Table1[[#This Row],[Variance (USD)]] / Table1[[#This Row],[Actual Spending (USD)]]) * 100</f>
        <v>-77.195531795294997</v>
      </c>
      <c r="O1784" s="5" t="s">
        <v>3898</v>
      </c>
    </row>
    <row r="1785" spans="1:15" x14ac:dyDescent="0.25">
      <c r="A1785" s="4" t="s">
        <v>1798</v>
      </c>
      <c r="B1785" s="2" t="s">
        <v>3738</v>
      </c>
      <c r="C1785" s="2" t="s">
        <v>3871</v>
      </c>
      <c r="D1785" s="2" t="s">
        <v>3883</v>
      </c>
      <c r="E1785" s="3">
        <v>45260</v>
      </c>
      <c r="F1785" s="3">
        <v>45366</v>
      </c>
      <c r="G1785" s="2" t="s">
        <v>3887</v>
      </c>
      <c r="H1785" s="2">
        <v>941123</v>
      </c>
      <c r="I1785" s="2">
        <v>1099073</v>
      </c>
      <c r="J1785" s="2" t="s">
        <v>3890</v>
      </c>
      <c r="K1785" s="2" t="s">
        <v>3894</v>
      </c>
      <c r="L1785" s="2">
        <v>2024</v>
      </c>
      <c r="M1785" s="2">
        <v>-157950</v>
      </c>
      <c r="N1785" s="2">
        <f xml:space="preserve"> (Table1[[#This Row],[Variance (USD)]] / Table1[[#This Row],[Actual Spending (USD)]]) * 100</f>
        <v>-14.371201912884768</v>
      </c>
      <c r="O1785" s="5" t="s">
        <v>3900</v>
      </c>
    </row>
    <row r="1786" spans="1:15" x14ac:dyDescent="0.25">
      <c r="A1786" s="4" t="s">
        <v>1799</v>
      </c>
      <c r="B1786" s="2" t="s">
        <v>3445</v>
      </c>
      <c r="C1786" s="2" t="s">
        <v>3871</v>
      </c>
      <c r="D1786" s="2" t="s">
        <v>3876</v>
      </c>
      <c r="E1786" s="3">
        <v>45230</v>
      </c>
      <c r="F1786" s="3">
        <v>45869</v>
      </c>
      <c r="G1786" s="2" t="s">
        <v>3884</v>
      </c>
      <c r="H1786" s="2">
        <v>679425</v>
      </c>
      <c r="I1786" s="2">
        <v>1158290</v>
      </c>
      <c r="J1786" s="2" t="s">
        <v>3891</v>
      </c>
      <c r="K1786" s="2" t="s">
        <v>3894</v>
      </c>
      <c r="L1786" s="2">
        <v>2024</v>
      </c>
      <c r="M1786" s="2">
        <v>-478865</v>
      </c>
      <c r="N1786" s="2">
        <f xml:space="preserve"> (Table1[[#This Row],[Variance (USD)]] / Table1[[#This Row],[Actual Spending (USD)]]) * 100</f>
        <v>-41.342409931882344</v>
      </c>
      <c r="O1786" s="5" t="s">
        <v>3897</v>
      </c>
    </row>
    <row r="1787" spans="1:15" x14ac:dyDescent="0.25">
      <c r="A1787" s="4" t="s">
        <v>1800</v>
      </c>
      <c r="B1787" s="2" t="s">
        <v>3272</v>
      </c>
      <c r="C1787" s="2" t="s">
        <v>3873</v>
      </c>
      <c r="D1787" s="2" t="s">
        <v>3880</v>
      </c>
      <c r="E1787" s="3">
        <v>45363</v>
      </c>
      <c r="F1787" s="3">
        <v>45928</v>
      </c>
      <c r="G1787" s="2" t="s">
        <v>3886</v>
      </c>
      <c r="H1787" s="2">
        <v>265616</v>
      </c>
      <c r="I1787" s="2">
        <v>233154</v>
      </c>
      <c r="J1787" s="2" t="s">
        <v>3890</v>
      </c>
      <c r="K1787" s="2" t="s">
        <v>3893</v>
      </c>
      <c r="L1787" s="2">
        <v>2023</v>
      </c>
      <c r="M1787" s="2">
        <v>32462</v>
      </c>
      <c r="N1787" s="2">
        <f xml:space="preserve"> (Table1[[#This Row],[Variance (USD)]] / Table1[[#This Row],[Actual Spending (USD)]]) * 100</f>
        <v>13.92298652392839</v>
      </c>
      <c r="O1787" s="5" t="s">
        <v>3899</v>
      </c>
    </row>
    <row r="1788" spans="1:15" x14ac:dyDescent="0.25">
      <c r="A1788" s="4" t="s">
        <v>1801</v>
      </c>
      <c r="B1788" s="2" t="s">
        <v>3253</v>
      </c>
      <c r="C1788" s="2" t="s">
        <v>3870</v>
      </c>
      <c r="D1788" s="2" t="s">
        <v>3880</v>
      </c>
      <c r="E1788" s="3">
        <v>45249</v>
      </c>
      <c r="F1788" s="3">
        <v>45610</v>
      </c>
      <c r="G1788" s="2" t="s">
        <v>3884</v>
      </c>
      <c r="H1788" s="2">
        <v>989387</v>
      </c>
      <c r="I1788" s="2">
        <v>968482</v>
      </c>
      <c r="J1788" s="2" t="s">
        <v>3888</v>
      </c>
      <c r="K1788" s="2" t="s">
        <v>3893</v>
      </c>
      <c r="L1788" s="2">
        <v>2023</v>
      </c>
      <c r="M1788" s="2">
        <v>20905</v>
      </c>
      <c r="N1788" s="2">
        <f xml:space="preserve"> (Table1[[#This Row],[Variance (USD)]] / Table1[[#This Row],[Actual Spending (USD)]]) * 100</f>
        <v>2.1585326314789537</v>
      </c>
      <c r="O1788" s="5" t="s">
        <v>3897</v>
      </c>
    </row>
    <row r="1789" spans="1:15" x14ac:dyDescent="0.25">
      <c r="A1789" s="4" t="s">
        <v>1802</v>
      </c>
      <c r="B1789" s="2" t="s">
        <v>3626</v>
      </c>
      <c r="C1789" s="2" t="s">
        <v>3875</v>
      </c>
      <c r="D1789" s="2" t="s">
        <v>3881</v>
      </c>
      <c r="E1789" s="3">
        <v>45428</v>
      </c>
      <c r="F1789" s="3">
        <v>45378</v>
      </c>
      <c r="G1789" s="2" t="s">
        <v>3884</v>
      </c>
      <c r="H1789" s="2">
        <v>935250</v>
      </c>
      <c r="I1789" s="2">
        <v>794227</v>
      </c>
      <c r="J1789" s="2" t="s">
        <v>3892</v>
      </c>
      <c r="K1789" s="2" t="s">
        <v>3894</v>
      </c>
      <c r="L1789" s="2">
        <v>2023</v>
      </c>
      <c r="M1789" s="2">
        <v>141023</v>
      </c>
      <c r="N1789" s="2">
        <f xml:space="preserve"> (Table1[[#This Row],[Variance (USD)]] / Table1[[#This Row],[Actual Spending (USD)]]) * 100</f>
        <v>17.756006783954714</v>
      </c>
      <c r="O1789" s="5" t="s">
        <v>3897</v>
      </c>
    </row>
    <row r="1790" spans="1:15" x14ac:dyDescent="0.25">
      <c r="A1790" s="4" t="s">
        <v>1803</v>
      </c>
      <c r="B1790" s="2" t="s">
        <v>3198</v>
      </c>
      <c r="C1790" s="2" t="s">
        <v>3869</v>
      </c>
      <c r="D1790" s="2" t="s">
        <v>3882</v>
      </c>
      <c r="E1790" s="3">
        <v>45319</v>
      </c>
      <c r="F1790" s="3">
        <v>45844</v>
      </c>
      <c r="G1790" s="2" t="s">
        <v>3884</v>
      </c>
      <c r="H1790" s="2">
        <v>410654</v>
      </c>
      <c r="I1790" s="2">
        <v>173954</v>
      </c>
      <c r="J1790" s="2" t="s">
        <v>3890</v>
      </c>
      <c r="K1790" s="2" t="s">
        <v>3894</v>
      </c>
      <c r="L1790" s="2">
        <v>2025</v>
      </c>
      <c r="M1790" s="2">
        <v>236700</v>
      </c>
      <c r="N1790" s="2">
        <f xml:space="preserve"> (Table1[[#This Row],[Variance (USD)]] / Table1[[#This Row],[Actual Spending (USD)]]) * 100</f>
        <v>136.07045540775147</v>
      </c>
      <c r="O1790" s="5" t="s">
        <v>3897</v>
      </c>
    </row>
    <row r="1791" spans="1:15" x14ac:dyDescent="0.25">
      <c r="A1791" s="4" t="s">
        <v>1804</v>
      </c>
      <c r="B1791" s="2" t="s">
        <v>3590</v>
      </c>
      <c r="C1791" s="2" t="s">
        <v>3875</v>
      </c>
      <c r="D1791" s="2" t="s">
        <v>3883</v>
      </c>
      <c r="E1791" s="3">
        <v>45525</v>
      </c>
      <c r="F1791" s="3">
        <v>45989</v>
      </c>
      <c r="G1791" s="2" t="s">
        <v>3884</v>
      </c>
      <c r="H1791" s="2">
        <v>673539</v>
      </c>
      <c r="I1791" s="2">
        <v>1034824</v>
      </c>
      <c r="J1791" s="2" t="s">
        <v>3891</v>
      </c>
      <c r="K1791" s="2" t="s">
        <v>3896</v>
      </c>
      <c r="L1791" s="2">
        <v>2025</v>
      </c>
      <c r="M1791" s="2">
        <v>-361285</v>
      </c>
      <c r="N1791" s="2">
        <f xml:space="preserve"> (Table1[[#This Row],[Variance (USD)]] / Table1[[#This Row],[Actual Spending (USD)]]) * 100</f>
        <v>-34.912700130650236</v>
      </c>
      <c r="O1791" s="5" t="s">
        <v>3897</v>
      </c>
    </row>
    <row r="1792" spans="1:15" x14ac:dyDescent="0.25">
      <c r="A1792" s="4" t="s">
        <v>1805</v>
      </c>
      <c r="B1792" s="2" t="s">
        <v>3688</v>
      </c>
      <c r="C1792" s="2" t="s">
        <v>3868</v>
      </c>
      <c r="D1792" s="2" t="s">
        <v>3876</v>
      </c>
      <c r="E1792" s="3">
        <v>45075</v>
      </c>
      <c r="F1792" s="3">
        <v>45333</v>
      </c>
      <c r="G1792" s="2" t="s">
        <v>3887</v>
      </c>
      <c r="H1792" s="2">
        <v>720740</v>
      </c>
      <c r="I1792" s="2">
        <v>1016354</v>
      </c>
      <c r="J1792" s="2" t="s">
        <v>3891</v>
      </c>
      <c r="K1792" s="2" t="s">
        <v>3893</v>
      </c>
      <c r="L1792" s="2">
        <v>2023</v>
      </c>
      <c r="M1792" s="2">
        <v>-295614</v>
      </c>
      <c r="N1792" s="2">
        <f xml:space="preserve"> (Table1[[#This Row],[Variance (USD)]] / Table1[[#This Row],[Actual Spending (USD)]]) * 100</f>
        <v>-29.085731939855602</v>
      </c>
      <c r="O1792" s="5" t="s">
        <v>3900</v>
      </c>
    </row>
    <row r="1793" spans="1:15" x14ac:dyDescent="0.25">
      <c r="A1793" s="4" t="s">
        <v>1806</v>
      </c>
      <c r="B1793" s="2" t="s">
        <v>3779</v>
      </c>
      <c r="C1793" s="2" t="s">
        <v>3872</v>
      </c>
      <c r="D1793" s="2" t="s">
        <v>3882</v>
      </c>
      <c r="E1793" s="3">
        <v>45331</v>
      </c>
      <c r="F1793" s="3">
        <v>45384</v>
      </c>
      <c r="G1793" s="2" t="s">
        <v>3884</v>
      </c>
      <c r="H1793" s="2">
        <v>330356</v>
      </c>
      <c r="I1793" s="2">
        <v>876302</v>
      </c>
      <c r="J1793" s="2" t="s">
        <v>3888</v>
      </c>
      <c r="K1793" s="2" t="s">
        <v>3893</v>
      </c>
      <c r="L1793" s="2">
        <v>2023</v>
      </c>
      <c r="M1793" s="2">
        <v>-545946</v>
      </c>
      <c r="N1793" s="2">
        <f xml:space="preserve"> (Table1[[#This Row],[Variance (USD)]] / Table1[[#This Row],[Actual Spending (USD)]]) * 100</f>
        <v>-62.301124498175284</v>
      </c>
      <c r="O1793" s="5" t="s">
        <v>3897</v>
      </c>
    </row>
    <row r="1794" spans="1:15" x14ac:dyDescent="0.25">
      <c r="A1794" s="4" t="s">
        <v>1807</v>
      </c>
      <c r="B1794" s="2" t="s">
        <v>3600</v>
      </c>
      <c r="C1794" s="2" t="s">
        <v>3874</v>
      </c>
      <c r="D1794" s="2" t="s">
        <v>3879</v>
      </c>
      <c r="E1794" s="3">
        <v>45209</v>
      </c>
      <c r="F1794" s="3">
        <v>45988</v>
      </c>
      <c r="G1794" s="2" t="s">
        <v>3886</v>
      </c>
      <c r="H1794" s="2">
        <v>340318</v>
      </c>
      <c r="I1794" s="2">
        <v>703955</v>
      </c>
      <c r="J1794" s="2" t="s">
        <v>3888</v>
      </c>
      <c r="K1794" s="2" t="s">
        <v>3896</v>
      </c>
      <c r="L1794" s="2">
        <v>2024</v>
      </c>
      <c r="M1794" s="2">
        <v>-363637</v>
      </c>
      <c r="N1794" s="2">
        <f xml:space="preserve"> (Table1[[#This Row],[Variance (USD)]] / Table1[[#This Row],[Actual Spending (USD)]]) * 100</f>
        <v>-51.656284847753057</v>
      </c>
      <c r="O1794" s="5" t="s">
        <v>3899</v>
      </c>
    </row>
    <row r="1795" spans="1:15" x14ac:dyDescent="0.25">
      <c r="A1795" s="4" t="s">
        <v>1808</v>
      </c>
      <c r="B1795" s="2" t="s">
        <v>3758</v>
      </c>
      <c r="C1795" s="2" t="s">
        <v>3874</v>
      </c>
      <c r="D1795" s="2" t="s">
        <v>3882</v>
      </c>
      <c r="E1795" s="3">
        <v>45288</v>
      </c>
      <c r="F1795" s="3">
        <v>46018</v>
      </c>
      <c r="G1795" s="2" t="s">
        <v>3886</v>
      </c>
      <c r="H1795" s="2">
        <v>450077</v>
      </c>
      <c r="I1795" s="2">
        <v>245363</v>
      </c>
      <c r="J1795" s="2" t="s">
        <v>3889</v>
      </c>
      <c r="K1795" s="2" t="s">
        <v>3896</v>
      </c>
      <c r="L1795" s="2">
        <v>2024</v>
      </c>
      <c r="M1795" s="2">
        <v>204714</v>
      </c>
      <c r="N1795" s="2">
        <f xml:space="preserve"> (Table1[[#This Row],[Variance (USD)]] / Table1[[#This Row],[Actual Spending (USD)]]) * 100</f>
        <v>83.433117462698121</v>
      </c>
      <c r="O1795" s="5" t="s">
        <v>3899</v>
      </c>
    </row>
    <row r="1796" spans="1:15" x14ac:dyDescent="0.25">
      <c r="A1796" s="4" t="s">
        <v>1809</v>
      </c>
      <c r="B1796" s="2" t="s">
        <v>3512</v>
      </c>
      <c r="C1796" s="2" t="s">
        <v>3871</v>
      </c>
      <c r="D1796" s="2" t="s">
        <v>3879</v>
      </c>
      <c r="E1796" s="3">
        <v>45305</v>
      </c>
      <c r="F1796" s="3">
        <v>45798</v>
      </c>
      <c r="G1796" s="2" t="s">
        <v>3884</v>
      </c>
      <c r="H1796" s="2">
        <v>711454</v>
      </c>
      <c r="I1796" s="2">
        <v>1176423</v>
      </c>
      <c r="J1796" s="2" t="s">
        <v>3889</v>
      </c>
      <c r="K1796" s="2" t="s">
        <v>3896</v>
      </c>
      <c r="L1796" s="2">
        <v>2025</v>
      </c>
      <c r="M1796" s="2">
        <v>-464969</v>
      </c>
      <c r="N1796" s="2">
        <f xml:space="preserve"> (Table1[[#This Row],[Variance (USD)]] / Table1[[#This Row],[Actual Spending (USD)]]) * 100</f>
        <v>-39.523963744333457</v>
      </c>
      <c r="O1796" s="5" t="s">
        <v>3897</v>
      </c>
    </row>
    <row r="1797" spans="1:15" x14ac:dyDescent="0.25">
      <c r="A1797" s="4" t="s">
        <v>1810</v>
      </c>
      <c r="B1797" s="2" t="s">
        <v>3654</v>
      </c>
      <c r="C1797" s="2" t="s">
        <v>3875</v>
      </c>
      <c r="D1797" s="2" t="s">
        <v>3883</v>
      </c>
      <c r="E1797" s="3">
        <v>45124</v>
      </c>
      <c r="F1797" s="3">
        <v>45820</v>
      </c>
      <c r="G1797" s="2" t="s">
        <v>3886</v>
      </c>
      <c r="H1797" s="2">
        <v>678937</v>
      </c>
      <c r="I1797" s="2">
        <v>225110</v>
      </c>
      <c r="J1797" s="2" t="s">
        <v>3889</v>
      </c>
      <c r="K1797" s="2" t="s">
        <v>3895</v>
      </c>
      <c r="L1797" s="2">
        <v>2025</v>
      </c>
      <c r="M1797" s="2">
        <v>453827</v>
      </c>
      <c r="N1797" s="2">
        <f xml:space="preserve"> (Table1[[#This Row],[Variance (USD)]] / Table1[[#This Row],[Actual Spending (USD)]]) * 100</f>
        <v>201.60232775087735</v>
      </c>
      <c r="O1797" s="5" t="s">
        <v>3899</v>
      </c>
    </row>
    <row r="1798" spans="1:15" x14ac:dyDescent="0.25">
      <c r="A1798" s="4" t="s">
        <v>1811</v>
      </c>
      <c r="B1798" s="2" t="s">
        <v>3318</v>
      </c>
      <c r="C1798" s="2" t="s">
        <v>3869</v>
      </c>
      <c r="D1798" s="2" t="s">
        <v>3876</v>
      </c>
      <c r="E1798" s="3">
        <v>45482</v>
      </c>
      <c r="F1798" s="3">
        <v>45556</v>
      </c>
      <c r="G1798" s="2" t="s">
        <v>3884</v>
      </c>
      <c r="H1798" s="2">
        <v>625607</v>
      </c>
      <c r="I1798" s="2">
        <v>458665</v>
      </c>
      <c r="J1798" s="2" t="s">
        <v>3892</v>
      </c>
      <c r="K1798" s="2" t="s">
        <v>3895</v>
      </c>
      <c r="L1798" s="2">
        <v>2024</v>
      </c>
      <c r="M1798" s="2">
        <v>166942</v>
      </c>
      <c r="N1798" s="2">
        <f xml:space="preserve"> (Table1[[#This Row],[Variance (USD)]] / Table1[[#This Row],[Actual Spending (USD)]]) * 100</f>
        <v>36.397370629980486</v>
      </c>
      <c r="O1798" s="5" t="s">
        <v>3897</v>
      </c>
    </row>
    <row r="1799" spans="1:15" x14ac:dyDescent="0.25">
      <c r="A1799" s="4" t="s">
        <v>1812</v>
      </c>
      <c r="B1799" s="2" t="s">
        <v>3317</v>
      </c>
      <c r="C1799" s="2" t="s">
        <v>3868</v>
      </c>
      <c r="D1799" s="2" t="s">
        <v>3876</v>
      </c>
      <c r="E1799" s="3">
        <v>45282</v>
      </c>
      <c r="F1799" s="3">
        <v>45917</v>
      </c>
      <c r="G1799" s="2" t="s">
        <v>3886</v>
      </c>
      <c r="H1799" s="2">
        <v>752088</v>
      </c>
      <c r="I1799" s="2">
        <v>441855</v>
      </c>
      <c r="J1799" s="2" t="s">
        <v>3891</v>
      </c>
      <c r="K1799" s="2" t="s">
        <v>3894</v>
      </c>
      <c r="L1799" s="2">
        <v>2025</v>
      </c>
      <c r="M1799" s="2">
        <v>310233</v>
      </c>
      <c r="N1799" s="2">
        <f xml:space="preserve"> (Table1[[#This Row],[Variance (USD)]] / Table1[[#This Row],[Actual Spending (USD)]]) * 100</f>
        <v>70.21149472111891</v>
      </c>
      <c r="O1799" s="5" t="s">
        <v>3899</v>
      </c>
    </row>
    <row r="1800" spans="1:15" x14ac:dyDescent="0.25">
      <c r="A1800" s="4" t="s">
        <v>1813</v>
      </c>
      <c r="B1800" s="2" t="s">
        <v>3153</v>
      </c>
      <c r="C1800" s="2" t="s">
        <v>3873</v>
      </c>
      <c r="D1800" s="2" t="s">
        <v>3878</v>
      </c>
      <c r="E1800" s="3">
        <v>45466</v>
      </c>
      <c r="F1800" s="3">
        <v>45583</v>
      </c>
      <c r="G1800" s="2" t="s">
        <v>3884</v>
      </c>
      <c r="H1800" s="2">
        <v>467579</v>
      </c>
      <c r="I1800" s="2">
        <v>992874</v>
      </c>
      <c r="J1800" s="2" t="s">
        <v>3889</v>
      </c>
      <c r="K1800" s="2" t="s">
        <v>3893</v>
      </c>
      <c r="L1800" s="2">
        <v>2023</v>
      </c>
      <c r="M1800" s="2">
        <v>-525295</v>
      </c>
      <c r="N1800" s="2">
        <f xml:space="preserve"> (Table1[[#This Row],[Variance (USD)]] / Table1[[#This Row],[Actual Spending (USD)]]) * 100</f>
        <v>-52.906511803108955</v>
      </c>
      <c r="O1800" s="5" t="s">
        <v>3897</v>
      </c>
    </row>
    <row r="1801" spans="1:15" x14ac:dyDescent="0.25">
      <c r="A1801" s="4" t="s">
        <v>1814</v>
      </c>
      <c r="B1801" s="2" t="s">
        <v>3770</v>
      </c>
      <c r="C1801" s="2" t="s">
        <v>3870</v>
      </c>
      <c r="D1801" s="2" t="s">
        <v>3880</v>
      </c>
      <c r="E1801" s="3">
        <v>45355</v>
      </c>
      <c r="F1801" s="3">
        <v>45755</v>
      </c>
      <c r="G1801" s="2" t="s">
        <v>3885</v>
      </c>
      <c r="H1801" s="2">
        <v>137846</v>
      </c>
      <c r="I1801" s="2">
        <v>759988</v>
      </c>
      <c r="J1801" s="2" t="s">
        <v>3891</v>
      </c>
      <c r="K1801" s="2" t="s">
        <v>3896</v>
      </c>
      <c r="L1801" s="2">
        <v>2024</v>
      </c>
      <c r="M1801" s="2">
        <v>-622142</v>
      </c>
      <c r="N1801" s="2">
        <f xml:space="preserve"> (Table1[[#This Row],[Variance (USD)]] / Table1[[#This Row],[Actual Spending (USD)]]) * 100</f>
        <v>-81.862082032874213</v>
      </c>
      <c r="O1801" s="5" t="s">
        <v>3898</v>
      </c>
    </row>
    <row r="1802" spans="1:15" x14ac:dyDescent="0.25">
      <c r="A1802" s="4" t="s">
        <v>1815</v>
      </c>
      <c r="B1802" s="2" t="s">
        <v>3224</v>
      </c>
      <c r="C1802" s="2" t="s">
        <v>3873</v>
      </c>
      <c r="D1802" s="2" t="s">
        <v>3877</v>
      </c>
      <c r="E1802" s="3">
        <v>44943</v>
      </c>
      <c r="F1802" s="3">
        <v>45851</v>
      </c>
      <c r="G1802" s="2" t="s">
        <v>3886</v>
      </c>
      <c r="H1802" s="2">
        <v>220372</v>
      </c>
      <c r="I1802" s="2">
        <v>1150494</v>
      </c>
      <c r="J1802" s="2" t="s">
        <v>3888</v>
      </c>
      <c r="K1802" s="2" t="s">
        <v>3896</v>
      </c>
      <c r="L1802" s="2">
        <v>2024</v>
      </c>
      <c r="M1802" s="2">
        <v>-930122</v>
      </c>
      <c r="N1802" s="2">
        <f xml:space="preserve"> (Table1[[#This Row],[Variance (USD)]] / Table1[[#This Row],[Actual Spending (USD)]]) * 100</f>
        <v>-80.845445521662867</v>
      </c>
      <c r="O1802" s="5" t="s">
        <v>3899</v>
      </c>
    </row>
    <row r="1803" spans="1:15" x14ac:dyDescent="0.25">
      <c r="A1803" s="4" t="s">
        <v>1816</v>
      </c>
      <c r="B1803" s="2" t="s">
        <v>3112</v>
      </c>
      <c r="C1803" s="2" t="s">
        <v>3869</v>
      </c>
      <c r="D1803" s="2" t="s">
        <v>3881</v>
      </c>
      <c r="E1803" s="3">
        <v>45565</v>
      </c>
      <c r="F1803" s="3">
        <v>45388</v>
      </c>
      <c r="G1803" s="2" t="s">
        <v>3887</v>
      </c>
      <c r="H1803" s="2">
        <v>104808</v>
      </c>
      <c r="I1803" s="2">
        <v>465926</v>
      </c>
      <c r="J1803" s="2" t="s">
        <v>3892</v>
      </c>
      <c r="K1803" s="2" t="s">
        <v>3893</v>
      </c>
      <c r="L1803" s="2">
        <v>2025</v>
      </c>
      <c r="M1803" s="2">
        <v>-361118</v>
      </c>
      <c r="N1803" s="2">
        <f xml:space="preserve"> (Table1[[#This Row],[Variance (USD)]] / Table1[[#This Row],[Actual Spending (USD)]]) * 100</f>
        <v>-77.505440778149321</v>
      </c>
      <c r="O1803" s="5" t="s">
        <v>3900</v>
      </c>
    </row>
    <row r="1804" spans="1:15" x14ac:dyDescent="0.25">
      <c r="A1804" s="4" t="s">
        <v>1817</v>
      </c>
      <c r="B1804" s="2" t="s">
        <v>3100</v>
      </c>
      <c r="C1804" s="2" t="s">
        <v>3868</v>
      </c>
      <c r="D1804" s="2" t="s">
        <v>3882</v>
      </c>
      <c r="E1804" s="3">
        <v>45305</v>
      </c>
      <c r="F1804" s="3">
        <v>45386</v>
      </c>
      <c r="G1804" s="2" t="s">
        <v>3884</v>
      </c>
      <c r="H1804" s="2">
        <v>973447</v>
      </c>
      <c r="I1804" s="2">
        <v>215123</v>
      </c>
      <c r="J1804" s="2" t="s">
        <v>3888</v>
      </c>
      <c r="K1804" s="2" t="s">
        <v>3895</v>
      </c>
      <c r="L1804" s="2">
        <v>2024</v>
      </c>
      <c r="M1804" s="2">
        <v>758324</v>
      </c>
      <c r="N1804" s="2">
        <f xml:space="preserve"> (Table1[[#This Row],[Variance (USD)]] / Table1[[#This Row],[Actual Spending (USD)]]) * 100</f>
        <v>352.50717031651664</v>
      </c>
      <c r="O1804" s="5" t="s">
        <v>3897</v>
      </c>
    </row>
    <row r="1805" spans="1:15" x14ac:dyDescent="0.25">
      <c r="A1805" s="4" t="s">
        <v>1818</v>
      </c>
      <c r="B1805" s="2" t="s">
        <v>3565</v>
      </c>
      <c r="C1805" s="2" t="s">
        <v>3871</v>
      </c>
      <c r="D1805" s="2" t="s">
        <v>3883</v>
      </c>
      <c r="E1805" s="3">
        <v>45606</v>
      </c>
      <c r="F1805" s="3">
        <v>45617</v>
      </c>
      <c r="G1805" s="2" t="s">
        <v>3884</v>
      </c>
      <c r="H1805" s="2">
        <v>261177</v>
      </c>
      <c r="I1805" s="2">
        <v>221711</v>
      </c>
      <c r="J1805" s="2" t="s">
        <v>3891</v>
      </c>
      <c r="K1805" s="2" t="s">
        <v>3893</v>
      </c>
      <c r="L1805" s="2">
        <v>2024</v>
      </c>
      <c r="M1805" s="2">
        <v>39466</v>
      </c>
      <c r="N1805" s="2">
        <f xml:space="preserve"> (Table1[[#This Row],[Variance (USD)]] / Table1[[#This Row],[Actual Spending (USD)]]) * 100</f>
        <v>17.800650396236541</v>
      </c>
      <c r="O1805" s="5" t="s">
        <v>3897</v>
      </c>
    </row>
    <row r="1806" spans="1:15" x14ac:dyDescent="0.25">
      <c r="A1806" s="4" t="s">
        <v>1819</v>
      </c>
      <c r="B1806" s="2" t="s">
        <v>3443</v>
      </c>
      <c r="C1806" s="2" t="s">
        <v>3875</v>
      </c>
      <c r="D1806" s="2" t="s">
        <v>3877</v>
      </c>
      <c r="E1806" s="3">
        <v>45432</v>
      </c>
      <c r="F1806" s="3">
        <v>45365</v>
      </c>
      <c r="G1806" s="2" t="s">
        <v>3884</v>
      </c>
      <c r="H1806" s="2">
        <v>616904</v>
      </c>
      <c r="I1806" s="2">
        <v>33159</v>
      </c>
      <c r="J1806" s="2" t="s">
        <v>3889</v>
      </c>
      <c r="K1806" s="2" t="s">
        <v>3894</v>
      </c>
      <c r="L1806" s="2">
        <v>2023</v>
      </c>
      <c r="M1806" s="2">
        <v>583745</v>
      </c>
      <c r="N1806" s="2">
        <f xml:space="preserve"> (Table1[[#This Row],[Variance (USD)]] / Table1[[#This Row],[Actual Spending (USD)]]) * 100</f>
        <v>1760.4421122470519</v>
      </c>
      <c r="O1806" s="5" t="s">
        <v>3897</v>
      </c>
    </row>
    <row r="1807" spans="1:15" x14ac:dyDescent="0.25">
      <c r="A1807" s="4" t="s">
        <v>1820</v>
      </c>
      <c r="B1807" s="2" t="s">
        <v>3780</v>
      </c>
      <c r="C1807" s="2" t="s">
        <v>3868</v>
      </c>
      <c r="D1807" s="2" t="s">
        <v>3882</v>
      </c>
      <c r="E1807" s="3">
        <v>45002</v>
      </c>
      <c r="F1807" s="3">
        <v>45627</v>
      </c>
      <c r="G1807" s="2" t="s">
        <v>3884</v>
      </c>
      <c r="H1807" s="2">
        <v>910761</v>
      </c>
      <c r="I1807" s="2">
        <v>887624</v>
      </c>
      <c r="J1807" s="2" t="s">
        <v>3888</v>
      </c>
      <c r="K1807" s="2" t="s">
        <v>3895</v>
      </c>
      <c r="L1807" s="2">
        <v>2024</v>
      </c>
      <c r="M1807" s="2">
        <v>23137</v>
      </c>
      <c r="N1807" s="2">
        <f xml:space="preserve"> (Table1[[#This Row],[Variance (USD)]] / Table1[[#This Row],[Actual Spending (USD)]]) * 100</f>
        <v>2.6066217227114183</v>
      </c>
      <c r="O1807" s="5" t="s">
        <v>3897</v>
      </c>
    </row>
    <row r="1808" spans="1:15" x14ac:dyDescent="0.25">
      <c r="A1808" s="4" t="s">
        <v>1821</v>
      </c>
      <c r="B1808" s="2" t="s">
        <v>3102</v>
      </c>
      <c r="C1808" s="2" t="s">
        <v>3874</v>
      </c>
      <c r="D1808" s="2" t="s">
        <v>3877</v>
      </c>
      <c r="E1808" s="3">
        <v>45157</v>
      </c>
      <c r="F1808" s="3">
        <v>45359</v>
      </c>
      <c r="G1808" s="2" t="s">
        <v>3884</v>
      </c>
      <c r="H1808" s="2">
        <v>809103</v>
      </c>
      <c r="I1808" s="2">
        <v>359132</v>
      </c>
      <c r="J1808" s="2" t="s">
        <v>3890</v>
      </c>
      <c r="K1808" s="2" t="s">
        <v>3893</v>
      </c>
      <c r="L1808" s="2">
        <v>2024</v>
      </c>
      <c r="M1808" s="2">
        <v>449971</v>
      </c>
      <c r="N1808" s="2">
        <f xml:space="preserve"> (Table1[[#This Row],[Variance (USD)]] / Table1[[#This Row],[Actual Spending (USD)]]) * 100</f>
        <v>125.29404230199481</v>
      </c>
      <c r="O1808" s="5" t="s">
        <v>3897</v>
      </c>
    </row>
    <row r="1809" spans="1:15" x14ac:dyDescent="0.25">
      <c r="A1809" s="4" t="s">
        <v>1822</v>
      </c>
      <c r="B1809" s="2" t="s">
        <v>3651</v>
      </c>
      <c r="C1809" s="2" t="s">
        <v>3870</v>
      </c>
      <c r="D1809" s="2" t="s">
        <v>3883</v>
      </c>
      <c r="E1809" s="3">
        <v>45642</v>
      </c>
      <c r="F1809" s="3">
        <v>45368</v>
      </c>
      <c r="G1809" s="2" t="s">
        <v>3886</v>
      </c>
      <c r="H1809" s="2">
        <v>206359</v>
      </c>
      <c r="I1809" s="2">
        <v>826651</v>
      </c>
      <c r="J1809" s="2" t="s">
        <v>3892</v>
      </c>
      <c r="K1809" s="2" t="s">
        <v>3893</v>
      </c>
      <c r="L1809" s="2">
        <v>2024</v>
      </c>
      <c r="M1809" s="2">
        <v>-620292</v>
      </c>
      <c r="N1809" s="2">
        <f xml:space="preserve"> (Table1[[#This Row],[Variance (USD)]] / Table1[[#This Row],[Actual Spending (USD)]]) * 100</f>
        <v>-75.036744647983241</v>
      </c>
      <c r="O1809" s="5" t="s">
        <v>3899</v>
      </c>
    </row>
    <row r="1810" spans="1:15" x14ac:dyDescent="0.25">
      <c r="A1810" s="4" t="s">
        <v>1823</v>
      </c>
      <c r="B1810" s="2" t="s">
        <v>3148</v>
      </c>
      <c r="C1810" s="2" t="s">
        <v>3873</v>
      </c>
      <c r="D1810" s="2" t="s">
        <v>3876</v>
      </c>
      <c r="E1810" s="3">
        <v>45174</v>
      </c>
      <c r="F1810" s="3">
        <v>45499</v>
      </c>
      <c r="G1810" s="2" t="s">
        <v>3884</v>
      </c>
      <c r="H1810" s="2">
        <v>964389</v>
      </c>
      <c r="I1810" s="2">
        <v>788849</v>
      </c>
      <c r="J1810" s="2" t="s">
        <v>3891</v>
      </c>
      <c r="K1810" s="2" t="s">
        <v>3894</v>
      </c>
      <c r="L1810" s="2">
        <v>2024</v>
      </c>
      <c r="M1810" s="2">
        <v>175540</v>
      </c>
      <c r="N1810" s="2">
        <f xml:space="preserve"> (Table1[[#This Row],[Variance (USD)]] / Table1[[#This Row],[Actual Spending (USD)]]) * 100</f>
        <v>22.252674466215968</v>
      </c>
      <c r="O1810" s="5" t="s">
        <v>3897</v>
      </c>
    </row>
    <row r="1811" spans="1:15" x14ac:dyDescent="0.25">
      <c r="A1811" s="4" t="s">
        <v>1824</v>
      </c>
      <c r="B1811" s="2" t="s">
        <v>3023</v>
      </c>
      <c r="C1811" s="2" t="s">
        <v>3870</v>
      </c>
      <c r="D1811" s="2" t="s">
        <v>3883</v>
      </c>
      <c r="E1811" s="3">
        <v>45228</v>
      </c>
      <c r="F1811" s="3">
        <v>45512</v>
      </c>
      <c r="G1811" s="2" t="s">
        <v>3884</v>
      </c>
      <c r="H1811" s="2">
        <v>739331</v>
      </c>
      <c r="I1811" s="2">
        <v>503212</v>
      </c>
      <c r="J1811" s="2" t="s">
        <v>3889</v>
      </c>
      <c r="K1811" s="2" t="s">
        <v>3893</v>
      </c>
      <c r="L1811" s="2">
        <v>2023</v>
      </c>
      <c r="M1811" s="2">
        <v>236119</v>
      </c>
      <c r="N1811" s="2">
        <f xml:space="preserve"> (Table1[[#This Row],[Variance (USD)]] / Table1[[#This Row],[Actual Spending (USD)]]) * 100</f>
        <v>46.922370690683053</v>
      </c>
      <c r="O1811" s="5" t="s">
        <v>3897</v>
      </c>
    </row>
    <row r="1812" spans="1:15" x14ac:dyDescent="0.25">
      <c r="A1812" s="4" t="s">
        <v>1825</v>
      </c>
      <c r="B1812" s="2" t="s">
        <v>3484</v>
      </c>
      <c r="C1812" s="2" t="s">
        <v>3870</v>
      </c>
      <c r="D1812" s="2" t="s">
        <v>3882</v>
      </c>
      <c r="E1812" s="3">
        <v>45652</v>
      </c>
      <c r="F1812" s="3">
        <v>45553</v>
      </c>
      <c r="G1812" s="2" t="s">
        <v>3885</v>
      </c>
      <c r="H1812" s="2">
        <v>106152</v>
      </c>
      <c r="I1812" s="2">
        <v>1099670</v>
      </c>
      <c r="J1812" s="2" t="s">
        <v>3888</v>
      </c>
      <c r="K1812" s="2" t="s">
        <v>3895</v>
      </c>
      <c r="L1812" s="2">
        <v>2024</v>
      </c>
      <c r="M1812" s="2">
        <v>-993518</v>
      </c>
      <c r="N1812" s="2">
        <f xml:space="preserve"> (Table1[[#This Row],[Variance (USD)]] / Table1[[#This Row],[Actual Spending (USD)]]) * 100</f>
        <v>-90.346922258495738</v>
      </c>
      <c r="O1812" s="5" t="s">
        <v>3898</v>
      </c>
    </row>
    <row r="1813" spans="1:15" x14ac:dyDescent="0.25">
      <c r="A1813" s="4" t="s">
        <v>1826</v>
      </c>
      <c r="B1813" s="2" t="s">
        <v>3551</v>
      </c>
      <c r="C1813" s="2" t="s">
        <v>3869</v>
      </c>
      <c r="D1813" s="2" t="s">
        <v>3877</v>
      </c>
      <c r="E1813" s="3">
        <v>45141</v>
      </c>
      <c r="F1813" s="3">
        <v>45701</v>
      </c>
      <c r="G1813" s="2" t="s">
        <v>3886</v>
      </c>
      <c r="H1813" s="2">
        <v>92351</v>
      </c>
      <c r="I1813" s="2">
        <v>155312</v>
      </c>
      <c r="J1813" s="2" t="s">
        <v>3892</v>
      </c>
      <c r="K1813" s="2" t="s">
        <v>3896</v>
      </c>
      <c r="L1813" s="2">
        <v>2023</v>
      </c>
      <c r="M1813" s="2">
        <v>-62961</v>
      </c>
      <c r="N1813" s="2">
        <f xml:space="preserve"> (Table1[[#This Row],[Variance (USD)]] / Table1[[#This Row],[Actual Spending (USD)]]) * 100</f>
        <v>-40.538400123622125</v>
      </c>
      <c r="O1813" s="5" t="s">
        <v>3899</v>
      </c>
    </row>
    <row r="1814" spans="1:15" x14ac:dyDescent="0.25">
      <c r="A1814" s="4" t="s">
        <v>1827</v>
      </c>
      <c r="B1814" s="2" t="s">
        <v>3696</v>
      </c>
      <c r="C1814" s="2" t="s">
        <v>3869</v>
      </c>
      <c r="D1814" s="2" t="s">
        <v>3880</v>
      </c>
      <c r="E1814" s="3">
        <v>45084</v>
      </c>
      <c r="F1814" s="3">
        <v>45622</v>
      </c>
      <c r="G1814" s="2" t="s">
        <v>3884</v>
      </c>
      <c r="H1814" s="2">
        <v>555931</v>
      </c>
      <c r="I1814" s="2">
        <v>134894</v>
      </c>
      <c r="J1814" s="2" t="s">
        <v>3889</v>
      </c>
      <c r="K1814" s="2" t="s">
        <v>3896</v>
      </c>
      <c r="L1814" s="2">
        <v>2023</v>
      </c>
      <c r="M1814" s="2">
        <v>421037</v>
      </c>
      <c r="N1814" s="2">
        <f xml:space="preserve"> (Table1[[#This Row],[Variance (USD)]] / Table1[[#This Row],[Actual Spending (USD)]]) * 100</f>
        <v>312.12433466277224</v>
      </c>
      <c r="O1814" s="5" t="s">
        <v>3897</v>
      </c>
    </row>
    <row r="1815" spans="1:15" x14ac:dyDescent="0.25">
      <c r="A1815" s="4" t="s">
        <v>1828</v>
      </c>
      <c r="B1815" s="2" t="s">
        <v>3296</v>
      </c>
      <c r="C1815" s="2" t="s">
        <v>3875</v>
      </c>
      <c r="D1815" s="2" t="s">
        <v>3881</v>
      </c>
      <c r="E1815" s="3">
        <v>44995</v>
      </c>
      <c r="F1815" s="3">
        <v>45635</v>
      </c>
      <c r="G1815" s="2" t="s">
        <v>3884</v>
      </c>
      <c r="H1815" s="2">
        <v>765400</v>
      </c>
      <c r="I1815" s="2">
        <v>671406</v>
      </c>
      <c r="J1815" s="2" t="s">
        <v>3888</v>
      </c>
      <c r="K1815" s="2" t="s">
        <v>3896</v>
      </c>
      <c r="L1815" s="2">
        <v>2023</v>
      </c>
      <c r="M1815" s="2">
        <v>93994</v>
      </c>
      <c r="N1815" s="2">
        <f xml:space="preserve"> (Table1[[#This Row],[Variance (USD)]] / Table1[[#This Row],[Actual Spending (USD)]]) * 100</f>
        <v>13.999577007056832</v>
      </c>
      <c r="O1815" s="5" t="s">
        <v>3897</v>
      </c>
    </row>
    <row r="1816" spans="1:15" x14ac:dyDescent="0.25">
      <c r="A1816" s="4" t="s">
        <v>1829</v>
      </c>
      <c r="B1816" s="2" t="s">
        <v>3203</v>
      </c>
      <c r="C1816" s="2" t="s">
        <v>3869</v>
      </c>
      <c r="D1816" s="2" t="s">
        <v>3881</v>
      </c>
      <c r="E1816" s="3">
        <v>45319</v>
      </c>
      <c r="F1816" s="3">
        <v>45365</v>
      </c>
      <c r="G1816" s="2" t="s">
        <v>3884</v>
      </c>
      <c r="H1816" s="2">
        <v>277977</v>
      </c>
      <c r="I1816" s="2">
        <v>713284</v>
      </c>
      <c r="J1816" s="2" t="s">
        <v>3891</v>
      </c>
      <c r="K1816" s="2" t="s">
        <v>3895</v>
      </c>
      <c r="L1816" s="2">
        <v>2025</v>
      </c>
      <c r="M1816" s="2">
        <v>-435307</v>
      </c>
      <c r="N1816" s="2">
        <f xml:space="preserve"> (Table1[[#This Row],[Variance (USD)]] / Table1[[#This Row],[Actual Spending (USD)]]) * 100</f>
        <v>-61.028566461605763</v>
      </c>
      <c r="O1816" s="5" t="s">
        <v>3897</v>
      </c>
    </row>
    <row r="1817" spans="1:15" x14ac:dyDescent="0.25">
      <c r="A1817" s="4" t="s">
        <v>1830</v>
      </c>
      <c r="B1817" s="2" t="s">
        <v>3125</v>
      </c>
      <c r="C1817" s="2" t="s">
        <v>3869</v>
      </c>
      <c r="D1817" s="2" t="s">
        <v>3880</v>
      </c>
      <c r="E1817" s="3">
        <v>45011</v>
      </c>
      <c r="F1817" s="3">
        <v>45928</v>
      </c>
      <c r="G1817" s="2" t="s">
        <v>3884</v>
      </c>
      <c r="H1817" s="2">
        <v>793919</v>
      </c>
      <c r="I1817" s="2">
        <v>899757</v>
      </c>
      <c r="J1817" s="2" t="s">
        <v>3890</v>
      </c>
      <c r="K1817" s="2" t="s">
        <v>3893</v>
      </c>
      <c r="L1817" s="2">
        <v>2025</v>
      </c>
      <c r="M1817" s="2">
        <v>-105838</v>
      </c>
      <c r="N1817" s="2">
        <f xml:space="preserve"> (Table1[[#This Row],[Variance (USD)]] / Table1[[#This Row],[Actual Spending (USD)]]) * 100</f>
        <v>-11.762953775297108</v>
      </c>
      <c r="O1817" s="5" t="s">
        <v>3897</v>
      </c>
    </row>
    <row r="1818" spans="1:15" x14ac:dyDescent="0.25">
      <c r="A1818" s="4" t="s">
        <v>1831</v>
      </c>
      <c r="B1818" s="2" t="s">
        <v>3131</v>
      </c>
      <c r="C1818" s="2" t="s">
        <v>3868</v>
      </c>
      <c r="D1818" s="2" t="s">
        <v>3880</v>
      </c>
      <c r="E1818" s="3">
        <v>45193</v>
      </c>
      <c r="F1818" s="3">
        <v>45991</v>
      </c>
      <c r="G1818" s="2" t="s">
        <v>3886</v>
      </c>
      <c r="H1818" s="2">
        <v>434521</v>
      </c>
      <c r="I1818" s="2">
        <v>1000653</v>
      </c>
      <c r="J1818" s="2" t="s">
        <v>3890</v>
      </c>
      <c r="K1818" s="2" t="s">
        <v>3893</v>
      </c>
      <c r="L1818" s="2">
        <v>2024</v>
      </c>
      <c r="M1818" s="2">
        <v>-566132</v>
      </c>
      <c r="N1818" s="2">
        <f xml:space="preserve"> (Table1[[#This Row],[Variance (USD)]] / Table1[[#This Row],[Actual Spending (USD)]]) * 100</f>
        <v>-56.576255705024614</v>
      </c>
      <c r="O1818" s="5" t="s">
        <v>3899</v>
      </c>
    </row>
    <row r="1819" spans="1:15" x14ac:dyDescent="0.25">
      <c r="A1819" s="4" t="s">
        <v>1832</v>
      </c>
      <c r="B1819" s="2" t="s">
        <v>3598</v>
      </c>
      <c r="C1819" s="2" t="s">
        <v>3874</v>
      </c>
      <c r="D1819" s="2" t="s">
        <v>3876</v>
      </c>
      <c r="E1819" s="3">
        <v>44995</v>
      </c>
      <c r="F1819" s="3">
        <v>45545</v>
      </c>
      <c r="G1819" s="2" t="s">
        <v>3884</v>
      </c>
      <c r="H1819" s="2">
        <v>110616</v>
      </c>
      <c r="I1819" s="2">
        <v>61854</v>
      </c>
      <c r="J1819" s="2" t="s">
        <v>3891</v>
      </c>
      <c r="K1819" s="2" t="s">
        <v>3893</v>
      </c>
      <c r="L1819" s="2">
        <v>2023</v>
      </c>
      <c r="M1819" s="2">
        <v>48762</v>
      </c>
      <c r="N1819" s="2">
        <f xml:space="preserve"> (Table1[[#This Row],[Variance (USD)]] / Table1[[#This Row],[Actual Spending (USD)]]) * 100</f>
        <v>78.834028518770012</v>
      </c>
      <c r="O1819" s="5" t="s">
        <v>3897</v>
      </c>
    </row>
    <row r="1820" spans="1:15" x14ac:dyDescent="0.25">
      <c r="A1820" s="4" t="s">
        <v>1833</v>
      </c>
      <c r="B1820" s="2" t="s">
        <v>3034</v>
      </c>
      <c r="C1820" s="2" t="s">
        <v>3871</v>
      </c>
      <c r="D1820" s="2" t="s">
        <v>3882</v>
      </c>
      <c r="E1820" s="3">
        <v>45537</v>
      </c>
      <c r="F1820" s="3">
        <v>45623</v>
      </c>
      <c r="G1820" s="2" t="s">
        <v>3885</v>
      </c>
      <c r="H1820" s="2">
        <v>816781</v>
      </c>
      <c r="I1820" s="2">
        <v>90796</v>
      </c>
      <c r="J1820" s="2" t="s">
        <v>3892</v>
      </c>
      <c r="K1820" s="2" t="s">
        <v>3893</v>
      </c>
      <c r="L1820" s="2">
        <v>2025</v>
      </c>
      <c r="M1820" s="2">
        <v>725985</v>
      </c>
      <c r="N1820" s="2">
        <f xml:space="preserve"> (Table1[[#This Row],[Variance (USD)]] / Table1[[#This Row],[Actual Spending (USD)]]) * 100</f>
        <v>799.57817525001099</v>
      </c>
      <c r="O1820" s="5" t="s">
        <v>3898</v>
      </c>
    </row>
    <row r="1821" spans="1:15" x14ac:dyDescent="0.25">
      <c r="A1821" s="4" t="s">
        <v>1834</v>
      </c>
      <c r="B1821" s="2" t="s">
        <v>3161</v>
      </c>
      <c r="C1821" s="2" t="s">
        <v>3875</v>
      </c>
      <c r="D1821" s="2" t="s">
        <v>3879</v>
      </c>
      <c r="E1821" s="3">
        <v>45273</v>
      </c>
      <c r="F1821" s="3">
        <v>45689</v>
      </c>
      <c r="G1821" s="2" t="s">
        <v>3886</v>
      </c>
      <c r="H1821" s="2">
        <v>204969</v>
      </c>
      <c r="I1821" s="2">
        <v>1055181</v>
      </c>
      <c r="J1821" s="2" t="s">
        <v>3891</v>
      </c>
      <c r="K1821" s="2" t="s">
        <v>3896</v>
      </c>
      <c r="L1821" s="2">
        <v>2024</v>
      </c>
      <c r="M1821" s="2">
        <v>-850212</v>
      </c>
      <c r="N1821" s="2">
        <f xml:space="preserve"> (Table1[[#This Row],[Variance (USD)]] / Table1[[#This Row],[Actual Spending (USD)]]) * 100</f>
        <v>-80.574991399579787</v>
      </c>
      <c r="O1821" s="5" t="s">
        <v>3899</v>
      </c>
    </row>
    <row r="1822" spans="1:15" x14ac:dyDescent="0.25">
      <c r="A1822" s="4" t="s">
        <v>1835</v>
      </c>
      <c r="B1822" s="2" t="s">
        <v>3191</v>
      </c>
      <c r="C1822" s="2" t="s">
        <v>3868</v>
      </c>
      <c r="D1822" s="2" t="s">
        <v>3883</v>
      </c>
      <c r="E1822" s="3">
        <v>45654</v>
      </c>
      <c r="F1822" s="3">
        <v>45636</v>
      </c>
      <c r="G1822" s="2" t="s">
        <v>3886</v>
      </c>
      <c r="H1822" s="2">
        <v>335154</v>
      </c>
      <c r="I1822" s="2">
        <v>1151151</v>
      </c>
      <c r="J1822" s="2" t="s">
        <v>3888</v>
      </c>
      <c r="K1822" s="2" t="s">
        <v>3895</v>
      </c>
      <c r="L1822" s="2">
        <v>2025</v>
      </c>
      <c r="M1822" s="2">
        <v>-815997</v>
      </c>
      <c r="N1822" s="2">
        <f xml:space="preserve"> (Table1[[#This Row],[Variance (USD)]] / Table1[[#This Row],[Actual Spending (USD)]]) * 100</f>
        <v>-70.885313916245565</v>
      </c>
      <c r="O1822" s="5" t="s">
        <v>3899</v>
      </c>
    </row>
    <row r="1823" spans="1:15" x14ac:dyDescent="0.25">
      <c r="A1823" s="4" t="s">
        <v>1836</v>
      </c>
      <c r="B1823" s="2" t="s">
        <v>3612</v>
      </c>
      <c r="C1823" s="2" t="s">
        <v>3871</v>
      </c>
      <c r="D1823" s="2" t="s">
        <v>3881</v>
      </c>
      <c r="E1823" s="3">
        <v>45599</v>
      </c>
      <c r="F1823" s="3">
        <v>45875</v>
      </c>
      <c r="G1823" s="2" t="s">
        <v>3884</v>
      </c>
      <c r="H1823" s="2">
        <v>544651</v>
      </c>
      <c r="I1823" s="2">
        <v>140380</v>
      </c>
      <c r="J1823" s="2" t="s">
        <v>3892</v>
      </c>
      <c r="K1823" s="2" t="s">
        <v>3894</v>
      </c>
      <c r="L1823" s="2">
        <v>2023</v>
      </c>
      <c r="M1823" s="2">
        <v>404271</v>
      </c>
      <c r="N1823" s="2">
        <f xml:space="preserve"> (Table1[[#This Row],[Variance (USD)]] / Table1[[#This Row],[Actual Spending (USD)]]) * 100</f>
        <v>287.98333095882606</v>
      </c>
      <c r="O1823" s="5" t="s">
        <v>3897</v>
      </c>
    </row>
    <row r="1824" spans="1:15" x14ac:dyDescent="0.25">
      <c r="A1824" s="4" t="s">
        <v>1837</v>
      </c>
      <c r="B1824" s="2" t="s">
        <v>3750</v>
      </c>
      <c r="C1824" s="2" t="s">
        <v>3870</v>
      </c>
      <c r="D1824" s="2" t="s">
        <v>3880</v>
      </c>
      <c r="E1824" s="3">
        <v>45349</v>
      </c>
      <c r="F1824" s="3">
        <v>45959</v>
      </c>
      <c r="G1824" s="2" t="s">
        <v>3884</v>
      </c>
      <c r="H1824" s="2">
        <v>696110</v>
      </c>
      <c r="I1824" s="2">
        <v>316243</v>
      </c>
      <c r="J1824" s="2" t="s">
        <v>3890</v>
      </c>
      <c r="K1824" s="2" t="s">
        <v>3895</v>
      </c>
      <c r="L1824" s="2">
        <v>2024</v>
      </c>
      <c r="M1824" s="2">
        <v>379867</v>
      </c>
      <c r="N1824" s="2">
        <f xml:space="preserve"> (Table1[[#This Row],[Variance (USD)]] / Table1[[#This Row],[Actual Spending (USD)]]) * 100</f>
        <v>120.11870618480094</v>
      </c>
      <c r="O1824" s="5" t="s">
        <v>3897</v>
      </c>
    </row>
    <row r="1825" spans="1:15" x14ac:dyDescent="0.25">
      <c r="A1825" s="4" t="s">
        <v>1838</v>
      </c>
      <c r="B1825" s="2" t="s">
        <v>3363</v>
      </c>
      <c r="C1825" s="2" t="s">
        <v>3868</v>
      </c>
      <c r="D1825" s="2" t="s">
        <v>3883</v>
      </c>
      <c r="E1825" s="3">
        <v>45532</v>
      </c>
      <c r="F1825" s="3">
        <v>45746</v>
      </c>
      <c r="G1825" s="2" t="s">
        <v>3886</v>
      </c>
      <c r="H1825" s="2">
        <v>201186</v>
      </c>
      <c r="I1825" s="2">
        <v>492422</v>
      </c>
      <c r="J1825" s="2" t="s">
        <v>3888</v>
      </c>
      <c r="K1825" s="2" t="s">
        <v>3893</v>
      </c>
      <c r="L1825" s="2">
        <v>2023</v>
      </c>
      <c r="M1825" s="2">
        <v>-291236</v>
      </c>
      <c r="N1825" s="2">
        <f xml:space="preserve"> (Table1[[#This Row],[Variance (USD)]] / Table1[[#This Row],[Actual Spending (USD)]]) * 100</f>
        <v>-59.143580099995532</v>
      </c>
      <c r="O1825" s="5" t="s">
        <v>3899</v>
      </c>
    </row>
    <row r="1826" spans="1:15" x14ac:dyDescent="0.25">
      <c r="A1826" s="4" t="s">
        <v>1839</v>
      </c>
      <c r="B1826" s="2" t="s">
        <v>3781</v>
      </c>
      <c r="C1826" s="2" t="s">
        <v>3872</v>
      </c>
      <c r="D1826" s="2" t="s">
        <v>3881</v>
      </c>
      <c r="E1826" s="3">
        <v>45100</v>
      </c>
      <c r="F1826" s="3">
        <v>45406</v>
      </c>
      <c r="G1826" s="2" t="s">
        <v>3884</v>
      </c>
      <c r="H1826" s="2">
        <v>855482</v>
      </c>
      <c r="I1826" s="2">
        <v>1187447</v>
      </c>
      <c r="J1826" s="2" t="s">
        <v>3889</v>
      </c>
      <c r="K1826" s="2" t="s">
        <v>3893</v>
      </c>
      <c r="L1826" s="2">
        <v>2023</v>
      </c>
      <c r="M1826" s="2">
        <v>-331965</v>
      </c>
      <c r="N1826" s="2">
        <f xml:space="preserve"> (Table1[[#This Row],[Variance (USD)]] / Table1[[#This Row],[Actual Spending (USD)]]) * 100</f>
        <v>-27.956195097549617</v>
      </c>
      <c r="O1826" s="5" t="s">
        <v>3897</v>
      </c>
    </row>
    <row r="1827" spans="1:15" x14ac:dyDescent="0.25">
      <c r="A1827" s="4" t="s">
        <v>1840</v>
      </c>
      <c r="B1827" s="2" t="s">
        <v>3708</v>
      </c>
      <c r="C1827" s="2" t="s">
        <v>3868</v>
      </c>
      <c r="D1827" s="2" t="s">
        <v>3880</v>
      </c>
      <c r="E1827" s="3">
        <v>45603</v>
      </c>
      <c r="F1827" s="3">
        <v>45604</v>
      </c>
      <c r="G1827" s="2" t="s">
        <v>3884</v>
      </c>
      <c r="H1827" s="2">
        <v>296309</v>
      </c>
      <c r="I1827" s="2">
        <v>804079</v>
      </c>
      <c r="J1827" s="2" t="s">
        <v>3889</v>
      </c>
      <c r="K1827" s="2" t="s">
        <v>3895</v>
      </c>
      <c r="L1827" s="2">
        <v>2025</v>
      </c>
      <c r="M1827" s="2">
        <v>-507770</v>
      </c>
      <c r="N1827" s="2">
        <f xml:space="preserve"> (Table1[[#This Row],[Variance (USD)]] / Table1[[#This Row],[Actual Spending (USD)]]) * 100</f>
        <v>-63.149267671460137</v>
      </c>
      <c r="O1827" s="5" t="s">
        <v>3897</v>
      </c>
    </row>
    <row r="1828" spans="1:15" x14ac:dyDescent="0.25">
      <c r="A1828" s="4" t="s">
        <v>1841</v>
      </c>
      <c r="B1828" s="2" t="s">
        <v>3232</v>
      </c>
      <c r="C1828" s="2" t="s">
        <v>3869</v>
      </c>
      <c r="D1828" s="2" t="s">
        <v>3882</v>
      </c>
      <c r="E1828" s="3">
        <v>45041</v>
      </c>
      <c r="F1828" s="3">
        <v>45519</v>
      </c>
      <c r="G1828" s="2" t="s">
        <v>3884</v>
      </c>
      <c r="H1828" s="2">
        <v>333269</v>
      </c>
      <c r="I1828" s="2">
        <v>45793</v>
      </c>
      <c r="J1828" s="2" t="s">
        <v>3889</v>
      </c>
      <c r="K1828" s="2" t="s">
        <v>3895</v>
      </c>
      <c r="L1828" s="2">
        <v>2024</v>
      </c>
      <c r="M1828" s="2">
        <v>287476</v>
      </c>
      <c r="N1828" s="2">
        <f xml:space="preserve"> (Table1[[#This Row],[Variance (USD)]] / Table1[[#This Row],[Actual Spending (USD)]]) * 100</f>
        <v>627.7728037036228</v>
      </c>
      <c r="O1828" s="5" t="s">
        <v>3897</v>
      </c>
    </row>
    <row r="1829" spans="1:15" x14ac:dyDescent="0.25">
      <c r="A1829" s="4" t="s">
        <v>1842</v>
      </c>
      <c r="B1829" s="2" t="s">
        <v>3332</v>
      </c>
      <c r="C1829" s="2" t="s">
        <v>3871</v>
      </c>
      <c r="D1829" s="2" t="s">
        <v>3881</v>
      </c>
      <c r="E1829" s="3">
        <v>45146</v>
      </c>
      <c r="F1829" s="3">
        <v>45536</v>
      </c>
      <c r="G1829" s="2" t="s">
        <v>3884</v>
      </c>
      <c r="H1829" s="2">
        <v>537310</v>
      </c>
      <c r="I1829" s="2">
        <v>377806</v>
      </c>
      <c r="J1829" s="2" t="s">
        <v>3890</v>
      </c>
      <c r="K1829" s="2" t="s">
        <v>3896</v>
      </c>
      <c r="L1829" s="2">
        <v>2024</v>
      </c>
      <c r="M1829" s="2">
        <v>159504</v>
      </c>
      <c r="N1829" s="2">
        <f xml:space="preserve"> (Table1[[#This Row],[Variance (USD)]] / Table1[[#This Row],[Actual Spending (USD)]]) * 100</f>
        <v>42.218493089045701</v>
      </c>
      <c r="O1829" s="5" t="s">
        <v>3897</v>
      </c>
    </row>
    <row r="1830" spans="1:15" x14ac:dyDescent="0.25">
      <c r="A1830" s="4" t="s">
        <v>1843</v>
      </c>
      <c r="B1830" s="2" t="s">
        <v>3267</v>
      </c>
      <c r="C1830" s="2" t="s">
        <v>3875</v>
      </c>
      <c r="D1830" s="2" t="s">
        <v>3876</v>
      </c>
      <c r="E1830" s="3">
        <v>44957</v>
      </c>
      <c r="F1830" s="3">
        <v>45817</v>
      </c>
      <c r="G1830" s="2" t="s">
        <v>3886</v>
      </c>
      <c r="H1830" s="2">
        <v>493612</v>
      </c>
      <c r="I1830" s="2">
        <v>245836</v>
      </c>
      <c r="J1830" s="2" t="s">
        <v>3891</v>
      </c>
      <c r="K1830" s="2" t="s">
        <v>3893</v>
      </c>
      <c r="L1830" s="2">
        <v>2024</v>
      </c>
      <c r="M1830" s="2">
        <v>247776</v>
      </c>
      <c r="N1830" s="2">
        <f xml:space="preserve"> (Table1[[#This Row],[Variance (USD)]] / Table1[[#This Row],[Actual Spending (USD)]]) * 100</f>
        <v>100.78914398216696</v>
      </c>
      <c r="O1830" s="5" t="s">
        <v>3899</v>
      </c>
    </row>
    <row r="1831" spans="1:15" x14ac:dyDescent="0.25">
      <c r="A1831" s="4" t="s">
        <v>1844</v>
      </c>
      <c r="B1831" s="2" t="s">
        <v>3457</v>
      </c>
      <c r="C1831" s="2" t="s">
        <v>3875</v>
      </c>
      <c r="D1831" s="2" t="s">
        <v>3879</v>
      </c>
      <c r="E1831" s="3">
        <v>45449</v>
      </c>
      <c r="F1831" s="3">
        <v>45819</v>
      </c>
      <c r="G1831" s="2" t="s">
        <v>3884</v>
      </c>
      <c r="H1831" s="2">
        <v>225918</v>
      </c>
      <c r="I1831" s="2">
        <v>507347</v>
      </c>
      <c r="J1831" s="2" t="s">
        <v>3892</v>
      </c>
      <c r="K1831" s="2" t="s">
        <v>3895</v>
      </c>
      <c r="L1831" s="2">
        <v>2025</v>
      </c>
      <c r="M1831" s="2">
        <v>-281429</v>
      </c>
      <c r="N1831" s="2">
        <f xml:space="preserve"> (Table1[[#This Row],[Variance (USD)]] / Table1[[#This Row],[Actual Spending (USD)]]) * 100</f>
        <v>-55.47071333820837</v>
      </c>
      <c r="O1831" s="5" t="s">
        <v>3897</v>
      </c>
    </row>
    <row r="1832" spans="1:15" x14ac:dyDescent="0.25">
      <c r="A1832" s="4" t="s">
        <v>1845</v>
      </c>
      <c r="B1832" s="2" t="s">
        <v>3782</v>
      </c>
      <c r="C1832" s="2" t="s">
        <v>3871</v>
      </c>
      <c r="D1832" s="2" t="s">
        <v>3879</v>
      </c>
      <c r="E1832" s="3">
        <v>45269</v>
      </c>
      <c r="F1832" s="3">
        <v>45718</v>
      </c>
      <c r="G1832" s="2" t="s">
        <v>3884</v>
      </c>
      <c r="H1832" s="2">
        <v>463612</v>
      </c>
      <c r="I1832" s="2">
        <v>423576</v>
      </c>
      <c r="J1832" s="2" t="s">
        <v>3890</v>
      </c>
      <c r="K1832" s="2" t="s">
        <v>3893</v>
      </c>
      <c r="L1832" s="2">
        <v>2024</v>
      </c>
      <c r="M1832" s="2">
        <v>40036</v>
      </c>
      <c r="N1832" s="2">
        <f xml:space="preserve"> (Table1[[#This Row],[Variance (USD)]] / Table1[[#This Row],[Actual Spending (USD)]]) * 100</f>
        <v>9.4519047349236018</v>
      </c>
      <c r="O1832" s="5" t="s">
        <v>3897</v>
      </c>
    </row>
    <row r="1833" spans="1:15" x14ac:dyDescent="0.25">
      <c r="A1833" s="4" t="s">
        <v>1846</v>
      </c>
      <c r="B1833" s="2" t="s">
        <v>3045</v>
      </c>
      <c r="C1833" s="2" t="s">
        <v>3869</v>
      </c>
      <c r="D1833" s="2" t="s">
        <v>3880</v>
      </c>
      <c r="E1833" s="3">
        <v>45303</v>
      </c>
      <c r="F1833" s="3">
        <v>45333</v>
      </c>
      <c r="G1833" s="2" t="s">
        <v>3884</v>
      </c>
      <c r="H1833" s="2">
        <v>404805</v>
      </c>
      <c r="I1833" s="2">
        <v>687992</v>
      </c>
      <c r="J1833" s="2" t="s">
        <v>3888</v>
      </c>
      <c r="K1833" s="2" t="s">
        <v>3895</v>
      </c>
      <c r="L1833" s="2">
        <v>2025</v>
      </c>
      <c r="M1833" s="2">
        <v>-283187</v>
      </c>
      <c r="N1833" s="2">
        <f xml:space="preserve"> (Table1[[#This Row],[Variance (USD)]] / Table1[[#This Row],[Actual Spending (USD)]]) * 100</f>
        <v>-41.161379783485849</v>
      </c>
      <c r="O1833" s="5" t="s">
        <v>3897</v>
      </c>
    </row>
    <row r="1834" spans="1:15" x14ac:dyDescent="0.25">
      <c r="A1834" s="4" t="s">
        <v>1847</v>
      </c>
      <c r="B1834" s="2" t="s">
        <v>3445</v>
      </c>
      <c r="C1834" s="2" t="s">
        <v>3873</v>
      </c>
      <c r="D1834" s="2" t="s">
        <v>3881</v>
      </c>
      <c r="E1834" s="3">
        <v>45056</v>
      </c>
      <c r="F1834" s="3">
        <v>45756</v>
      </c>
      <c r="G1834" s="2" t="s">
        <v>3886</v>
      </c>
      <c r="H1834" s="2">
        <v>831444</v>
      </c>
      <c r="I1834" s="2">
        <v>110882</v>
      </c>
      <c r="J1834" s="2" t="s">
        <v>3888</v>
      </c>
      <c r="K1834" s="2" t="s">
        <v>3893</v>
      </c>
      <c r="L1834" s="2">
        <v>2024</v>
      </c>
      <c r="M1834" s="2">
        <v>720562</v>
      </c>
      <c r="N1834" s="2">
        <f xml:space="preserve"> (Table1[[#This Row],[Variance (USD)]] / Table1[[#This Row],[Actual Spending (USD)]]) * 100</f>
        <v>649.84578200248916</v>
      </c>
      <c r="O1834" s="5" t="s">
        <v>3899</v>
      </c>
    </row>
    <row r="1835" spans="1:15" x14ac:dyDescent="0.25">
      <c r="A1835" s="4" t="s">
        <v>1848</v>
      </c>
      <c r="B1835" s="2" t="s">
        <v>3127</v>
      </c>
      <c r="C1835" s="2" t="s">
        <v>3868</v>
      </c>
      <c r="D1835" s="2" t="s">
        <v>3876</v>
      </c>
      <c r="E1835" s="3">
        <v>45543</v>
      </c>
      <c r="F1835" s="3">
        <v>45913</v>
      </c>
      <c r="G1835" s="2" t="s">
        <v>3885</v>
      </c>
      <c r="H1835" s="2">
        <v>566941</v>
      </c>
      <c r="I1835" s="2">
        <v>930290</v>
      </c>
      <c r="J1835" s="2" t="s">
        <v>3889</v>
      </c>
      <c r="K1835" s="2" t="s">
        <v>3895</v>
      </c>
      <c r="L1835" s="2">
        <v>2025</v>
      </c>
      <c r="M1835" s="2">
        <v>-363349</v>
      </c>
      <c r="N1835" s="2">
        <f xml:space="preserve"> (Table1[[#This Row],[Variance (USD)]] / Table1[[#This Row],[Actual Spending (USD)]]) * 100</f>
        <v>-39.057605692848469</v>
      </c>
      <c r="O1835" s="5" t="s">
        <v>3898</v>
      </c>
    </row>
    <row r="1836" spans="1:15" x14ac:dyDescent="0.25">
      <c r="A1836" s="4" t="s">
        <v>1849</v>
      </c>
      <c r="B1836" s="2" t="s">
        <v>3783</v>
      </c>
      <c r="C1836" s="2" t="s">
        <v>3869</v>
      </c>
      <c r="D1836" s="2" t="s">
        <v>3878</v>
      </c>
      <c r="E1836" s="3">
        <v>45465</v>
      </c>
      <c r="F1836" s="3">
        <v>45569</v>
      </c>
      <c r="G1836" s="2" t="s">
        <v>3885</v>
      </c>
      <c r="H1836" s="2">
        <v>662404</v>
      </c>
      <c r="I1836" s="2">
        <v>179080</v>
      </c>
      <c r="J1836" s="2" t="s">
        <v>3892</v>
      </c>
      <c r="K1836" s="2" t="s">
        <v>3893</v>
      </c>
      <c r="L1836" s="2">
        <v>2024</v>
      </c>
      <c r="M1836" s="2">
        <v>483324</v>
      </c>
      <c r="N1836" s="2">
        <f xml:space="preserve"> (Table1[[#This Row],[Variance (USD)]] / Table1[[#This Row],[Actual Spending (USD)]]) * 100</f>
        <v>269.8927853473308</v>
      </c>
      <c r="O1836" s="5" t="s">
        <v>3898</v>
      </c>
    </row>
    <row r="1837" spans="1:15" x14ac:dyDescent="0.25">
      <c r="A1837" s="4" t="s">
        <v>1850</v>
      </c>
      <c r="B1837" s="2" t="s">
        <v>3771</v>
      </c>
      <c r="C1837" s="2" t="s">
        <v>3872</v>
      </c>
      <c r="D1837" s="2" t="s">
        <v>3883</v>
      </c>
      <c r="E1837" s="3">
        <v>44928</v>
      </c>
      <c r="F1837" s="3">
        <v>45310</v>
      </c>
      <c r="G1837" s="2" t="s">
        <v>3884</v>
      </c>
      <c r="H1837" s="2">
        <v>169233</v>
      </c>
      <c r="I1837" s="2">
        <v>631944</v>
      </c>
      <c r="J1837" s="2" t="s">
        <v>3889</v>
      </c>
      <c r="K1837" s="2" t="s">
        <v>3894</v>
      </c>
      <c r="L1837" s="2">
        <v>2025</v>
      </c>
      <c r="M1837" s="2">
        <v>-462711</v>
      </c>
      <c r="N1837" s="2">
        <f xml:space="preserve"> (Table1[[#This Row],[Variance (USD)]] / Table1[[#This Row],[Actual Spending (USD)]]) * 100</f>
        <v>-73.220253693365237</v>
      </c>
      <c r="O1837" s="5" t="s">
        <v>3897</v>
      </c>
    </row>
    <row r="1838" spans="1:15" x14ac:dyDescent="0.25">
      <c r="A1838" s="4" t="s">
        <v>1851</v>
      </c>
      <c r="B1838" s="2" t="s">
        <v>3670</v>
      </c>
      <c r="C1838" s="2" t="s">
        <v>3874</v>
      </c>
      <c r="D1838" s="2" t="s">
        <v>3883</v>
      </c>
      <c r="E1838" s="3">
        <v>45027</v>
      </c>
      <c r="F1838" s="3">
        <v>45357</v>
      </c>
      <c r="G1838" s="2" t="s">
        <v>3884</v>
      </c>
      <c r="H1838" s="2">
        <v>466790</v>
      </c>
      <c r="I1838" s="2">
        <v>453499</v>
      </c>
      <c r="J1838" s="2" t="s">
        <v>3888</v>
      </c>
      <c r="K1838" s="2" t="s">
        <v>3896</v>
      </c>
      <c r="L1838" s="2">
        <v>2023</v>
      </c>
      <c r="M1838" s="2">
        <v>13291</v>
      </c>
      <c r="N1838" s="2">
        <f xml:space="preserve"> (Table1[[#This Row],[Variance (USD)]] / Table1[[#This Row],[Actual Spending (USD)]]) * 100</f>
        <v>2.9307672122761019</v>
      </c>
      <c r="O1838" s="5" t="s">
        <v>3897</v>
      </c>
    </row>
    <row r="1839" spans="1:15" x14ac:dyDescent="0.25">
      <c r="A1839" s="4" t="s">
        <v>1852</v>
      </c>
      <c r="B1839" s="2" t="s">
        <v>3567</v>
      </c>
      <c r="C1839" s="2" t="s">
        <v>3870</v>
      </c>
      <c r="D1839" s="2" t="s">
        <v>3877</v>
      </c>
      <c r="E1839" s="3">
        <v>45459</v>
      </c>
      <c r="F1839" s="3">
        <v>45458</v>
      </c>
      <c r="G1839" s="2" t="s">
        <v>3884</v>
      </c>
      <c r="H1839" s="2">
        <v>926587</v>
      </c>
      <c r="I1839" s="2">
        <v>693178</v>
      </c>
      <c r="J1839" s="2" t="s">
        <v>3888</v>
      </c>
      <c r="K1839" s="2" t="s">
        <v>3894</v>
      </c>
      <c r="L1839" s="2">
        <v>2023</v>
      </c>
      <c r="M1839" s="2">
        <v>233409</v>
      </c>
      <c r="N1839" s="2">
        <f xml:space="preserve"> (Table1[[#This Row],[Variance (USD)]] / Table1[[#This Row],[Actual Spending (USD)]]) * 100</f>
        <v>33.672303506458654</v>
      </c>
      <c r="O1839" s="5" t="s">
        <v>3897</v>
      </c>
    </row>
    <row r="1840" spans="1:15" x14ac:dyDescent="0.25">
      <c r="A1840" s="4" t="s">
        <v>1853</v>
      </c>
      <c r="B1840" s="2" t="s">
        <v>3784</v>
      </c>
      <c r="C1840" s="2" t="s">
        <v>3871</v>
      </c>
      <c r="D1840" s="2" t="s">
        <v>3876</v>
      </c>
      <c r="E1840" s="3">
        <v>44984</v>
      </c>
      <c r="F1840" s="3">
        <v>45876</v>
      </c>
      <c r="G1840" s="2" t="s">
        <v>3886</v>
      </c>
      <c r="H1840" s="2">
        <v>966275</v>
      </c>
      <c r="I1840" s="2">
        <v>1109155</v>
      </c>
      <c r="J1840" s="2" t="s">
        <v>3891</v>
      </c>
      <c r="K1840" s="2" t="s">
        <v>3896</v>
      </c>
      <c r="L1840" s="2">
        <v>2023</v>
      </c>
      <c r="M1840" s="2">
        <v>-142880</v>
      </c>
      <c r="N1840" s="2">
        <f xml:space="preserve"> (Table1[[#This Row],[Variance (USD)]] / Table1[[#This Row],[Actual Spending (USD)]]) * 100</f>
        <v>-12.881878547182316</v>
      </c>
      <c r="O1840" s="5" t="s">
        <v>3899</v>
      </c>
    </row>
    <row r="1841" spans="1:15" x14ac:dyDescent="0.25">
      <c r="A1841" s="4" t="s">
        <v>1854</v>
      </c>
      <c r="B1841" s="2" t="s">
        <v>3166</v>
      </c>
      <c r="C1841" s="2" t="s">
        <v>3874</v>
      </c>
      <c r="D1841" s="2" t="s">
        <v>3881</v>
      </c>
      <c r="E1841" s="3">
        <v>45315</v>
      </c>
      <c r="F1841" s="3">
        <v>45694</v>
      </c>
      <c r="G1841" s="2" t="s">
        <v>3886</v>
      </c>
      <c r="H1841" s="2">
        <v>63869</v>
      </c>
      <c r="I1841" s="2">
        <v>226092</v>
      </c>
      <c r="J1841" s="2" t="s">
        <v>3891</v>
      </c>
      <c r="K1841" s="2" t="s">
        <v>3896</v>
      </c>
      <c r="L1841" s="2">
        <v>2024</v>
      </c>
      <c r="M1841" s="2">
        <v>-162223</v>
      </c>
      <c r="N1841" s="2">
        <f xml:space="preserve"> (Table1[[#This Row],[Variance (USD)]] / Table1[[#This Row],[Actual Spending (USD)]]) * 100</f>
        <v>-71.750880172673064</v>
      </c>
      <c r="O1841" s="5" t="s">
        <v>3899</v>
      </c>
    </row>
    <row r="1842" spans="1:15" x14ac:dyDescent="0.25">
      <c r="A1842" s="4" t="s">
        <v>1855</v>
      </c>
      <c r="B1842" s="2" t="s">
        <v>3515</v>
      </c>
      <c r="C1842" s="2" t="s">
        <v>3868</v>
      </c>
      <c r="D1842" s="2" t="s">
        <v>3882</v>
      </c>
      <c r="E1842" s="3">
        <v>45618</v>
      </c>
      <c r="F1842" s="3">
        <v>45700</v>
      </c>
      <c r="G1842" s="2" t="s">
        <v>3886</v>
      </c>
      <c r="H1842" s="2">
        <v>509410</v>
      </c>
      <c r="I1842" s="2">
        <v>667492</v>
      </c>
      <c r="J1842" s="2" t="s">
        <v>3891</v>
      </c>
      <c r="K1842" s="2" t="s">
        <v>3895</v>
      </c>
      <c r="L1842" s="2">
        <v>2025</v>
      </c>
      <c r="M1842" s="2">
        <v>-158082</v>
      </c>
      <c r="N1842" s="2">
        <f xml:space="preserve"> (Table1[[#This Row],[Variance (USD)]] / Table1[[#This Row],[Actual Spending (USD)]]) * 100</f>
        <v>-23.68298047017792</v>
      </c>
      <c r="O1842" s="5" t="s">
        <v>3899</v>
      </c>
    </row>
    <row r="1843" spans="1:15" x14ac:dyDescent="0.25">
      <c r="A1843" s="4" t="s">
        <v>1856</v>
      </c>
      <c r="B1843" s="2" t="s">
        <v>3608</v>
      </c>
      <c r="C1843" s="2" t="s">
        <v>3875</v>
      </c>
      <c r="D1843" s="2" t="s">
        <v>3882</v>
      </c>
      <c r="E1843" s="3">
        <v>45267</v>
      </c>
      <c r="F1843" s="3">
        <v>45403</v>
      </c>
      <c r="G1843" s="2" t="s">
        <v>3884</v>
      </c>
      <c r="H1843" s="2">
        <v>636455</v>
      </c>
      <c r="I1843" s="2">
        <v>427534</v>
      </c>
      <c r="J1843" s="2" t="s">
        <v>3889</v>
      </c>
      <c r="K1843" s="2" t="s">
        <v>3894</v>
      </c>
      <c r="L1843" s="2">
        <v>2023</v>
      </c>
      <c r="M1843" s="2">
        <v>208921</v>
      </c>
      <c r="N1843" s="2">
        <f xml:space="preserve"> (Table1[[#This Row],[Variance (USD)]] / Table1[[#This Row],[Actual Spending (USD)]]) * 100</f>
        <v>48.866522896424613</v>
      </c>
      <c r="O1843" s="5" t="s">
        <v>3897</v>
      </c>
    </row>
    <row r="1844" spans="1:15" x14ac:dyDescent="0.25">
      <c r="A1844" s="4" t="s">
        <v>1857</v>
      </c>
      <c r="B1844" s="2" t="s">
        <v>3040</v>
      </c>
      <c r="C1844" s="2" t="s">
        <v>3870</v>
      </c>
      <c r="D1844" s="2" t="s">
        <v>3877</v>
      </c>
      <c r="E1844" s="3">
        <v>44946</v>
      </c>
      <c r="F1844" s="3">
        <v>45565</v>
      </c>
      <c r="G1844" s="2" t="s">
        <v>3886</v>
      </c>
      <c r="H1844" s="2">
        <v>761507</v>
      </c>
      <c r="I1844" s="2">
        <v>937043</v>
      </c>
      <c r="J1844" s="2" t="s">
        <v>3892</v>
      </c>
      <c r="K1844" s="2" t="s">
        <v>3896</v>
      </c>
      <c r="L1844" s="2">
        <v>2024</v>
      </c>
      <c r="M1844" s="2">
        <v>-175536</v>
      </c>
      <c r="N1844" s="2">
        <f xml:space="preserve"> (Table1[[#This Row],[Variance (USD)]] / Table1[[#This Row],[Actual Spending (USD)]]) * 100</f>
        <v>-18.732971699271005</v>
      </c>
      <c r="O1844" s="5" t="s">
        <v>3899</v>
      </c>
    </row>
    <row r="1845" spans="1:15" x14ac:dyDescent="0.25">
      <c r="A1845" s="4" t="s">
        <v>1858</v>
      </c>
      <c r="B1845" s="2" t="s">
        <v>3569</v>
      </c>
      <c r="C1845" s="2" t="s">
        <v>3874</v>
      </c>
      <c r="D1845" s="2" t="s">
        <v>3880</v>
      </c>
      <c r="E1845" s="3">
        <v>45181</v>
      </c>
      <c r="F1845" s="3">
        <v>45698</v>
      </c>
      <c r="G1845" s="2" t="s">
        <v>3884</v>
      </c>
      <c r="H1845" s="2">
        <v>293758</v>
      </c>
      <c r="I1845" s="2">
        <v>458297</v>
      </c>
      <c r="J1845" s="2" t="s">
        <v>3891</v>
      </c>
      <c r="K1845" s="2" t="s">
        <v>3893</v>
      </c>
      <c r="L1845" s="2">
        <v>2025</v>
      </c>
      <c r="M1845" s="2">
        <v>-164539</v>
      </c>
      <c r="N1845" s="2">
        <f xml:space="preserve"> (Table1[[#This Row],[Variance (USD)]] / Table1[[#This Row],[Actual Spending (USD)]]) * 100</f>
        <v>-35.902264252220725</v>
      </c>
      <c r="O1845" s="5" t="s">
        <v>3897</v>
      </c>
    </row>
    <row r="1846" spans="1:15" x14ac:dyDescent="0.25">
      <c r="A1846" s="4" t="s">
        <v>1859</v>
      </c>
      <c r="B1846" s="2" t="s">
        <v>3364</v>
      </c>
      <c r="C1846" s="2" t="s">
        <v>3873</v>
      </c>
      <c r="D1846" s="2" t="s">
        <v>3881</v>
      </c>
      <c r="E1846" s="3">
        <v>45243</v>
      </c>
      <c r="F1846" s="3">
        <v>45664</v>
      </c>
      <c r="G1846" s="2" t="s">
        <v>3886</v>
      </c>
      <c r="H1846" s="2">
        <v>717482</v>
      </c>
      <c r="I1846" s="2">
        <v>540332</v>
      </c>
      <c r="J1846" s="2" t="s">
        <v>3890</v>
      </c>
      <c r="K1846" s="2" t="s">
        <v>3895</v>
      </c>
      <c r="L1846" s="2">
        <v>2023</v>
      </c>
      <c r="M1846" s="2">
        <v>177150</v>
      </c>
      <c r="N1846" s="2">
        <f xml:space="preserve"> (Table1[[#This Row],[Variance (USD)]] / Table1[[#This Row],[Actual Spending (USD)]]) * 100</f>
        <v>32.785398606782493</v>
      </c>
      <c r="O1846" s="5" t="s">
        <v>3899</v>
      </c>
    </row>
    <row r="1847" spans="1:15" x14ac:dyDescent="0.25">
      <c r="A1847" s="4" t="s">
        <v>1860</v>
      </c>
      <c r="B1847" s="2" t="s">
        <v>3785</v>
      </c>
      <c r="C1847" s="2" t="s">
        <v>3874</v>
      </c>
      <c r="D1847" s="2" t="s">
        <v>3877</v>
      </c>
      <c r="E1847" s="3">
        <v>44964</v>
      </c>
      <c r="F1847" s="3">
        <v>45888</v>
      </c>
      <c r="G1847" s="2" t="s">
        <v>3884</v>
      </c>
      <c r="H1847" s="2">
        <v>224899</v>
      </c>
      <c r="I1847" s="2">
        <v>536568</v>
      </c>
      <c r="J1847" s="2" t="s">
        <v>3891</v>
      </c>
      <c r="K1847" s="2" t="s">
        <v>3895</v>
      </c>
      <c r="L1847" s="2">
        <v>2023</v>
      </c>
      <c r="M1847" s="2">
        <v>-311669</v>
      </c>
      <c r="N1847" s="2">
        <f xml:space="preserve"> (Table1[[#This Row],[Variance (USD)]] / Table1[[#This Row],[Actual Spending (USD)]]) * 100</f>
        <v>-58.085648044609442</v>
      </c>
      <c r="O1847" s="5" t="s">
        <v>3897</v>
      </c>
    </row>
    <row r="1848" spans="1:15" x14ac:dyDescent="0.25">
      <c r="A1848" s="4" t="s">
        <v>1861</v>
      </c>
      <c r="B1848" s="2" t="s">
        <v>3704</v>
      </c>
      <c r="C1848" s="2" t="s">
        <v>3872</v>
      </c>
      <c r="D1848" s="2" t="s">
        <v>3879</v>
      </c>
      <c r="E1848" s="3">
        <v>45586</v>
      </c>
      <c r="F1848" s="3">
        <v>45942</v>
      </c>
      <c r="G1848" s="2" t="s">
        <v>3886</v>
      </c>
      <c r="H1848" s="2">
        <v>718695</v>
      </c>
      <c r="I1848" s="2">
        <v>239742</v>
      </c>
      <c r="J1848" s="2" t="s">
        <v>3889</v>
      </c>
      <c r="K1848" s="2" t="s">
        <v>3893</v>
      </c>
      <c r="L1848" s="2">
        <v>2024</v>
      </c>
      <c r="M1848" s="2">
        <v>478953</v>
      </c>
      <c r="N1848" s="2">
        <f xml:space="preserve"> (Table1[[#This Row],[Variance (USD)]] / Table1[[#This Row],[Actual Spending (USD)]]) * 100</f>
        <v>199.77851190029281</v>
      </c>
      <c r="O1848" s="5" t="s">
        <v>3899</v>
      </c>
    </row>
    <row r="1849" spans="1:15" x14ac:dyDescent="0.25">
      <c r="A1849" s="4" t="s">
        <v>1862</v>
      </c>
      <c r="B1849" s="2" t="s">
        <v>3073</v>
      </c>
      <c r="C1849" s="2" t="s">
        <v>3875</v>
      </c>
      <c r="D1849" s="2" t="s">
        <v>3883</v>
      </c>
      <c r="E1849" s="3">
        <v>45463</v>
      </c>
      <c r="F1849" s="3">
        <v>45330</v>
      </c>
      <c r="G1849" s="2" t="s">
        <v>3884</v>
      </c>
      <c r="H1849" s="2">
        <v>301536</v>
      </c>
      <c r="I1849" s="2">
        <v>928118</v>
      </c>
      <c r="J1849" s="2" t="s">
        <v>3892</v>
      </c>
      <c r="K1849" s="2" t="s">
        <v>3893</v>
      </c>
      <c r="L1849" s="2">
        <v>2025</v>
      </c>
      <c r="M1849" s="2">
        <v>-626582</v>
      </c>
      <c r="N1849" s="2">
        <f xml:space="preserve"> (Table1[[#This Row],[Variance (USD)]] / Table1[[#This Row],[Actual Spending (USD)]]) * 100</f>
        <v>-67.511027692599441</v>
      </c>
      <c r="O1849" s="5" t="s">
        <v>3897</v>
      </c>
    </row>
    <row r="1850" spans="1:15" x14ac:dyDescent="0.25">
      <c r="A1850" s="4" t="s">
        <v>1863</v>
      </c>
      <c r="B1850" s="2" t="s">
        <v>3246</v>
      </c>
      <c r="C1850" s="2" t="s">
        <v>3871</v>
      </c>
      <c r="D1850" s="2" t="s">
        <v>3881</v>
      </c>
      <c r="E1850" s="3">
        <v>45312</v>
      </c>
      <c r="F1850" s="3">
        <v>45396</v>
      </c>
      <c r="G1850" s="2" t="s">
        <v>3884</v>
      </c>
      <c r="H1850" s="2">
        <v>900008</v>
      </c>
      <c r="I1850" s="2">
        <v>106377</v>
      </c>
      <c r="J1850" s="2" t="s">
        <v>3891</v>
      </c>
      <c r="K1850" s="2" t="s">
        <v>3896</v>
      </c>
      <c r="L1850" s="2">
        <v>2024</v>
      </c>
      <c r="M1850" s="2">
        <v>793631</v>
      </c>
      <c r="N1850" s="2">
        <f xml:space="preserve"> (Table1[[#This Row],[Variance (USD)]] / Table1[[#This Row],[Actual Spending (USD)]]) * 100</f>
        <v>746.05506829483818</v>
      </c>
      <c r="O1850" s="5" t="s">
        <v>3897</v>
      </c>
    </row>
    <row r="1851" spans="1:15" x14ac:dyDescent="0.25">
      <c r="A1851" s="4" t="s">
        <v>1864</v>
      </c>
      <c r="B1851" s="2" t="s">
        <v>3227</v>
      </c>
      <c r="C1851" s="2" t="s">
        <v>3868</v>
      </c>
      <c r="D1851" s="2" t="s">
        <v>3877</v>
      </c>
      <c r="E1851" s="3">
        <v>45559</v>
      </c>
      <c r="F1851" s="3">
        <v>45615</v>
      </c>
      <c r="G1851" s="2" t="s">
        <v>3886</v>
      </c>
      <c r="H1851" s="2">
        <v>595965</v>
      </c>
      <c r="I1851" s="2">
        <v>383815</v>
      </c>
      <c r="J1851" s="2" t="s">
        <v>3892</v>
      </c>
      <c r="K1851" s="2" t="s">
        <v>3893</v>
      </c>
      <c r="L1851" s="2">
        <v>2023</v>
      </c>
      <c r="M1851" s="2">
        <v>212150</v>
      </c>
      <c r="N1851" s="2">
        <f xml:space="preserve"> (Table1[[#This Row],[Variance (USD)]] / Table1[[#This Row],[Actual Spending (USD)]]) * 100</f>
        <v>55.274025246538052</v>
      </c>
      <c r="O1851" s="5" t="s">
        <v>3899</v>
      </c>
    </row>
    <row r="1852" spans="1:15" x14ac:dyDescent="0.25">
      <c r="A1852" s="4" t="s">
        <v>1865</v>
      </c>
      <c r="B1852" s="2" t="s">
        <v>3166</v>
      </c>
      <c r="C1852" s="2" t="s">
        <v>3871</v>
      </c>
      <c r="D1852" s="2" t="s">
        <v>3879</v>
      </c>
      <c r="E1852" s="3">
        <v>44952</v>
      </c>
      <c r="F1852" s="3">
        <v>45705</v>
      </c>
      <c r="G1852" s="2" t="s">
        <v>3884</v>
      </c>
      <c r="H1852" s="2">
        <v>471439</v>
      </c>
      <c r="I1852" s="2">
        <v>173499</v>
      </c>
      <c r="J1852" s="2" t="s">
        <v>3890</v>
      </c>
      <c r="K1852" s="2" t="s">
        <v>3895</v>
      </c>
      <c r="L1852" s="2">
        <v>2024</v>
      </c>
      <c r="M1852" s="2">
        <v>297940</v>
      </c>
      <c r="N1852" s="2">
        <f xml:space="preserve"> (Table1[[#This Row],[Variance (USD)]] / Table1[[#This Row],[Actual Spending (USD)]]) * 100</f>
        <v>171.72433270508765</v>
      </c>
      <c r="O1852" s="5" t="s">
        <v>3897</v>
      </c>
    </row>
    <row r="1853" spans="1:15" x14ac:dyDescent="0.25">
      <c r="A1853" s="4" t="s">
        <v>1866</v>
      </c>
      <c r="B1853" s="2" t="s">
        <v>3497</v>
      </c>
      <c r="C1853" s="2" t="s">
        <v>3870</v>
      </c>
      <c r="D1853" s="2" t="s">
        <v>3876</v>
      </c>
      <c r="E1853" s="3">
        <v>45380</v>
      </c>
      <c r="F1853" s="3">
        <v>45720</v>
      </c>
      <c r="G1853" s="2" t="s">
        <v>3886</v>
      </c>
      <c r="H1853" s="2">
        <v>473030</v>
      </c>
      <c r="I1853" s="2">
        <v>656551</v>
      </c>
      <c r="J1853" s="2" t="s">
        <v>3888</v>
      </c>
      <c r="K1853" s="2" t="s">
        <v>3893</v>
      </c>
      <c r="L1853" s="2">
        <v>2024</v>
      </c>
      <c r="M1853" s="2">
        <v>-183521</v>
      </c>
      <c r="N1853" s="2">
        <f xml:space="preserve"> (Table1[[#This Row],[Variance (USD)]] / Table1[[#This Row],[Actual Spending (USD)]]) * 100</f>
        <v>-27.952283980985481</v>
      </c>
      <c r="O1853" s="5" t="s">
        <v>3899</v>
      </c>
    </row>
    <row r="1854" spans="1:15" x14ac:dyDescent="0.25">
      <c r="A1854" s="4" t="s">
        <v>1867</v>
      </c>
      <c r="B1854" s="2" t="s">
        <v>3363</v>
      </c>
      <c r="C1854" s="2" t="s">
        <v>3868</v>
      </c>
      <c r="D1854" s="2" t="s">
        <v>3877</v>
      </c>
      <c r="E1854" s="3">
        <v>45607</v>
      </c>
      <c r="F1854" s="3">
        <v>45926</v>
      </c>
      <c r="G1854" s="2" t="s">
        <v>3886</v>
      </c>
      <c r="H1854" s="2">
        <v>175662</v>
      </c>
      <c r="I1854" s="2">
        <v>1014789</v>
      </c>
      <c r="J1854" s="2" t="s">
        <v>3892</v>
      </c>
      <c r="K1854" s="2" t="s">
        <v>3894</v>
      </c>
      <c r="L1854" s="2">
        <v>2023</v>
      </c>
      <c r="M1854" s="2">
        <v>-839127</v>
      </c>
      <c r="N1854" s="2">
        <f xml:space="preserve"> (Table1[[#This Row],[Variance (USD)]] / Table1[[#This Row],[Actual Spending (USD)]]) * 100</f>
        <v>-82.689800539816645</v>
      </c>
      <c r="O1854" s="5" t="s">
        <v>3899</v>
      </c>
    </row>
    <row r="1855" spans="1:15" x14ac:dyDescent="0.25">
      <c r="A1855" s="4" t="s">
        <v>1868</v>
      </c>
      <c r="B1855" s="2" t="s">
        <v>3712</v>
      </c>
      <c r="C1855" s="2" t="s">
        <v>3869</v>
      </c>
      <c r="D1855" s="2" t="s">
        <v>3880</v>
      </c>
      <c r="E1855" s="3">
        <v>45249</v>
      </c>
      <c r="F1855" s="3">
        <v>46021</v>
      </c>
      <c r="G1855" s="2" t="s">
        <v>3886</v>
      </c>
      <c r="H1855" s="2">
        <v>526827</v>
      </c>
      <c r="I1855" s="2">
        <v>675647</v>
      </c>
      <c r="J1855" s="2" t="s">
        <v>3891</v>
      </c>
      <c r="K1855" s="2" t="s">
        <v>3895</v>
      </c>
      <c r="L1855" s="2">
        <v>2023</v>
      </c>
      <c r="M1855" s="2">
        <v>-148820</v>
      </c>
      <c r="N1855" s="2">
        <f xml:space="preserve"> (Table1[[#This Row],[Variance (USD)]] / Table1[[#This Row],[Actual Spending (USD)]]) * 100</f>
        <v>-22.026294795951141</v>
      </c>
      <c r="O1855" s="5" t="s">
        <v>3899</v>
      </c>
    </row>
    <row r="1856" spans="1:15" x14ac:dyDescent="0.25">
      <c r="A1856" s="4" t="s">
        <v>1869</v>
      </c>
      <c r="B1856" s="2" t="s">
        <v>3518</v>
      </c>
      <c r="C1856" s="2" t="s">
        <v>3873</v>
      </c>
      <c r="D1856" s="2" t="s">
        <v>3880</v>
      </c>
      <c r="E1856" s="3">
        <v>45439</v>
      </c>
      <c r="F1856" s="3">
        <v>45352</v>
      </c>
      <c r="G1856" s="2" t="s">
        <v>3884</v>
      </c>
      <c r="H1856" s="2">
        <v>486401</v>
      </c>
      <c r="I1856" s="2">
        <v>365314</v>
      </c>
      <c r="J1856" s="2" t="s">
        <v>3889</v>
      </c>
      <c r="K1856" s="2" t="s">
        <v>3893</v>
      </c>
      <c r="L1856" s="2">
        <v>2025</v>
      </c>
      <c r="M1856" s="2">
        <v>121087</v>
      </c>
      <c r="N1856" s="2">
        <f xml:space="preserve"> (Table1[[#This Row],[Variance (USD)]] / Table1[[#This Row],[Actual Spending (USD)]]) * 100</f>
        <v>33.146005901772178</v>
      </c>
      <c r="O1856" s="5" t="s">
        <v>3897</v>
      </c>
    </row>
    <row r="1857" spans="1:15" x14ac:dyDescent="0.25">
      <c r="A1857" s="4" t="s">
        <v>1870</v>
      </c>
      <c r="B1857" s="2" t="s">
        <v>3100</v>
      </c>
      <c r="C1857" s="2" t="s">
        <v>3869</v>
      </c>
      <c r="D1857" s="2" t="s">
        <v>3880</v>
      </c>
      <c r="E1857" s="3">
        <v>44939</v>
      </c>
      <c r="F1857" s="3">
        <v>45903</v>
      </c>
      <c r="G1857" s="2" t="s">
        <v>3884</v>
      </c>
      <c r="H1857" s="2">
        <v>651082</v>
      </c>
      <c r="I1857" s="2">
        <v>892582</v>
      </c>
      <c r="J1857" s="2" t="s">
        <v>3889</v>
      </c>
      <c r="K1857" s="2" t="s">
        <v>3895</v>
      </c>
      <c r="L1857" s="2">
        <v>2025</v>
      </c>
      <c r="M1857" s="2">
        <v>-241500</v>
      </c>
      <c r="N1857" s="2">
        <f xml:space="preserve"> (Table1[[#This Row],[Variance (USD)]] / Table1[[#This Row],[Actual Spending (USD)]]) * 100</f>
        <v>-27.056337681019784</v>
      </c>
      <c r="O1857" s="5" t="s">
        <v>3897</v>
      </c>
    </row>
    <row r="1858" spans="1:15" x14ac:dyDescent="0.25">
      <c r="A1858" s="4" t="s">
        <v>1871</v>
      </c>
      <c r="B1858" s="2" t="s">
        <v>3221</v>
      </c>
      <c r="C1858" s="2" t="s">
        <v>3869</v>
      </c>
      <c r="D1858" s="2" t="s">
        <v>3881</v>
      </c>
      <c r="E1858" s="3">
        <v>45486</v>
      </c>
      <c r="F1858" s="3">
        <v>45598</v>
      </c>
      <c r="G1858" s="2" t="s">
        <v>3886</v>
      </c>
      <c r="H1858" s="2">
        <v>125675</v>
      </c>
      <c r="I1858" s="2">
        <v>826714</v>
      </c>
      <c r="J1858" s="2" t="s">
        <v>3889</v>
      </c>
      <c r="K1858" s="2" t="s">
        <v>3896</v>
      </c>
      <c r="L1858" s="2">
        <v>2023</v>
      </c>
      <c r="M1858" s="2">
        <v>-701039</v>
      </c>
      <c r="N1858" s="2">
        <f xml:space="preserve"> (Table1[[#This Row],[Variance (USD)]] / Table1[[#This Row],[Actual Spending (USD)]]) * 100</f>
        <v>-84.798249455071527</v>
      </c>
      <c r="O1858" s="5" t="s">
        <v>3899</v>
      </c>
    </row>
    <row r="1859" spans="1:15" x14ac:dyDescent="0.25">
      <c r="A1859" s="4" t="s">
        <v>1872</v>
      </c>
      <c r="B1859" s="2" t="s">
        <v>3786</v>
      </c>
      <c r="C1859" s="2" t="s">
        <v>3871</v>
      </c>
      <c r="D1859" s="2" t="s">
        <v>3882</v>
      </c>
      <c r="E1859" s="3">
        <v>45297</v>
      </c>
      <c r="F1859" s="3">
        <v>45645</v>
      </c>
      <c r="G1859" s="2" t="s">
        <v>3884</v>
      </c>
      <c r="H1859" s="2">
        <v>878757</v>
      </c>
      <c r="I1859" s="2">
        <v>181391</v>
      </c>
      <c r="J1859" s="2" t="s">
        <v>3889</v>
      </c>
      <c r="K1859" s="2" t="s">
        <v>3894</v>
      </c>
      <c r="L1859" s="2">
        <v>2023</v>
      </c>
      <c r="M1859" s="2">
        <v>697366</v>
      </c>
      <c r="N1859" s="2">
        <f xml:space="preserve"> (Table1[[#This Row],[Variance (USD)]] / Table1[[#This Row],[Actual Spending (USD)]]) * 100</f>
        <v>384.45457602637396</v>
      </c>
      <c r="O1859" s="5" t="s">
        <v>3897</v>
      </c>
    </row>
    <row r="1860" spans="1:15" x14ac:dyDescent="0.25">
      <c r="A1860" s="4" t="s">
        <v>1873</v>
      </c>
      <c r="B1860" s="2" t="s">
        <v>3050</v>
      </c>
      <c r="C1860" s="2" t="s">
        <v>3870</v>
      </c>
      <c r="D1860" s="2" t="s">
        <v>3882</v>
      </c>
      <c r="E1860" s="3">
        <v>45217</v>
      </c>
      <c r="F1860" s="3">
        <v>45684</v>
      </c>
      <c r="G1860" s="2" t="s">
        <v>3886</v>
      </c>
      <c r="H1860" s="2">
        <v>90503</v>
      </c>
      <c r="I1860" s="2">
        <v>984230</v>
      </c>
      <c r="J1860" s="2" t="s">
        <v>3892</v>
      </c>
      <c r="K1860" s="2" t="s">
        <v>3896</v>
      </c>
      <c r="L1860" s="2">
        <v>2025</v>
      </c>
      <c r="M1860" s="2">
        <v>-893727</v>
      </c>
      <c r="N1860" s="2">
        <f xml:space="preserve"> (Table1[[#This Row],[Variance (USD)]] / Table1[[#This Row],[Actual Spending (USD)]]) * 100</f>
        <v>-90.804689960679923</v>
      </c>
      <c r="O1860" s="5" t="s">
        <v>3899</v>
      </c>
    </row>
    <row r="1861" spans="1:15" x14ac:dyDescent="0.25">
      <c r="A1861" s="4" t="s">
        <v>1874</v>
      </c>
      <c r="B1861" s="2" t="s">
        <v>3429</v>
      </c>
      <c r="C1861" s="2" t="s">
        <v>3873</v>
      </c>
      <c r="D1861" s="2" t="s">
        <v>3883</v>
      </c>
      <c r="E1861" s="3">
        <v>45258</v>
      </c>
      <c r="F1861" s="3">
        <v>45495</v>
      </c>
      <c r="G1861" s="2" t="s">
        <v>3884</v>
      </c>
      <c r="H1861" s="2">
        <v>855946</v>
      </c>
      <c r="I1861" s="2">
        <v>678423</v>
      </c>
      <c r="J1861" s="2" t="s">
        <v>3889</v>
      </c>
      <c r="K1861" s="2" t="s">
        <v>3894</v>
      </c>
      <c r="L1861" s="2">
        <v>2024</v>
      </c>
      <c r="M1861" s="2">
        <v>177523</v>
      </c>
      <c r="N1861" s="2">
        <f xml:space="preserve"> (Table1[[#This Row],[Variance (USD)]] / Table1[[#This Row],[Actual Spending (USD)]]) * 100</f>
        <v>26.167007899201533</v>
      </c>
      <c r="O1861" s="5" t="s">
        <v>3897</v>
      </c>
    </row>
    <row r="1862" spans="1:15" x14ac:dyDescent="0.25">
      <c r="A1862" s="4" t="s">
        <v>1875</v>
      </c>
      <c r="B1862" s="2" t="s">
        <v>3420</v>
      </c>
      <c r="C1862" s="2" t="s">
        <v>3874</v>
      </c>
      <c r="D1862" s="2" t="s">
        <v>3877</v>
      </c>
      <c r="E1862" s="3">
        <v>45532</v>
      </c>
      <c r="F1862" s="3">
        <v>45549</v>
      </c>
      <c r="G1862" s="2" t="s">
        <v>3884</v>
      </c>
      <c r="H1862" s="2">
        <v>630484</v>
      </c>
      <c r="I1862" s="2">
        <v>150019</v>
      </c>
      <c r="J1862" s="2" t="s">
        <v>3888</v>
      </c>
      <c r="K1862" s="2" t="s">
        <v>3893</v>
      </c>
      <c r="L1862" s="2">
        <v>2023</v>
      </c>
      <c r="M1862" s="2">
        <v>480465</v>
      </c>
      <c r="N1862" s="2">
        <f xml:space="preserve"> (Table1[[#This Row],[Variance (USD)]] / Table1[[#This Row],[Actual Spending (USD)]]) * 100</f>
        <v>320.26943253854512</v>
      </c>
      <c r="O1862" s="5" t="s">
        <v>3897</v>
      </c>
    </row>
    <row r="1863" spans="1:15" x14ac:dyDescent="0.25">
      <c r="A1863" s="4" t="s">
        <v>1876</v>
      </c>
      <c r="B1863" s="2" t="s">
        <v>3787</v>
      </c>
      <c r="C1863" s="2" t="s">
        <v>3868</v>
      </c>
      <c r="D1863" s="2" t="s">
        <v>3876</v>
      </c>
      <c r="E1863" s="3">
        <v>45187</v>
      </c>
      <c r="F1863" s="3">
        <v>45777</v>
      </c>
      <c r="G1863" s="2" t="s">
        <v>3884</v>
      </c>
      <c r="H1863" s="2">
        <v>988421</v>
      </c>
      <c r="I1863" s="2">
        <v>378492</v>
      </c>
      <c r="J1863" s="2" t="s">
        <v>3890</v>
      </c>
      <c r="K1863" s="2" t="s">
        <v>3895</v>
      </c>
      <c r="L1863" s="2">
        <v>2023</v>
      </c>
      <c r="M1863" s="2">
        <v>609929</v>
      </c>
      <c r="N1863" s="2">
        <f xml:space="preserve"> (Table1[[#This Row],[Variance (USD)]] / Table1[[#This Row],[Actual Spending (USD)]]) * 100</f>
        <v>161.14713124715979</v>
      </c>
      <c r="O1863" s="5" t="s">
        <v>3897</v>
      </c>
    </row>
    <row r="1864" spans="1:15" x14ac:dyDescent="0.25">
      <c r="A1864" s="4" t="s">
        <v>1877</v>
      </c>
      <c r="B1864" s="2" t="s">
        <v>3050</v>
      </c>
      <c r="C1864" s="2" t="s">
        <v>3868</v>
      </c>
      <c r="D1864" s="2" t="s">
        <v>3877</v>
      </c>
      <c r="E1864" s="3">
        <v>45131</v>
      </c>
      <c r="F1864" s="3">
        <v>45808</v>
      </c>
      <c r="G1864" s="2" t="s">
        <v>3884</v>
      </c>
      <c r="H1864" s="2">
        <v>931065</v>
      </c>
      <c r="I1864" s="2">
        <v>121368</v>
      </c>
      <c r="J1864" s="2" t="s">
        <v>3892</v>
      </c>
      <c r="K1864" s="2" t="s">
        <v>3893</v>
      </c>
      <c r="L1864" s="2">
        <v>2024</v>
      </c>
      <c r="M1864" s="2">
        <v>809697</v>
      </c>
      <c r="N1864" s="2">
        <f xml:space="preserve"> (Table1[[#This Row],[Variance (USD)]] / Table1[[#This Row],[Actual Spending (USD)]]) * 100</f>
        <v>667.14208028475377</v>
      </c>
      <c r="O1864" s="5" t="s">
        <v>3897</v>
      </c>
    </row>
    <row r="1865" spans="1:15" x14ac:dyDescent="0.25">
      <c r="A1865" s="4" t="s">
        <v>1878</v>
      </c>
      <c r="B1865" s="2" t="s">
        <v>3573</v>
      </c>
      <c r="C1865" s="2" t="s">
        <v>3872</v>
      </c>
      <c r="D1865" s="2" t="s">
        <v>3883</v>
      </c>
      <c r="E1865" s="3">
        <v>45623</v>
      </c>
      <c r="F1865" s="3">
        <v>45737</v>
      </c>
      <c r="G1865" s="2" t="s">
        <v>3884</v>
      </c>
      <c r="H1865" s="2">
        <v>755479</v>
      </c>
      <c r="I1865" s="2">
        <v>217461</v>
      </c>
      <c r="J1865" s="2" t="s">
        <v>3892</v>
      </c>
      <c r="K1865" s="2" t="s">
        <v>3896</v>
      </c>
      <c r="L1865" s="2">
        <v>2025</v>
      </c>
      <c r="M1865" s="2">
        <v>538018</v>
      </c>
      <c r="N1865" s="2">
        <f xml:space="preserve"> (Table1[[#This Row],[Variance (USD)]] / Table1[[#This Row],[Actual Spending (USD)]]) * 100</f>
        <v>247.40896068720369</v>
      </c>
      <c r="O1865" s="5" t="s">
        <v>3897</v>
      </c>
    </row>
    <row r="1866" spans="1:15" x14ac:dyDescent="0.25">
      <c r="A1866" s="4" t="s">
        <v>1879</v>
      </c>
      <c r="B1866" s="2" t="s">
        <v>3211</v>
      </c>
      <c r="C1866" s="2" t="s">
        <v>3875</v>
      </c>
      <c r="D1866" s="2" t="s">
        <v>3879</v>
      </c>
      <c r="E1866" s="3">
        <v>45613</v>
      </c>
      <c r="F1866" s="3">
        <v>46000</v>
      </c>
      <c r="G1866" s="2" t="s">
        <v>3886</v>
      </c>
      <c r="H1866" s="2">
        <v>657612</v>
      </c>
      <c r="I1866" s="2">
        <v>812190</v>
      </c>
      <c r="J1866" s="2" t="s">
        <v>3889</v>
      </c>
      <c r="K1866" s="2" t="s">
        <v>3895</v>
      </c>
      <c r="L1866" s="2">
        <v>2025</v>
      </c>
      <c r="M1866" s="2">
        <v>-154578</v>
      </c>
      <c r="N1866" s="2">
        <f xml:space="preserve"> (Table1[[#This Row],[Variance (USD)]] / Table1[[#This Row],[Actual Spending (USD)]]) * 100</f>
        <v>-19.032246149300043</v>
      </c>
      <c r="O1866" s="5" t="s">
        <v>3899</v>
      </c>
    </row>
    <row r="1867" spans="1:15" x14ac:dyDescent="0.25">
      <c r="A1867" s="4" t="s">
        <v>1880</v>
      </c>
      <c r="B1867" s="2" t="s">
        <v>3788</v>
      </c>
      <c r="C1867" s="2" t="s">
        <v>3872</v>
      </c>
      <c r="D1867" s="2" t="s">
        <v>3883</v>
      </c>
      <c r="E1867" s="3">
        <v>45313</v>
      </c>
      <c r="F1867" s="3">
        <v>45471</v>
      </c>
      <c r="G1867" s="2" t="s">
        <v>3886</v>
      </c>
      <c r="H1867" s="2">
        <v>468277</v>
      </c>
      <c r="I1867" s="2">
        <v>1129844</v>
      </c>
      <c r="J1867" s="2" t="s">
        <v>3889</v>
      </c>
      <c r="K1867" s="2" t="s">
        <v>3893</v>
      </c>
      <c r="L1867" s="2">
        <v>2024</v>
      </c>
      <c r="M1867" s="2">
        <v>-661567</v>
      </c>
      <c r="N1867" s="2">
        <f xml:space="preserve"> (Table1[[#This Row],[Variance (USD)]] / Table1[[#This Row],[Actual Spending (USD)]]) * 100</f>
        <v>-58.553835750776216</v>
      </c>
      <c r="O1867" s="5" t="s">
        <v>3899</v>
      </c>
    </row>
    <row r="1868" spans="1:15" x14ac:dyDescent="0.25">
      <c r="A1868" s="4" t="s">
        <v>1881</v>
      </c>
      <c r="B1868" s="2" t="s">
        <v>3217</v>
      </c>
      <c r="C1868" s="2" t="s">
        <v>3874</v>
      </c>
      <c r="D1868" s="2" t="s">
        <v>3880</v>
      </c>
      <c r="E1868" s="3">
        <v>45394</v>
      </c>
      <c r="F1868" s="3">
        <v>45633</v>
      </c>
      <c r="G1868" s="2" t="s">
        <v>3884</v>
      </c>
      <c r="H1868" s="2">
        <v>715307</v>
      </c>
      <c r="I1868" s="2">
        <v>1191268</v>
      </c>
      <c r="J1868" s="2" t="s">
        <v>3892</v>
      </c>
      <c r="K1868" s="2" t="s">
        <v>3893</v>
      </c>
      <c r="L1868" s="2">
        <v>2023</v>
      </c>
      <c r="M1868" s="2">
        <v>-475961</v>
      </c>
      <c r="N1868" s="2">
        <f xml:space="preserve"> (Table1[[#This Row],[Variance (USD)]] / Table1[[#This Row],[Actual Spending (USD)]]) * 100</f>
        <v>-39.954149695954229</v>
      </c>
      <c r="O1868" s="5" t="s">
        <v>3897</v>
      </c>
    </row>
    <row r="1869" spans="1:15" x14ac:dyDescent="0.25">
      <c r="A1869" s="4" t="s">
        <v>1882</v>
      </c>
      <c r="B1869" s="2" t="s">
        <v>3083</v>
      </c>
      <c r="C1869" s="2" t="s">
        <v>3872</v>
      </c>
      <c r="D1869" s="2" t="s">
        <v>3881</v>
      </c>
      <c r="E1869" s="3">
        <v>45341</v>
      </c>
      <c r="F1869" s="3">
        <v>45424</v>
      </c>
      <c r="G1869" s="2" t="s">
        <v>3887</v>
      </c>
      <c r="H1869" s="2">
        <v>524296</v>
      </c>
      <c r="I1869" s="2">
        <v>387345</v>
      </c>
      <c r="J1869" s="2" t="s">
        <v>3889</v>
      </c>
      <c r="K1869" s="2" t="s">
        <v>3895</v>
      </c>
      <c r="L1869" s="2">
        <v>2024</v>
      </c>
      <c r="M1869" s="2">
        <v>136951</v>
      </c>
      <c r="N1869" s="2">
        <f xml:space="preserve"> (Table1[[#This Row],[Variance (USD)]] / Table1[[#This Row],[Actual Spending (USD)]]) * 100</f>
        <v>35.356336082820221</v>
      </c>
      <c r="O1869" s="5" t="s">
        <v>3900</v>
      </c>
    </row>
    <row r="1870" spans="1:15" x14ac:dyDescent="0.25">
      <c r="A1870" s="4" t="s">
        <v>1883</v>
      </c>
      <c r="B1870" s="2" t="s">
        <v>3594</v>
      </c>
      <c r="C1870" s="2" t="s">
        <v>3868</v>
      </c>
      <c r="D1870" s="2" t="s">
        <v>3879</v>
      </c>
      <c r="E1870" s="3">
        <v>44995</v>
      </c>
      <c r="F1870" s="3">
        <v>45734</v>
      </c>
      <c r="G1870" s="2" t="s">
        <v>3884</v>
      </c>
      <c r="H1870" s="2">
        <v>397694</v>
      </c>
      <c r="I1870" s="2">
        <v>498741</v>
      </c>
      <c r="J1870" s="2" t="s">
        <v>3889</v>
      </c>
      <c r="K1870" s="2" t="s">
        <v>3895</v>
      </c>
      <c r="L1870" s="2">
        <v>2023</v>
      </c>
      <c r="M1870" s="2">
        <v>-101047</v>
      </c>
      <c r="N1870" s="2">
        <f xml:space="preserve"> (Table1[[#This Row],[Variance (USD)]] / Table1[[#This Row],[Actual Spending (USD)]]) * 100</f>
        <v>-20.260415726800083</v>
      </c>
      <c r="O1870" s="5" t="s">
        <v>3897</v>
      </c>
    </row>
    <row r="1871" spans="1:15" x14ac:dyDescent="0.25">
      <c r="A1871" s="4" t="s">
        <v>1884</v>
      </c>
      <c r="B1871" s="2" t="s">
        <v>3452</v>
      </c>
      <c r="C1871" s="2" t="s">
        <v>3871</v>
      </c>
      <c r="D1871" s="2" t="s">
        <v>3881</v>
      </c>
      <c r="E1871" s="3">
        <v>45398</v>
      </c>
      <c r="F1871" s="3">
        <v>45544</v>
      </c>
      <c r="G1871" s="2" t="s">
        <v>3885</v>
      </c>
      <c r="H1871" s="2">
        <v>916763</v>
      </c>
      <c r="I1871" s="2">
        <v>148222</v>
      </c>
      <c r="J1871" s="2" t="s">
        <v>3889</v>
      </c>
      <c r="K1871" s="2" t="s">
        <v>3896</v>
      </c>
      <c r="L1871" s="2">
        <v>2025</v>
      </c>
      <c r="M1871" s="2">
        <v>768541</v>
      </c>
      <c r="N1871" s="2">
        <f xml:space="preserve"> (Table1[[#This Row],[Variance (USD)]] / Table1[[#This Row],[Actual Spending (USD)]]) * 100</f>
        <v>518.50669941034391</v>
      </c>
      <c r="O1871" s="5" t="s">
        <v>3898</v>
      </c>
    </row>
    <row r="1872" spans="1:15" x14ac:dyDescent="0.25">
      <c r="A1872" s="4" t="s">
        <v>1885</v>
      </c>
      <c r="B1872" s="2" t="s">
        <v>3478</v>
      </c>
      <c r="C1872" s="2" t="s">
        <v>3869</v>
      </c>
      <c r="D1872" s="2" t="s">
        <v>3880</v>
      </c>
      <c r="E1872" s="3">
        <v>45030</v>
      </c>
      <c r="F1872" s="3">
        <v>45556</v>
      </c>
      <c r="G1872" s="2" t="s">
        <v>3886</v>
      </c>
      <c r="H1872" s="2">
        <v>213704</v>
      </c>
      <c r="I1872" s="2">
        <v>905022</v>
      </c>
      <c r="J1872" s="2" t="s">
        <v>3889</v>
      </c>
      <c r="K1872" s="2" t="s">
        <v>3894</v>
      </c>
      <c r="L1872" s="2">
        <v>2023</v>
      </c>
      <c r="M1872" s="2">
        <v>-691318</v>
      </c>
      <c r="N1872" s="2">
        <f xml:space="preserve"> (Table1[[#This Row],[Variance (USD)]] / Table1[[#This Row],[Actual Spending (USD)]]) * 100</f>
        <v>-76.386872363323761</v>
      </c>
      <c r="O1872" s="5" t="s">
        <v>3899</v>
      </c>
    </row>
    <row r="1873" spans="1:15" x14ac:dyDescent="0.25">
      <c r="A1873" s="4" t="s">
        <v>1886</v>
      </c>
      <c r="B1873" s="2" t="s">
        <v>3639</v>
      </c>
      <c r="C1873" s="2" t="s">
        <v>3870</v>
      </c>
      <c r="D1873" s="2" t="s">
        <v>3878</v>
      </c>
      <c r="E1873" s="3">
        <v>45087</v>
      </c>
      <c r="F1873" s="3">
        <v>45384</v>
      </c>
      <c r="G1873" s="2" t="s">
        <v>3886</v>
      </c>
      <c r="H1873" s="2">
        <v>200424</v>
      </c>
      <c r="I1873" s="2">
        <v>453693</v>
      </c>
      <c r="J1873" s="2" t="s">
        <v>3889</v>
      </c>
      <c r="K1873" s="2" t="s">
        <v>3894</v>
      </c>
      <c r="L1873" s="2">
        <v>2023</v>
      </c>
      <c r="M1873" s="2">
        <v>-253269</v>
      </c>
      <c r="N1873" s="2">
        <f xml:space="preserve"> (Table1[[#This Row],[Variance (USD)]] / Table1[[#This Row],[Actual Spending (USD)]]) * 100</f>
        <v>-55.82387208971705</v>
      </c>
      <c r="O1873" s="5" t="s">
        <v>3899</v>
      </c>
    </row>
    <row r="1874" spans="1:15" x14ac:dyDescent="0.25">
      <c r="A1874" s="4" t="s">
        <v>1887</v>
      </c>
      <c r="B1874" s="2" t="s">
        <v>3728</v>
      </c>
      <c r="C1874" s="2" t="s">
        <v>3869</v>
      </c>
      <c r="D1874" s="2" t="s">
        <v>3883</v>
      </c>
      <c r="E1874" s="3">
        <v>45126</v>
      </c>
      <c r="F1874" s="3">
        <v>45953</v>
      </c>
      <c r="G1874" s="2" t="s">
        <v>3884</v>
      </c>
      <c r="H1874" s="2">
        <v>335797</v>
      </c>
      <c r="I1874" s="2">
        <v>573864</v>
      </c>
      <c r="J1874" s="2" t="s">
        <v>3891</v>
      </c>
      <c r="K1874" s="2" t="s">
        <v>3895</v>
      </c>
      <c r="L1874" s="2">
        <v>2023</v>
      </c>
      <c r="M1874" s="2">
        <v>-238067</v>
      </c>
      <c r="N1874" s="2">
        <f xml:space="preserve"> (Table1[[#This Row],[Variance (USD)]] / Table1[[#This Row],[Actual Spending (USD)]]) * 100</f>
        <v>-41.484916286785719</v>
      </c>
      <c r="O1874" s="5" t="s">
        <v>3897</v>
      </c>
    </row>
    <row r="1875" spans="1:15" x14ac:dyDescent="0.25">
      <c r="A1875" s="4" t="s">
        <v>1888</v>
      </c>
      <c r="B1875" s="2" t="s">
        <v>3789</v>
      </c>
      <c r="C1875" s="2" t="s">
        <v>3869</v>
      </c>
      <c r="D1875" s="2" t="s">
        <v>3883</v>
      </c>
      <c r="E1875" s="3">
        <v>45142</v>
      </c>
      <c r="F1875" s="3">
        <v>45702</v>
      </c>
      <c r="G1875" s="2" t="s">
        <v>3884</v>
      </c>
      <c r="H1875" s="2">
        <v>248187</v>
      </c>
      <c r="I1875" s="2">
        <v>411785</v>
      </c>
      <c r="J1875" s="2" t="s">
        <v>3891</v>
      </c>
      <c r="K1875" s="2" t="s">
        <v>3894</v>
      </c>
      <c r="L1875" s="2">
        <v>2023</v>
      </c>
      <c r="M1875" s="2">
        <v>-163598</v>
      </c>
      <c r="N1875" s="2">
        <f xml:space="preserve"> (Table1[[#This Row],[Variance (USD)]] / Table1[[#This Row],[Actual Spending (USD)]]) * 100</f>
        <v>-39.728984785749844</v>
      </c>
      <c r="O1875" s="5" t="s">
        <v>3897</v>
      </c>
    </row>
    <row r="1876" spans="1:15" x14ac:dyDescent="0.25">
      <c r="A1876" s="4" t="s">
        <v>1889</v>
      </c>
      <c r="B1876" s="2" t="s">
        <v>3471</v>
      </c>
      <c r="C1876" s="2" t="s">
        <v>3873</v>
      </c>
      <c r="D1876" s="2" t="s">
        <v>3876</v>
      </c>
      <c r="E1876" s="3">
        <v>45138</v>
      </c>
      <c r="F1876" s="3">
        <v>45429</v>
      </c>
      <c r="G1876" s="2" t="s">
        <v>3884</v>
      </c>
      <c r="H1876" s="2">
        <v>933726</v>
      </c>
      <c r="I1876" s="2">
        <v>485919</v>
      </c>
      <c r="J1876" s="2" t="s">
        <v>3891</v>
      </c>
      <c r="K1876" s="2" t="s">
        <v>3896</v>
      </c>
      <c r="L1876" s="2">
        <v>2023</v>
      </c>
      <c r="M1876" s="2">
        <v>447807</v>
      </c>
      <c r="N1876" s="2">
        <f xml:space="preserve"> (Table1[[#This Row],[Variance (USD)]] / Table1[[#This Row],[Actual Spending (USD)]]) * 100</f>
        <v>92.156717477604289</v>
      </c>
      <c r="O1876" s="5" t="s">
        <v>3897</v>
      </c>
    </row>
    <row r="1877" spans="1:15" x14ac:dyDescent="0.25">
      <c r="A1877" s="4" t="s">
        <v>1890</v>
      </c>
      <c r="B1877" s="2" t="s">
        <v>3322</v>
      </c>
      <c r="C1877" s="2" t="s">
        <v>3868</v>
      </c>
      <c r="D1877" s="2" t="s">
        <v>3877</v>
      </c>
      <c r="E1877" s="3">
        <v>45434</v>
      </c>
      <c r="F1877" s="3">
        <v>45499</v>
      </c>
      <c r="G1877" s="2" t="s">
        <v>3886</v>
      </c>
      <c r="H1877" s="2">
        <v>618043</v>
      </c>
      <c r="I1877" s="2">
        <v>711066</v>
      </c>
      <c r="J1877" s="2" t="s">
        <v>3892</v>
      </c>
      <c r="K1877" s="2" t="s">
        <v>3894</v>
      </c>
      <c r="L1877" s="2">
        <v>2025</v>
      </c>
      <c r="M1877" s="2">
        <v>-93023</v>
      </c>
      <c r="N1877" s="2">
        <f xml:space="preserve"> (Table1[[#This Row],[Variance (USD)]] / Table1[[#This Row],[Actual Spending (USD)]]) * 100</f>
        <v>-13.08218927638222</v>
      </c>
      <c r="O1877" s="5" t="s">
        <v>3899</v>
      </c>
    </row>
    <row r="1878" spans="1:15" x14ac:dyDescent="0.25">
      <c r="A1878" s="4" t="s">
        <v>1891</v>
      </c>
      <c r="B1878" s="2" t="s">
        <v>3697</v>
      </c>
      <c r="C1878" s="2" t="s">
        <v>3874</v>
      </c>
      <c r="D1878" s="2" t="s">
        <v>3879</v>
      </c>
      <c r="E1878" s="3">
        <v>44942</v>
      </c>
      <c r="F1878" s="3">
        <v>45928</v>
      </c>
      <c r="G1878" s="2" t="s">
        <v>3884</v>
      </c>
      <c r="H1878" s="2">
        <v>940728</v>
      </c>
      <c r="I1878" s="2">
        <v>240926</v>
      </c>
      <c r="J1878" s="2" t="s">
        <v>3890</v>
      </c>
      <c r="K1878" s="2" t="s">
        <v>3895</v>
      </c>
      <c r="L1878" s="2">
        <v>2024</v>
      </c>
      <c r="M1878" s="2">
        <v>699802</v>
      </c>
      <c r="N1878" s="2">
        <f xml:space="preserve"> (Table1[[#This Row],[Variance (USD)]] / Table1[[#This Row],[Actual Spending (USD)]]) * 100</f>
        <v>290.46346180985034</v>
      </c>
      <c r="O1878" s="5" t="s">
        <v>3897</v>
      </c>
    </row>
    <row r="1879" spans="1:15" x14ac:dyDescent="0.25">
      <c r="A1879" s="4" t="s">
        <v>1892</v>
      </c>
      <c r="B1879" s="2" t="s">
        <v>3571</v>
      </c>
      <c r="C1879" s="2" t="s">
        <v>3874</v>
      </c>
      <c r="D1879" s="2" t="s">
        <v>3882</v>
      </c>
      <c r="E1879" s="3">
        <v>45424</v>
      </c>
      <c r="F1879" s="3">
        <v>45864</v>
      </c>
      <c r="G1879" s="2" t="s">
        <v>3886</v>
      </c>
      <c r="H1879" s="2">
        <v>672642</v>
      </c>
      <c r="I1879" s="2">
        <v>247267</v>
      </c>
      <c r="J1879" s="2" t="s">
        <v>3892</v>
      </c>
      <c r="K1879" s="2" t="s">
        <v>3896</v>
      </c>
      <c r="L1879" s="2">
        <v>2025</v>
      </c>
      <c r="M1879" s="2">
        <v>425375</v>
      </c>
      <c r="N1879" s="2">
        <f xml:space="preserve"> (Table1[[#This Row],[Variance (USD)]] / Table1[[#This Row],[Actual Spending (USD)]]) * 100</f>
        <v>172.03063894494613</v>
      </c>
      <c r="O1879" s="5" t="s">
        <v>3899</v>
      </c>
    </row>
    <row r="1880" spans="1:15" x14ac:dyDescent="0.25">
      <c r="A1880" s="4" t="s">
        <v>1893</v>
      </c>
      <c r="B1880" s="2" t="s">
        <v>3790</v>
      </c>
      <c r="C1880" s="2" t="s">
        <v>3870</v>
      </c>
      <c r="D1880" s="2" t="s">
        <v>3881</v>
      </c>
      <c r="E1880" s="3">
        <v>45258</v>
      </c>
      <c r="F1880" s="3">
        <v>45598</v>
      </c>
      <c r="G1880" s="2" t="s">
        <v>3884</v>
      </c>
      <c r="H1880" s="2">
        <v>384132</v>
      </c>
      <c r="I1880" s="2">
        <v>471652</v>
      </c>
      <c r="J1880" s="2" t="s">
        <v>3891</v>
      </c>
      <c r="K1880" s="2" t="s">
        <v>3895</v>
      </c>
      <c r="L1880" s="2">
        <v>2023</v>
      </c>
      <c r="M1880" s="2">
        <v>-87520</v>
      </c>
      <c r="N1880" s="2">
        <f xml:space="preserve"> (Table1[[#This Row],[Variance (USD)]] / Table1[[#This Row],[Actual Spending (USD)]]) * 100</f>
        <v>-18.556054039842934</v>
      </c>
      <c r="O1880" s="5" t="s">
        <v>3897</v>
      </c>
    </row>
    <row r="1881" spans="1:15" x14ac:dyDescent="0.25">
      <c r="A1881" s="4" t="s">
        <v>1894</v>
      </c>
      <c r="B1881" s="2" t="s">
        <v>3382</v>
      </c>
      <c r="C1881" s="2" t="s">
        <v>3871</v>
      </c>
      <c r="D1881" s="2" t="s">
        <v>3879</v>
      </c>
      <c r="E1881" s="3">
        <v>45643</v>
      </c>
      <c r="F1881" s="3">
        <v>45557</v>
      </c>
      <c r="G1881" s="2" t="s">
        <v>3885</v>
      </c>
      <c r="H1881" s="2">
        <v>874353</v>
      </c>
      <c r="I1881" s="2">
        <v>178044</v>
      </c>
      <c r="J1881" s="2" t="s">
        <v>3892</v>
      </c>
      <c r="K1881" s="2" t="s">
        <v>3896</v>
      </c>
      <c r="L1881" s="2">
        <v>2024</v>
      </c>
      <c r="M1881" s="2">
        <v>696309</v>
      </c>
      <c r="N1881" s="2">
        <f xml:space="preserve"> (Table1[[#This Row],[Variance (USD)]] / Table1[[#This Row],[Actual Spending (USD)]]) * 100</f>
        <v>391.08815798341982</v>
      </c>
      <c r="O1881" s="5" t="s">
        <v>3898</v>
      </c>
    </row>
    <row r="1882" spans="1:15" x14ac:dyDescent="0.25">
      <c r="A1882" s="4" t="s">
        <v>1895</v>
      </c>
      <c r="B1882" s="2" t="s">
        <v>3434</v>
      </c>
      <c r="C1882" s="2" t="s">
        <v>3873</v>
      </c>
      <c r="D1882" s="2" t="s">
        <v>3876</v>
      </c>
      <c r="E1882" s="3">
        <v>45477</v>
      </c>
      <c r="F1882" s="3">
        <v>45937</v>
      </c>
      <c r="G1882" s="2" t="s">
        <v>3884</v>
      </c>
      <c r="H1882" s="2">
        <v>502219</v>
      </c>
      <c r="I1882" s="2">
        <v>175120</v>
      </c>
      <c r="J1882" s="2" t="s">
        <v>3890</v>
      </c>
      <c r="K1882" s="2" t="s">
        <v>3896</v>
      </c>
      <c r="L1882" s="2">
        <v>2023</v>
      </c>
      <c r="M1882" s="2">
        <v>327099</v>
      </c>
      <c r="N1882" s="2">
        <f xml:space="preserve"> (Table1[[#This Row],[Variance (USD)]] / Table1[[#This Row],[Actual Spending (USD)]]) * 100</f>
        <v>186.78563270899954</v>
      </c>
      <c r="O1882" s="5" t="s">
        <v>3897</v>
      </c>
    </row>
    <row r="1883" spans="1:15" x14ac:dyDescent="0.25">
      <c r="A1883" s="4" t="s">
        <v>1896</v>
      </c>
      <c r="B1883" s="2" t="s">
        <v>3763</v>
      </c>
      <c r="C1883" s="2" t="s">
        <v>3875</v>
      </c>
      <c r="D1883" s="2" t="s">
        <v>3876</v>
      </c>
      <c r="E1883" s="3">
        <v>45527</v>
      </c>
      <c r="F1883" s="3">
        <v>45609</v>
      </c>
      <c r="G1883" s="2" t="s">
        <v>3884</v>
      </c>
      <c r="H1883" s="2">
        <v>524092</v>
      </c>
      <c r="I1883" s="2">
        <v>1177484</v>
      </c>
      <c r="J1883" s="2" t="s">
        <v>3889</v>
      </c>
      <c r="K1883" s="2" t="s">
        <v>3895</v>
      </c>
      <c r="L1883" s="2">
        <v>2025</v>
      </c>
      <c r="M1883" s="2">
        <v>-653392</v>
      </c>
      <c r="N1883" s="2">
        <f xml:space="preserve"> (Table1[[#This Row],[Variance (USD)]] / Table1[[#This Row],[Actual Spending (USD)]]) * 100</f>
        <v>-55.490520465670869</v>
      </c>
      <c r="O1883" s="5" t="s">
        <v>3897</v>
      </c>
    </row>
    <row r="1884" spans="1:15" x14ac:dyDescent="0.25">
      <c r="A1884" s="4" t="s">
        <v>1897</v>
      </c>
      <c r="B1884" s="2" t="s">
        <v>3791</v>
      </c>
      <c r="C1884" s="2" t="s">
        <v>3871</v>
      </c>
      <c r="D1884" s="2" t="s">
        <v>3881</v>
      </c>
      <c r="E1884" s="3">
        <v>45182</v>
      </c>
      <c r="F1884" s="3">
        <v>45404</v>
      </c>
      <c r="G1884" s="2" t="s">
        <v>3884</v>
      </c>
      <c r="H1884" s="2">
        <v>883100</v>
      </c>
      <c r="I1884" s="2">
        <v>400868</v>
      </c>
      <c r="J1884" s="2" t="s">
        <v>3888</v>
      </c>
      <c r="K1884" s="2" t="s">
        <v>3893</v>
      </c>
      <c r="L1884" s="2">
        <v>2025</v>
      </c>
      <c r="M1884" s="2">
        <v>482232</v>
      </c>
      <c r="N1884" s="2">
        <f xml:space="preserve"> (Table1[[#This Row],[Variance (USD)]] / Table1[[#This Row],[Actual Spending (USD)]]) * 100</f>
        <v>120.29695560633425</v>
      </c>
      <c r="O1884" s="5" t="s">
        <v>3897</v>
      </c>
    </row>
    <row r="1885" spans="1:15" x14ac:dyDescent="0.25">
      <c r="A1885" s="4" t="s">
        <v>1898</v>
      </c>
      <c r="B1885" s="2" t="s">
        <v>3792</v>
      </c>
      <c r="C1885" s="2" t="s">
        <v>3872</v>
      </c>
      <c r="D1885" s="2" t="s">
        <v>3882</v>
      </c>
      <c r="E1885" s="3">
        <v>45654</v>
      </c>
      <c r="F1885" s="3">
        <v>45669</v>
      </c>
      <c r="G1885" s="2" t="s">
        <v>3884</v>
      </c>
      <c r="H1885" s="2">
        <v>367319</v>
      </c>
      <c r="I1885" s="2">
        <v>267741</v>
      </c>
      <c r="J1885" s="2" t="s">
        <v>3891</v>
      </c>
      <c r="K1885" s="2" t="s">
        <v>3895</v>
      </c>
      <c r="L1885" s="2">
        <v>2023</v>
      </c>
      <c r="M1885" s="2">
        <v>99578</v>
      </c>
      <c r="N1885" s="2">
        <f xml:space="preserve"> (Table1[[#This Row],[Variance (USD)]] / Table1[[#This Row],[Actual Spending (USD)]]) * 100</f>
        <v>37.191913080178232</v>
      </c>
      <c r="O1885" s="5" t="s">
        <v>3897</v>
      </c>
    </row>
    <row r="1886" spans="1:15" x14ac:dyDescent="0.25">
      <c r="A1886" s="4" t="s">
        <v>1899</v>
      </c>
      <c r="B1886" s="2" t="s">
        <v>3678</v>
      </c>
      <c r="C1886" s="2" t="s">
        <v>3871</v>
      </c>
      <c r="D1886" s="2" t="s">
        <v>3877</v>
      </c>
      <c r="E1886" s="3">
        <v>45098</v>
      </c>
      <c r="F1886" s="3">
        <v>45745</v>
      </c>
      <c r="G1886" s="2" t="s">
        <v>3884</v>
      </c>
      <c r="H1886" s="2">
        <v>753098</v>
      </c>
      <c r="I1886" s="2">
        <v>1158801</v>
      </c>
      <c r="J1886" s="2" t="s">
        <v>3891</v>
      </c>
      <c r="K1886" s="2" t="s">
        <v>3896</v>
      </c>
      <c r="L1886" s="2">
        <v>2023</v>
      </c>
      <c r="M1886" s="2">
        <v>-405703</v>
      </c>
      <c r="N1886" s="2">
        <f xml:space="preserve"> (Table1[[#This Row],[Variance (USD)]] / Table1[[#This Row],[Actual Spending (USD)]]) * 100</f>
        <v>-35.010584215926634</v>
      </c>
      <c r="O1886" s="5" t="s">
        <v>3897</v>
      </c>
    </row>
    <row r="1887" spans="1:15" x14ac:dyDescent="0.25">
      <c r="A1887" s="4" t="s">
        <v>1900</v>
      </c>
      <c r="B1887" s="2" t="s">
        <v>3793</v>
      </c>
      <c r="C1887" s="2" t="s">
        <v>3871</v>
      </c>
      <c r="D1887" s="2" t="s">
        <v>3881</v>
      </c>
      <c r="E1887" s="3">
        <v>45575</v>
      </c>
      <c r="F1887" s="3">
        <v>45482</v>
      </c>
      <c r="G1887" s="2" t="s">
        <v>3886</v>
      </c>
      <c r="H1887" s="2">
        <v>365596</v>
      </c>
      <c r="I1887" s="2">
        <v>510570</v>
      </c>
      <c r="J1887" s="2" t="s">
        <v>3890</v>
      </c>
      <c r="K1887" s="2" t="s">
        <v>3895</v>
      </c>
      <c r="L1887" s="2">
        <v>2024</v>
      </c>
      <c r="M1887" s="2">
        <v>-144974</v>
      </c>
      <c r="N1887" s="2">
        <f xml:space="preserve"> (Table1[[#This Row],[Variance (USD)]] / Table1[[#This Row],[Actual Spending (USD)]]) * 100</f>
        <v>-28.394539436316276</v>
      </c>
      <c r="O1887" s="5" t="s">
        <v>3899</v>
      </c>
    </row>
    <row r="1888" spans="1:15" x14ac:dyDescent="0.25">
      <c r="A1888" s="4" t="s">
        <v>1901</v>
      </c>
      <c r="B1888" s="2" t="s">
        <v>3038</v>
      </c>
      <c r="C1888" s="2" t="s">
        <v>3869</v>
      </c>
      <c r="D1888" s="2" t="s">
        <v>3881</v>
      </c>
      <c r="E1888" s="3">
        <v>45424</v>
      </c>
      <c r="F1888" s="3">
        <v>45731</v>
      </c>
      <c r="G1888" s="2" t="s">
        <v>3884</v>
      </c>
      <c r="H1888" s="2">
        <v>249395</v>
      </c>
      <c r="I1888" s="2">
        <v>915169</v>
      </c>
      <c r="J1888" s="2" t="s">
        <v>3889</v>
      </c>
      <c r="K1888" s="2" t="s">
        <v>3895</v>
      </c>
      <c r="L1888" s="2">
        <v>2024</v>
      </c>
      <c r="M1888" s="2">
        <v>-665774</v>
      </c>
      <c r="N1888" s="2">
        <f xml:space="preserve"> (Table1[[#This Row],[Variance (USD)]] / Table1[[#This Row],[Actual Spending (USD)]]) * 100</f>
        <v>-72.748749138137327</v>
      </c>
      <c r="O1888" s="5" t="s">
        <v>3897</v>
      </c>
    </row>
    <row r="1889" spans="1:15" x14ac:dyDescent="0.25">
      <c r="A1889" s="4" t="s">
        <v>1902</v>
      </c>
      <c r="B1889" s="2" t="s">
        <v>3667</v>
      </c>
      <c r="C1889" s="2" t="s">
        <v>3871</v>
      </c>
      <c r="D1889" s="2" t="s">
        <v>3880</v>
      </c>
      <c r="E1889" s="3">
        <v>45397</v>
      </c>
      <c r="F1889" s="3">
        <v>45478</v>
      </c>
      <c r="G1889" s="2" t="s">
        <v>3884</v>
      </c>
      <c r="H1889" s="2">
        <v>358293</v>
      </c>
      <c r="I1889" s="2">
        <v>912969</v>
      </c>
      <c r="J1889" s="2" t="s">
        <v>3889</v>
      </c>
      <c r="K1889" s="2" t="s">
        <v>3896</v>
      </c>
      <c r="L1889" s="2">
        <v>2023</v>
      </c>
      <c r="M1889" s="2">
        <v>-554676</v>
      </c>
      <c r="N1889" s="2">
        <f xml:space="preserve"> (Table1[[#This Row],[Variance (USD)]] / Table1[[#This Row],[Actual Spending (USD)]]) * 100</f>
        <v>-60.755184458617983</v>
      </c>
      <c r="O1889" s="5" t="s">
        <v>3897</v>
      </c>
    </row>
    <row r="1890" spans="1:15" x14ac:dyDescent="0.25">
      <c r="A1890" s="4" t="s">
        <v>1903</v>
      </c>
      <c r="B1890" s="2" t="s">
        <v>3264</v>
      </c>
      <c r="C1890" s="2" t="s">
        <v>3874</v>
      </c>
      <c r="D1890" s="2" t="s">
        <v>3882</v>
      </c>
      <c r="E1890" s="3">
        <v>45310</v>
      </c>
      <c r="F1890" s="3">
        <v>45658</v>
      </c>
      <c r="G1890" s="2" t="s">
        <v>3885</v>
      </c>
      <c r="H1890" s="2">
        <v>294965</v>
      </c>
      <c r="I1890" s="2">
        <v>611890</v>
      </c>
      <c r="J1890" s="2" t="s">
        <v>3888</v>
      </c>
      <c r="K1890" s="2" t="s">
        <v>3894</v>
      </c>
      <c r="L1890" s="2">
        <v>2024</v>
      </c>
      <c r="M1890" s="2">
        <v>-316925</v>
      </c>
      <c r="N1890" s="2">
        <f xml:space="preserve"> (Table1[[#This Row],[Variance (USD)]] / Table1[[#This Row],[Actual Spending (USD)]]) * 100</f>
        <v>-51.794440177156019</v>
      </c>
      <c r="O1890" s="5" t="s">
        <v>3898</v>
      </c>
    </row>
    <row r="1891" spans="1:15" x14ac:dyDescent="0.25">
      <c r="A1891" s="4" t="s">
        <v>1904</v>
      </c>
      <c r="B1891" s="2" t="s">
        <v>3161</v>
      </c>
      <c r="C1891" s="2" t="s">
        <v>3872</v>
      </c>
      <c r="D1891" s="2" t="s">
        <v>3877</v>
      </c>
      <c r="E1891" s="3">
        <v>45616</v>
      </c>
      <c r="F1891" s="3">
        <v>45380</v>
      </c>
      <c r="G1891" s="2" t="s">
        <v>3884</v>
      </c>
      <c r="H1891" s="2">
        <v>852271</v>
      </c>
      <c r="I1891" s="2">
        <v>57182</v>
      </c>
      <c r="J1891" s="2" t="s">
        <v>3889</v>
      </c>
      <c r="K1891" s="2" t="s">
        <v>3896</v>
      </c>
      <c r="L1891" s="2">
        <v>2023</v>
      </c>
      <c r="M1891" s="2">
        <v>795089</v>
      </c>
      <c r="N1891" s="2">
        <f xml:space="preserve"> (Table1[[#This Row],[Variance (USD)]] / Table1[[#This Row],[Actual Spending (USD)]]) * 100</f>
        <v>1390.4532894966949</v>
      </c>
      <c r="O1891" s="5" t="s">
        <v>3897</v>
      </c>
    </row>
    <row r="1892" spans="1:15" x14ac:dyDescent="0.25">
      <c r="A1892" s="4" t="s">
        <v>1905</v>
      </c>
      <c r="B1892" s="2" t="s">
        <v>3620</v>
      </c>
      <c r="C1892" s="2" t="s">
        <v>3872</v>
      </c>
      <c r="D1892" s="2" t="s">
        <v>3883</v>
      </c>
      <c r="E1892" s="3">
        <v>45515</v>
      </c>
      <c r="F1892" s="3">
        <v>45478</v>
      </c>
      <c r="G1892" s="2" t="s">
        <v>3885</v>
      </c>
      <c r="H1892" s="2">
        <v>570724</v>
      </c>
      <c r="I1892" s="2">
        <v>1024877</v>
      </c>
      <c r="J1892" s="2" t="s">
        <v>3890</v>
      </c>
      <c r="K1892" s="2" t="s">
        <v>3895</v>
      </c>
      <c r="L1892" s="2">
        <v>2023</v>
      </c>
      <c r="M1892" s="2">
        <v>-454153</v>
      </c>
      <c r="N1892" s="2">
        <f xml:space="preserve"> (Table1[[#This Row],[Variance (USD)]] / Table1[[#This Row],[Actual Spending (USD)]]) * 100</f>
        <v>-44.312927307374444</v>
      </c>
      <c r="O1892" s="5" t="s">
        <v>3898</v>
      </c>
    </row>
    <row r="1893" spans="1:15" x14ac:dyDescent="0.25">
      <c r="A1893" s="4" t="s">
        <v>1906</v>
      </c>
      <c r="B1893" s="2" t="s">
        <v>3126</v>
      </c>
      <c r="C1893" s="2" t="s">
        <v>3868</v>
      </c>
      <c r="D1893" s="2" t="s">
        <v>3880</v>
      </c>
      <c r="E1893" s="3">
        <v>45626</v>
      </c>
      <c r="F1893" s="3">
        <v>45423</v>
      </c>
      <c r="G1893" s="2" t="s">
        <v>3887</v>
      </c>
      <c r="H1893" s="2">
        <v>576443</v>
      </c>
      <c r="I1893" s="2">
        <v>432003</v>
      </c>
      <c r="J1893" s="2" t="s">
        <v>3889</v>
      </c>
      <c r="K1893" s="2" t="s">
        <v>3896</v>
      </c>
      <c r="L1893" s="2">
        <v>2023</v>
      </c>
      <c r="M1893" s="2">
        <v>144440</v>
      </c>
      <c r="N1893" s="2">
        <f xml:space="preserve"> (Table1[[#This Row],[Variance (USD)]] / Table1[[#This Row],[Actual Spending (USD)]]) * 100</f>
        <v>33.434952998011589</v>
      </c>
      <c r="O1893" s="5" t="s">
        <v>3900</v>
      </c>
    </row>
    <row r="1894" spans="1:15" x14ac:dyDescent="0.25">
      <c r="A1894" s="4" t="s">
        <v>1907</v>
      </c>
      <c r="B1894" s="2" t="s">
        <v>3218</v>
      </c>
      <c r="C1894" s="2" t="s">
        <v>3871</v>
      </c>
      <c r="D1894" s="2" t="s">
        <v>3878</v>
      </c>
      <c r="E1894" s="3">
        <v>45433</v>
      </c>
      <c r="F1894" s="3">
        <v>45926</v>
      </c>
      <c r="G1894" s="2" t="s">
        <v>3884</v>
      </c>
      <c r="H1894" s="2">
        <v>450235</v>
      </c>
      <c r="I1894" s="2">
        <v>816825</v>
      </c>
      <c r="J1894" s="2" t="s">
        <v>3890</v>
      </c>
      <c r="K1894" s="2" t="s">
        <v>3896</v>
      </c>
      <c r="L1894" s="2">
        <v>2025</v>
      </c>
      <c r="M1894" s="2">
        <v>-366590</v>
      </c>
      <c r="N1894" s="2">
        <f xml:space="preserve"> (Table1[[#This Row],[Variance (USD)]] / Table1[[#This Row],[Actual Spending (USD)]]) * 100</f>
        <v>-44.87987022924127</v>
      </c>
      <c r="O1894" s="5" t="s">
        <v>3897</v>
      </c>
    </row>
    <row r="1895" spans="1:15" x14ac:dyDescent="0.25">
      <c r="A1895" s="4" t="s">
        <v>1908</v>
      </c>
      <c r="B1895" s="2" t="s">
        <v>3236</v>
      </c>
      <c r="C1895" s="2" t="s">
        <v>3869</v>
      </c>
      <c r="D1895" s="2" t="s">
        <v>3882</v>
      </c>
      <c r="E1895" s="3">
        <v>45453</v>
      </c>
      <c r="F1895" s="3">
        <v>45851</v>
      </c>
      <c r="G1895" s="2" t="s">
        <v>3884</v>
      </c>
      <c r="H1895" s="2">
        <v>628800</v>
      </c>
      <c r="I1895" s="2">
        <v>173128</v>
      </c>
      <c r="J1895" s="2" t="s">
        <v>3891</v>
      </c>
      <c r="K1895" s="2" t="s">
        <v>3894</v>
      </c>
      <c r="L1895" s="2">
        <v>2023</v>
      </c>
      <c r="M1895" s="2">
        <v>455672</v>
      </c>
      <c r="N1895" s="2">
        <f xml:space="preserve"> (Table1[[#This Row],[Variance (USD)]] / Table1[[#This Row],[Actual Spending (USD)]]) * 100</f>
        <v>263.19948246384178</v>
      </c>
      <c r="O1895" s="5" t="s">
        <v>3897</v>
      </c>
    </row>
    <row r="1896" spans="1:15" x14ac:dyDescent="0.25">
      <c r="A1896" s="4" t="s">
        <v>1909</v>
      </c>
      <c r="B1896" s="2" t="s">
        <v>3787</v>
      </c>
      <c r="C1896" s="2" t="s">
        <v>3871</v>
      </c>
      <c r="D1896" s="2" t="s">
        <v>3877</v>
      </c>
      <c r="E1896" s="3">
        <v>45251</v>
      </c>
      <c r="F1896" s="3">
        <v>45667</v>
      </c>
      <c r="G1896" s="2" t="s">
        <v>3884</v>
      </c>
      <c r="H1896" s="2">
        <v>504906</v>
      </c>
      <c r="I1896" s="2">
        <v>484699</v>
      </c>
      <c r="J1896" s="2" t="s">
        <v>3891</v>
      </c>
      <c r="K1896" s="2" t="s">
        <v>3893</v>
      </c>
      <c r="L1896" s="2">
        <v>2023</v>
      </c>
      <c r="M1896" s="2">
        <v>20207</v>
      </c>
      <c r="N1896" s="2">
        <f xml:space="preserve"> (Table1[[#This Row],[Variance (USD)]] / Table1[[#This Row],[Actual Spending (USD)]]) * 100</f>
        <v>4.1689790983682657</v>
      </c>
      <c r="O1896" s="5" t="s">
        <v>3897</v>
      </c>
    </row>
    <row r="1897" spans="1:15" x14ac:dyDescent="0.25">
      <c r="A1897" s="4" t="s">
        <v>1910</v>
      </c>
      <c r="B1897" s="2" t="s">
        <v>3676</v>
      </c>
      <c r="C1897" s="2" t="s">
        <v>3875</v>
      </c>
      <c r="D1897" s="2" t="s">
        <v>3876</v>
      </c>
      <c r="E1897" s="3">
        <v>45140</v>
      </c>
      <c r="F1897" s="3">
        <v>45982</v>
      </c>
      <c r="G1897" s="2" t="s">
        <v>3886</v>
      </c>
      <c r="H1897" s="2">
        <v>922582</v>
      </c>
      <c r="I1897" s="2">
        <v>1056200</v>
      </c>
      <c r="J1897" s="2" t="s">
        <v>3891</v>
      </c>
      <c r="K1897" s="2" t="s">
        <v>3895</v>
      </c>
      <c r="L1897" s="2">
        <v>2023</v>
      </c>
      <c r="M1897" s="2">
        <v>-133618</v>
      </c>
      <c r="N1897" s="2">
        <f xml:space="preserve"> (Table1[[#This Row],[Variance (USD)]] / Table1[[#This Row],[Actual Spending (USD)]]) * 100</f>
        <v>-12.650823707631131</v>
      </c>
      <c r="O1897" s="5" t="s">
        <v>3899</v>
      </c>
    </row>
    <row r="1898" spans="1:15" x14ac:dyDescent="0.25">
      <c r="A1898" s="4" t="s">
        <v>1911</v>
      </c>
      <c r="B1898" s="2" t="s">
        <v>3340</v>
      </c>
      <c r="C1898" s="2" t="s">
        <v>3875</v>
      </c>
      <c r="D1898" s="2" t="s">
        <v>3880</v>
      </c>
      <c r="E1898" s="3">
        <v>45134</v>
      </c>
      <c r="F1898" s="3">
        <v>45983</v>
      </c>
      <c r="G1898" s="2" t="s">
        <v>3886</v>
      </c>
      <c r="H1898" s="2">
        <v>700329</v>
      </c>
      <c r="I1898" s="2">
        <v>451645</v>
      </c>
      <c r="J1898" s="2" t="s">
        <v>3892</v>
      </c>
      <c r="K1898" s="2" t="s">
        <v>3895</v>
      </c>
      <c r="L1898" s="2">
        <v>2024</v>
      </c>
      <c r="M1898" s="2">
        <v>248684</v>
      </c>
      <c r="N1898" s="2">
        <f xml:space="preserve"> (Table1[[#This Row],[Variance (USD)]] / Table1[[#This Row],[Actual Spending (USD)]]) * 100</f>
        <v>55.061829534258102</v>
      </c>
      <c r="O1898" s="5" t="s">
        <v>3899</v>
      </c>
    </row>
    <row r="1899" spans="1:15" x14ac:dyDescent="0.25">
      <c r="A1899" s="4" t="s">
        <v>1912</v>
      </c>
      <c r="B1899" s="2" t="s">
        <v>3038</v>
      </c>
      <c r="C1899" s="2" t="s">
        <v>3869</v>
      </c>
      <c r="D1899" s="2" t="s">
        <v>3877</v>
      </c>
      <c r="E1899" s="3">
        <v>45095</v>
      </c>
      <c r="F1899" s="3">
        <v>45390</v>
      </c>
      <c r="G1899" s="2" t="s">
        <v>3886</v>
      </c>
      <c r="H1899" s="2">
        <v>338334</v>
      </c>
      <c r="I1899" s="2">
        <v>345050</v>
      </c>
      <c r="J1899" s="2" t="s">
        <v>3891</v>
      </c>
      <c r="K1899" s="2" t="s">
        <v>3894</v>
      </c>
      <c r="L1899" s="2">
        <v>2023</v>
      </c>
      <c r="M1899" s="2">
        <v>-6716</v>
      </c>
      <c r="N1899" s="2">
        <f xml:space="preserve"> (Table1[[#This Row],[Variance (USD)]] / Table1[[#This Row],[Actual Spending (USD)]]) * 100</f>
        <v>-1.9463845819446455</v>
      </c>
      <c r="O1899" s="5" t="s">
        <v>3899</v>
      </c>
    </row>
    <row r="1900" spans="1:15" x14ac:dyDescent="0.25">
      <c r="A1900" s="4" t="s">
        <v>1913</v>
      </c>
      <c r="B1900" s="2" t="s">
        <v>3702</v>
      </c>
      <c r="C1900" s="2" t="s">
        <v>3868</v>
      </c>
      <c r="D1900" s="2" t="s">
        <v>3879</v>
      </c>
      <c r="E1900" s="3">
        <v>45256</v>
      </c>
      <c r="F1900" s="3">
        <v>45325</v>
      </c>
      <c r="G1900" s="2" t="s">
        <v>3886</v>
      </c>
      <c r="H1900" s="2">
        <v>549127</v>
      </c>
      <c r="I1900" s="2">
        <v>1045261</v>
      </c>
      <c r="J1900" s="2" t="s">
        <v>3890</v>
      </c>
      <c r="K1900" s="2" t="s">
        <v>3896</v>
      </c>
      <c r="L1900" s="2">
        <v>2025</v>
      </c>
      <c r="M1900" s="2">
        <v>-496134</v>
      </c>
      <c r="N1900" s="2">
        <f xml:space="preserve"> (Table1[[#This Row],[Variance (USD)]] / Table1[[#This Row],[Actual Spending (USD)]]) * 100</f>
        <v>-47.465082883605149</v>
      </c>
      <c r="O1900" s="5" t="s">
        <v>3899</v>
      </c>
    </row>
    <row r="1901" spans="1:15" x14ac:dyDescent="0.25">
      <c r="A1901" s="4" t="s">
        <v>1914</v>
      </c>
      <c r="B1901" s="2" t="s">
        <v>3485</v>
      </c>
      <c r="C1901" s="2" t="s">
        <v>3868</v>
      </c>
      <c r="D1901" s="2" t="s">
        <v>3881</v>
      </c>
      <c r="E1901" s="3">
        <v>45206</v>
      </c>
      <c r="F1901" s="3">
        <v>45873</v>
      </c>
      <c r="G1901" s="2" t="s">
        <v>3884</v>
      </c>
      <c r="H1901" s="2">
        <v>323072</v>
      </c>
      <c r="I1901" s="2">
        <v>860821</v>
      </c>
      <c r="J1901" s="2" t="s">
        <v>3888</v>
      </c>
      <c r="K1901" s="2" t="s">
        <v>3893</v>
      </c>
      <c r="L1901" s="2">
        <v>2025</v>
      </c>
      <c r="M1901" s="2">
        <v>-537749</v>
      </c>
      <c r="N1901" s="2">
        <f xml:space="preserve"> (Table1[[#This Row],[Variance (USD)]] / Table1[[#This Row],[Actual Spending (USD)]]) * 100</f>
        <v>-62.469317082180851</v>
      </c>
      <c r="O1901" s="5" t="s">
        <v>3897</v>
      </c>
    </row>
    <row r="1902" spans="1:15" x14ac:dyDescent="0.25">
      <c r="A1902" s="4" t="s">
        <v>1915</v>
      </c>
      <c r="B1902" s="2" t="s">
        <v>3672</v>
      </c>
      <c r="C1902" s="2" t="s">
        <v>3872</v>
      </c>
      <c r="D1902" s="2" t="s">
        <v>3878</v>
      </c>
      <c r="E1902" s="3">
        <v>45231</v>
      </c>
      <c r="F1902" s="3">
        <v>45462</v>
      </c>
      <c r="G1902" s="2" t="s">
        <v>3885</v>
      </c>
      <c r="H1902" s="2">
        <v>360569</v>
      </c>
      <c r="I1902" s="2">
        <v>313049</v>
      </c>
      <c r="J1902" s="2" t="s">
        <v>3889</v>
      </c>
      <c r="K1902" s="2" t="s">
        <v>3895</v>
      </c>
      <c r="L1902" s="2">
        <v>2023</v>
      </c>
      <c r="M1902" s="2">
        <v>47520</v>
      </c>
      <c r="N1902" s="2">
        <f xml:space="preserve"> (Table1[[#This Row],[Variance (USD)]] / Table1[[#This Row],[Actual Spending (USD)]]) * 100</f>
        <v>15.179732246389543</v>
      </c>
      <c r="O1902" s="5" t="s">
        <v>3898</v>
      </c>
    </row>
    <row r="1903" spans="1:15" x14ac:dyDescent="0.25">
      <c r="A1903" s="4" t="s">
        <v>1916</v>
      </c>
      <c r="B1903" s="2" t="s">
        <v>3328</v>
      </c>
      <c r="C1903" s="2" t="s">
        <v>3872</v>
      </c>
      <c r="D1903" s="2" t="s">
        <v>3883</v>
      </c>
      <c r="E1903" s="3">
        <v>45072</v>
      </c>
      <c r="F1903" s="3">
        <v>45657</v>
      </c>
      <c r="G1903" s="2" t="s">
        <v>3886</v>
      </c>
      <c r="H1903" s="2">
        <v>648422</v>
      </c>
      <c r="I1903" s="2">
        <v>611845</v>
      </c>
      <c r="J1903" s="2" t="s">
        <v>3891</v>
      </c>
      <c r="K1903" s="2" t="s">
        <v>3893</v>
      </c>
      <c r="L1903" s="2">
        <v>2023</v>
      </c>
      <c r="M1903" s="2">
        <v>36577</v>
      </c>
      <c r="N1903" s="2">
        <f xml:space="preserve"> (Table1[[#This Row],[Variance (USD)]] / Table1[[#This Row],[Actual Spending (USD)]]) * 100</f>
        <v>5.9781480603747683</v>
      </c>
      <c r="O1903" s="5" t="s">
        <v>3899</v>
      </c>
    </row>
    <row r="1904" spans="1:15" x14ac:dyDescent="0.25">
      <c r="A1904" s="4" t="s">
        <v>1917</v>
      </c>
      <c r="B1904" s="2" t="s">
        <v>3307</v>
      </c>
      <c r="C1904" s="2" t="s">
        <v>3873</v>
      </c>
      <c r="D1904" s="2" t="s">
        <v>3881</v>
      </c>
      <c r="E1904" s="3">
        <v>45442</v>
      </c>
      <c r="F1904" s="3">
        <v>45350</v>
      </c>
      <c r="G1904" s="2" t="s">
        <v>3886</v>
      </c>
      <c r="H1904" s="2">
        <v>684163</v>
      </c>
      <c r="I1904" s="2">
        <v>791994</v>
      </c>
      <c r="J1904" s="2" t="s">
        <v>3892</v>
      </c>
      <c r="K1904" s="2" t="s">
        <v>3893</v>
      </c>
      <c r="L1904" s="2">
        <v>2023</v>
      </c>
      <c r="M1904" s="2">
        <v>-107831</v>
      </c>
      <c r="N1904" s="2">
        <f xml:space="preserve"> (Table1[[#This Row],[Variance (USD)]] / Table1[[#This Row],[Actual Spending (USD)]]) * 100</f>
        <v>-13.615128397437354</v>
      </c>
      <c r="O1904" s="5" t="s">
        <v>3899</v>
      </c>
    </row>
    <row r="1905" spans="1:15" x14ac:dyDescent="0.25">
      <c r="A1905" s="4" t="s">
        <v>1918</v>
      </c>
      <c r="B1905" s="2" t="s">
        <v>3272</v>
      </c>
      <c r="C1905" s="2" t="s">
        <v>3869</v>
      </c>
      <c r="D1905" s="2" t="s">
        <v>3879</v>
      </c>
      <c r="E1905" s="3">
        <v>45016</v>
      </c>
      <c r="F1905" s="3">
        <v>45472</v>
      </c>
      <c r="G1905" s="2" t="s">
        <v>3885</v>
      </c>
      <c r="H1905" s="2">
        <v>267189</v>
      </c>
      <c r="I1905" s="2">
        <v>787624</v>
      </c>
      <c r="J1905" s="2" t="s">
        <v>3892</v>
      </c>
      <c r="K1905" s="2" t="s">
        <v>3896</v>
      </c>
      <c r="L1905" s="2">
        <v>2025</v>
      </c>
      <c r="M1905" s="2">
        <v>-520435</v>
      </c>
      <c r="N1905" s="2">
        <f xml:space="preserve"> (Table1[[#This Row],[Variance (USD)]] / Table1[[#This Row],[Actual Spending (USD)]]) * 100</f>
        <v>-66.076579687769794</v>
      </c>
      <c r="O1905" s="5" t="s">
        <v>3898</v>
      </c>
    </row>
    <row r="1906" spans="1:15" x14ac:dyDescent="0.25">
      <c r="A1906" s="4" t="s">
        <v>1919</v>
      </c>
      <c r="B1906" s="2" t="s">
        <v>3187</v>
      </c>
      <c r="C1906" s="2" t="s">
        <v>3871</v>
      </c>
      <c r="D1906" s="2" t="s">
        <v>3879</v>
      </c>
      <c r="E1906" s="3">
        <v>45379</v>
      </c>
      <c r="F1906" s="3">
        <v>45310</v>
      </c>
      <c r="G1906" s="2" t="s">
        <v>3886</v>
      </c>
      <c r="H1906" s="2">
        <v>698552</v>
      </c>
      <c r="I1906" s="2">
        <v>227271</v>
      </c>
      <c r="J1906" s="2" t="s">
        <v>3890</v>
      </c>
      <c r="K1906" s="2" t="s">
        <v>3896</v>
      </c>
      <c r="L1906" s="2">
        <v>2024</v>
      </c>
      <c r="M1906" s="2">
        <v>471281</v>
      </c>
      <c r="N1906" s="2">
        <f xml:space="preserve"> (Table1[[#This Row],[Variance (USD)]] / Table1[[#This Row],[Actual Spending (USD)]]) * 100</f>
        <v>207.36521597564143</v>
      </c>
      <c r="O1906" s="5" t="s">
        <v>3899</v>
      </c>
    </row>
    <row r="1907" spans="1:15" x14ac:dyDescent="0.25">
      <c r="A1907" s="4" t="s">
        <v>1920</v>
      </c>
      <c r="B1907" s="2" t="s">
        <v>3098</v>
      </c>
      <c r="C1907" s="2" t="s">
        <v>3870</v>
      </c>
      <c r="D1907" s="2" t="s">
        <v>3878</v>
      </c>
      <c r="E1907" s="3">
        <v>44986</v>
      </c>
      <c r="F1907" s="3">
        <v>45517</v>
      </c>
      <c r="G1907" s="2" t="s">
        <v>3884</v>
      </c>
      <c r="H1907" s="2">
        <v>230046</v>
      </c>
      <c r="I1907" s="2">
        <v>732661</v>
      </c>
      <c r="J1907" s="2" t="s">
        <v>3888</v>
      </c>
      <c r="K1907" s="2" t="s">
        <v>3896</v>
      </c>
      <c r="L1907" s="2">
        <v>2024</v>
      </c>
      <c r="M1907" s="2">
        <v>-502615</v>
      </c>
      <c r="N1907" s="2">
        <f xml:space="preserve"> (Table1[[#This Row],[Variance (USD)]] / Table1[[#This Row],[Actual Spending (USD)]]) * 100</f>
        <v>-68.601304013725311</v>
      </c>
      <c r="O1907" s="5" t="s">
        <v>3897</v>
      </c>
    </row>
    <row r="1908" spans="1:15" x14ac:dyDescent="0.25">
      <c r="A1908" s="4" t="s">
        <v>1921</v>
      </c>
      <c r="B1908" s="2" t="s">
        <v>3778</v>
      </c>
      <c r="C1908" s="2" t="s">
        <v>3869</v>
      </c>
      <c r="D1908" s="2" t="s">
        <v>3883</v>
      </c>
      <c r="E1908" s="3">
        <v>45237</v>
      </c>
      <c r="F1908" s="3">
        <v>45764</v>
      </c>
      <c r="G1908" s="2" t="s">
        <v>3884</v>
      </c>
      <c r="H1908" s="2">
        <v>422335</v>
      </c>
      <c r="I1908" s="2">
        <v>639040</v>
      </c>
      <c r="J1908" s="2" t="s">
        <v>3891</v>
      </c>
      <c r="K1908" s="2" t="s">
        <v>3895</v>
      </c>
      <c r="L1908" s="2">
        <v>2023</v>
      </c>
      <c r="M1908" s="2">
        <v>-216705</v>
      </c>
      <c r="N1908" s="2">
        <f xml:space="preserve"> (Table1[[#This Row],[Variance (USD)]] / Table1[[#This Row],[Actual Spending (USD)]]) * 100</f>
        <v>-33.911022784176268</v>
      </c>
      <c r="O1908" s="5" t="s">
        <v>3897</v>
      </c>
    </row>
    <row r="1909" spans="1:15" x14ac:dyDescent="0.25">
      <c r="A1909" s="4" t="s">
        <v>1922</v>
      </c>
      <c r="B1909" s="2" t="s">
        <v>3794</v>
      </c>
      <c r="C1909" s="2" t="s">
        <v>3873</v>
      </c>
      <c r="D1909" s="2" t="s">
        <v>3876</v>
      </c>
      <c r="E1909" s="3">
        <v>45454</v>
      </c>
      <c r="F1909" s="3">
        <v>45386</v>
      </c>
      <c r="G1909" s="2" t="s">
        <v>3884</v>
      </c>
      <c r="H1909" s="2">
        <v>229815</v>
      </c>
      <c r="I1909" s="2">
        <v>821006</v>
      </c>
      <c r="J1909" s="2" t="s">
        <v>3891</v>
      </c>
      <c r="K1909" s="2" t="s">
        <v>3893</v>
      </c>
      <c r="L1909" s="2">
        <v>2024</v>
      </c>
      <c r="M1909" s="2">
        <v>-591191</v>
      </c>
      <c r="N1909" s="2">
        <f xml:space="preserve"> (Table1[[#This Row],[Variance (USD)]] / Table1[[#This Row],[Actual Spending (USD)]]) * 100</f>
        <v>-72.008121743324651</v>
      </c>
      <c r="O1909" s="5" t="s">
        <v>3897</v>
      </c>
    </row>
    <row r="1910" spans="1:15" x14ac:dyDescent="0.25">
      <c r="A1910" s="4" t="s">
        <v>1923</v>
      </c>
      <c r="B1910" s="2" t="s">
        <v>3269</v>
      </c>
      <c r="C1910" s="2" t="s">
        <v>3872</v>
      </c>
      <c r="D1910" s="2" t="s">
        <v>3880</v>
      </c>
      <c r="E1910" s="3">
        <v>45153</v>
      </c>
      <c r="F1910" s="3">
        <v>45588</v>
      </c>
      <c r="G1910" s="2" t="s">
        <v>3884</v>
      </c>
      <c r="H1910" s="2">
        <v>522671</v>
      </c>
      <c r="I1910" s="2">
        <v>812262</v>
      </c>
      <c r="J1910" s="2" t="s">
        <v>3892</v>
      </c>
      <c r="K1910" s="2" t="s">
        <v>3893</v>
      </c>
      <c r="L1910" s="2">
        <v>2025</v>
      </c>
      <c r="M1910" s="2">
        <v>-289591</v>
      </c>
      <c r="N1910" s="2">
        <f xml:space="preserve"> (Table1[[#This Row],[Variance (USD)]] / Table1[[#This Row],[Actual Spending (USD)]]) * 100</f>
        <v>-35.652412645180988</v>
      </c>
      <c r="O1910" s="5" t="s">
        <v>3897</v>
      </c>
    </row>
    <row r="1911" spans="1:15" x14ac:dyDescent="0.25">
      <c r="A1911" s="4" t="s">
        <v>1924</v>
      </c>
      <c r="B1911" s="2" t="s">
        <v>3017</v>
      </c>
      <c r="C1911" s="2" t="s">
        <v>3869</v>
      </c>
      <c r="D1911" s="2" t="s">
        <v>3882</v>
      </c>
      <c r="E1911" s="3">
        <v>45400</v>
      </c>
      <c r="F1911" s="3">
        <v>45884</v>
      </c>
      <c r="G1911" s="2" t="s">
        <v>3887</v>
      </c>
      <c r="H1911" s="2">
        <v>940148</v>
      </c>
      <c r="I1911" s="2">
        <v>1004280</v>
      </c>
      <c r="J1911" s="2" t="s">
        <v>3890</v>
      </c>
      <c r="K1911" s="2" t="s">
        <v>3895</v>
      </c>
      <c r="L1911" s="2">
        <v>2023</v>
      </c>
      <c r="M1911" s="2">
        <v>-64132</v>
      </c>
      <c r="N1911" s="2">
        <f xml:space="preserve"> (Table1[[#This Row],[Variance (USD)]] / Table1[[#This Row],[Actual Spending (USD)]]) * 100</f>
        <v>-6.3858684828932173</v>
      </c>
      <c r="O1911" s="5" t="s">
        <v>3900</v>
      </c>
    </row>
    <row r="1912" spans="1:15" x14ac:dyDescent="0.25">
      <c r="A1912" s="4" t="s">
        <v>1925</v>
      </c>
      <c r="B1912" s="2" t="s">
        <v>3183</v>
      </c>
      <c r="C1912" s="2" t="s">
        <v>3869</v>
      </c>
      <c r="D1912" s="2" t="s">
        <v>3883</v>
      </c>
      <c r="E1912" s="3">
        <v>45467</v>
      </c>
      <c r="F1912" s="3">
        <v>45466</v>
      </c>
      <c r="G1912" s="2" t="s">
        <v>3884</v>
      </c>
      <c r="H1912" s="2">
        <v>251107</v>
      </c>
      <c r="I1912" s="2">
        <v>1035716</v>
      </c>
      <c r="J1912" s="2" t="s">
        <v>3892</v>
      </c>
      <c r="K1912" s="2" t="s">
        <v>3894</v>
      </c>
      <c r="L1912" s="2">
        <v>2024</v>
      </c>
      <c r="M1912" s="2">
        <v>-784609</v>
      </c>
      <c r="N1912" s="2">
        <f xml:space="preserve"> (Table1[[#This Row],[Variance (USD)]] / Table1[[#This Row],[Actual Spending (USD)]]) * 100</f>
        <v>-75.755226336177088</v>
      </c>
      <c r="O1912" s="5" t="s">
        <v>3897</v>
      </c>
    </row>
    <row r="1913" spans="1:15" x14ac:dyDescent="0.25">
      <c r="A1913" s="4" t="s">
        <v>1926</v>
      </c>
      <c r="B1913" s="2" t="s">
        <v>3765</v>
      </c>
      <c r="C1913" s="2" t="s">
        <v>3872</v>
      </c>
      <c r="D1913" s="2" t="s">
        <v>3882</v>
      </c>
      <c r="E1913" s="3">
        <v>45589</v>
      </c>
      <c r="F1913" s="3">
        <v>45513</v>
      </c>
      <c r="G1913" s="2" t="s">
        <v>3886</v>
      </c>
      <c r="H1913" s="2">
        <v>630609</v>
      </c>
      <c r="I1913" s="2">
        <v>510313</v>
      </c>
      <c r="J1913" s="2" t="s">
        <v>3892</v>
      </c>
      <c r="K1913" s="2" t="s">
        <v>3896</v>
      </c>
      <c r="L1913" s="2">
        <v>2023</v>
      </c>
      <c r="M1913" s="2">
        <v>120296</v>
      </c>
      <c r="N1913" s="2">
        <f xml:space="preserve"> (Table1[[#This Row],[Variance (USD)]] / Table1[[#This Row],[Actual Spending (USD)]]) * 100</f>
        <v>23.572983639452648</v>
      </c>
      <c r="O1913" s="5" t="s">
        <v>3899</v>
      </c>
    </row>
    <row r="1914" spans="1:15" x14ac:dyDescent="0.25">
      <c r="A1914" s="4" t="s">
        <v>1927</v>
      </c>
      <c r="B1914" s="2" t="s">
        <v>3419</v>
      </c>
      <c r="C1914" s="2" t="s">
        <v>3874</v>
      </c>
      <c r="D1914" s="2" t="s">
        <v>3877</v>
      </c>
      <c r="E1914" s="3">
        <v>45005</v>
      </c>
      <c r="F1914" s="3">
        <v>45906</v>
      </c>
      <c r="G1914" s="2" t="s">
        <v>3884</v>
      </c>
      <c r="H1914" s="2">
        <v>425926</v>
      </c>
      <c r="I1914" s="2">
        <v>316881</v>
      </c>
      <c r="J1914" s="2" t="s">
        <v>3888</v>
      </c>
      <c r="K1914" s="2" t="s">
        <v>3895</v>
      </c>
      <c r="L1914" s="2">
        <v>2023</v>
      </c>
      <c r="M1914" s="2">
        <v>109045</v>
      </c>
      <c r="N1914" s="2">
        <f xml:space="preserve"> (Table1[[#This Row],[Variance (USD)]] / Table1[[#This Row],[Actual Spending (USD)]]) * 100</f>
        <v>34.411971686532169</v>
      </c>
      <c r="O1914" s="5" t="s">
        <v>3897</v>
      </c>
    </row>
    <row r="1915" spans="1:15" x14ac:dyDescent="0.25">
      <c r="A1915" s="4" t="s">
        <v>1928</v>
      </c>
      <c r="B1915" s="2" t="s">
        <v>3197</v>
      </c>
      <c r="C1915" s="2" t="s">
        <v>3873</v>
      </c>
      <c r="D1915" s="2" t="s">
        <v>3879</v>
      </c>
      <c r="E1915" s="3">
        <v>45359</v>
      </c>
      <c r="F1915" s="3">
        <v>45345</v>
      </c>
      <c r="G1915" s="2" t="s">
        <v>3884</v>
      </c>
      <c r="H1915" s="2">
        <v>159398</v>
      </c>
      <c r="I1915" s="2">
        <v>1170188</v>
      </c>
      <c r="J1915" s="2" t="s">
        <v>3890</v>
      </c>
      <c r="K1915" s="2" t="s">
        <v>3896</v>
      </c>
      <c r="L1915" s="2">
        <v>2025</v>
      </c>
      <c r="M1915" s="2">
        <v>-1010790</v>
      </c>
      <c r="N1915" s="2">
        <f xml:space="preserve"> (Table1[[#This Row],[Variance (USD)]] / Table1[[#This Row],[Actual Spending (USD)]]) * 100</f>
        <v>-86.378428081641573</v>
      </c>
      <c r="O1915" s="5" t="s">
        <v>3897</v>
      </c>
    </row>
    <row r="1916" spans="1:15" x14ac:dyDescent="0.25">
      <c r="A1916" s="4" t="s">
        <v>1929</v>
      </c>
      <c r="B1916" s="2" t="s">
        <v>3127</v>
      </c>
      <c r="C1916" s="2" t="s">
        <v>3872</v>
      </c>
      <c r="D1916" s="2" t="s">
        <v>3877</v>
      </c>
      <c r="E1916" s="3">
        <v>45079</v>
      </c>
      <c r="F1916" s="3">
        <v>45986</v>
      </c>
      <c r="G1916" s="2" t="s">
        <v>3885</v>
      </c>
      <c r="H1916" s="2">
        <v>371117</v>
      </c>
      <c r="I1916" s="2">
        <v>101082</v>
      </c>
      <c r="J1916" s="2" t="s">
        <v>3888</v>
      </c>
      <c r="K1916" s="2" t="s">
        <v>3893</v>
      </c>
      <c r="L1916" s="2">
        <v>2025</v>
      </c>
      <c r="M1916" s="2">
        <v>270035</v>
      </c>
      <c r="N1916" s="2">
        <f xml:space="preserve"> (Table1[[#This Row],[Variance (USD)]] / Table1[[#This Row],[Actual Spending (USD)]]) * 100</f>
        <v>267.14449654735756</v>
      </c>
      <c r="O1916" s="5" t="s">
        <v>3898</v>
      </c>
    </row>
    <row r="1917" spans="1:15" x14ac:dyDescent="0.25">
      <c r="A1917" s="4" t="s">
        <v>1930</v>
      </c>
      <c r="B1917" s="2" t="s">
        <v>3795</v>
      </c>
      <c r="C1917" s="2" t="s">
        <v>3868</v>
      </c>
      <c r="D1917" s="2" t="s">
        <v>3876</v>
      </c>
      <c r="E1917" s="3">
        <v>45327</v>
      </c>
      <c r="F1917" s="3">
        <v>45694</v>
      </c>
      <c r="G1917" s="2" t="s">
        <v>3885</v>
      </c>
      <c r="H1917" s="2">
        <v>626702</v>
      </c>
      <c r="I1917" s="2">
        <v>444496</v>
      </c>
      <c r="J1917" s="2" t="s">
        <v>3890</v>
      </c>
      <c r="K1917" s="2" t="s">
        <v>3895</v>
      </c>
      <c r="L1917" s="2">
        <v>2024</v>
      </c>
      <c r="M1917" s="2">
        <v>182206</v>
      </c>
      <c r="N1917" s="2">
        <f xml:space="preserve"> (Table1[[#This Row],[Variance (USD)]] / Table1[[#This Row],[Actual Spending (USD)]]) * 100</f>
        <v>40.991594974982902</v>
      </c>
      <c r="O1917" s="5" t="s">
        <v>3898</v>
      </c>
    </row>
    <row r="1918" spans="1:15" x14ac:dyDescent="0.25">
      <c r="A1918" s="4" t="s">
        <v>1931</v>
      </c>
      <c r="B1918" s="2" t="s">
        <v>3552</v>
      </c>
      <c r="C1918" s="2" t="s">
        <v>3871</v>
      </c>
      <c r="D1918" s="2" t="s">
        <v>3877</v>
      </c>
      <c r="E1918" s="3">
        <v>45205</v>
      </c>
      <c r="F1918" s="3">
        <v>45609</v>
      </c>
      <c r="G1918" s="2" t="s">
        <v>3884</v>
      </c>
      <c r="H1918" s="2">
        <v>468818</v>
      </c>
      <c r="I1918" s="2">
        <v>149229</v>
      </c>
      <c r="J1918" s="2" t="s">
        <v>3891</v>
      </c>
      <c r="K1918" s="2" t="s">
        <v>3894</v>
      </c>
      <c r="L1918" s="2">
        <v>2025</v>
      </c>
      <c r="M1918" s="2">
        <v>319589</v>
      </c>
      <c r="N1918" s="2">
        <f xml:space="preserve"> (Table1[[#This Row],[Variance (USD)]] / Table1[[#This Row],[Actual Spending (USD)]]) * 100</f>
        <v>214.16011633127607</v>
      </c>
      <c r="O1918" s="5" t="s">
        <v>3897</v>
      </c>
    </row>
    <row r="1919" spans="1:15" x14ac:dyDescent="0.25">
      <c r="A1919" s="4" t="s">
        <v>1932</v>
      </c>
      <c r="B1919" s="2" t="s">
        <v>3019</v>
      </c>
      <c r="C1919" s="2" t="s">
        <v>3872</v>
      </c>
      <c r="D1919" s="2" t="s">
        <v>3883</v>
      </c>
      <c r="E1919" s="3">
        <v>44983</v>
      </c>
      <c r="F1919" s="3">
        <v>45640</v>
      </c>
      <c r="G1919" s="2" t="s">
        <v>3884</v>
      </c>
      <c r="H1919" s="2">
        <v>298749</v>
      </c>
      <c r="I1919" s="2">
        <v>260205</v>
      </c>
      <c r="J1919" s="2" t="s">
        <v>3889</v>
      </c>
      <c r="K1919" s="2" t="s">
        <v>3896</v>
      </c>
      <c r="L1919" s="2">
        <v>2023</v>
      </c>
      <c r="M1919" s="2">
        <v>38544</v>
      </c>
      <c r="N1919" s="2">
        <f xml:space="preserve"> (Table1[[#This Row],[Variance (USD)]] / Table1[[#This Row],[Actual Spending (USD)]]) * 100</f>
        <v>14.81293595434369</v>
      </c>
      <c r="O1919" s="5" t="s">
        <v>3897</v>
      </c>
    </row>
    <row r="1920" spans="1:15" x14ac:dyDescent="0.25">
      <c r="A1920" s="4" t="s">
        <v>1933</v>
      </c>
      <c r="B1920" s="2" t="s">
        <v>3328</v>
      </c>
      <c r="C1920" s="2" t="s">
        <v>3873</v>
      </c>
      <c r="D1920" s="2" t="s">
        <v>3877</v>
      </c>
      <c r="E1920" s="3">
        <v>45112</v>
      </c>
      <c r="F1920" s="3">
        <v>45734</v>
      </c>
      <c r="G1920" s="2" t="s">
        <v>3884</v>
      </c>
      <c r="H1920" s="2">
        <v>341836</v>
      </c>
      <c r="I1920" s="2">
        <v>126342</v>
      </c>
      <c r="J1920" s="2" t="s">
        <v>3889</v>
      </c>
      <c r="K1920" s="2" t="s">
        <v>3893</v>
      </c>
      <c r="L1920" s="2">
        <v>2025</v>
      </c>
      <c r="M1920" s="2">
        <v>215494</v>
      </c>
      <c r="N1920" s="2">
        <f xml:space="preserve"> (Table1[[#This Row],[Variance (USD)]] / Table1[[#This Row],[Actual Spending (USD)]]) * 100</f>
        <v>170.56402463155561</v>
      </c>
      <c r="O1920" s="5" t="s">
        <v>3897</v>
      </c>
    </row>
    <row r="1921" spans="1:15" x14ac:dyDescent="0.25">
      <c r="A1921" s="4" t="s">
        <v>1934</v>
      </c>
      <c r="B1921" s="2" t="s">
        <v>3370</v>
      </c>
      <c r="C1921" s="2" t="s">
        <v>3875</v>
      </c>
      <c r="D1921" s="2" t="s">
        <v>3876</v>
      </c>
      <c r="E1921" s="3">
        <v>45324</v>
      </c>
      <c r="F1921" s="3">
        <v>45871</v>
      </c>
      <c r="G1921" s="2" t="s">
        <v>3884</v>
      </c>
      <c r="H1921" s="2">
        <v>418102</v>
      </c>
      <c r="I1921" s="2">
        <v>797224</v>
      </c>
      <c r="J1921" s="2" t="s">
        <v>3890</v>
      </c>
      <c r="K1921" s="2" t="s">
        <v>3893</v>
      </c>
      <c r="L1921" s="2">
        <v>2024</v>
      </c>
      <c r="M1921" s="2">
        <v>-379122</v>
      </c>
      <c r="N1921" s="2">
        <f xml:space="preserve"> (Table1[[#This Row],[Variance (USD)]] / Table1[[#This Row],[Actual Spending (USD)]]) * 100</f>
        <v>-47.555266775711722</v>
      </c>
      <c r="O1921" s="5" t="s">
        <v>3897</v>
      </c>
    </row>
    <row r="1922" spans="1:15" x14ac:dyDescent="0.25">
      <c r="A1922" s="4" t="s">
        <v>1935</v>
      </c>
      <c r="B1922" s="2" t="s">
        <v>3171</v>
      </c>
      <c r="C1922" s="2" t="s">
        <v>3868</v>
      </c>
      <c r="D1922" s="2" t="s">
        <v>3876</v>
      </c>
      <c r="E1922" s="3">
        <v>45531</v>
      </c>
      <c r="F1922" s="3">
        <v>45831</v>
      </c>
      <c r="G1922" s="2" t="s">
        <v>3884</v>
      </c>
      <c r="H1922" s="2">
        <v>360894</v>
      </c>
      <c r="I1922" s="2">
        <v>582375</v>
      </c>
      <c r="J1922" s="2" t="s">
        <v>3889</v>
      </c>
      <c r="K1922" s="2" t="s">
        <v>3894</v>
      </c>
      <c r="L1922" s="2">
        <v>2024</v>
      </c>
      <c r="M1922" s="2">
        <v>-221481</v>
      </c>
      <c r="N1922" s="2">
        <f xml:space="preserve"> (Table1[[#This Row],[Variance (USD)]] / Table1[[#This Row],[Actual Spending (USD)]]) * 100</f>
        <v>-38.030650354153252</v>
      </c>
      <c r="O1922" s="5" t="s">
        <v>3897</v>
      </c>
    </row>
    <row r="1923" spans="1:15" x14ac:dyDescent="0.25">
      <c r="A1923" s="4" t="s">
        <v>1936</v>
      </c>
      <c r="B1923" s="2" t="s">
        <v>3796</v>
      </c>
      <c r="C1923" s="2" t="s">
        <v>3875</v>
      </c>
      <c r="D1923" s="2" t="s">
        <v>3876</v>
      </c>
      <c r="E1923" s="3">
        <v>45084</v>
      </c>
      <c r="F1923" s="3">
        <v>45573</v>
      </c>
      <c r="G1923" s="2" t="s">
        <v>3884</v>
      </c>
      <c r="H1923" s="2">
        <v>464976</v>
      </c>
      <c r="I1923" s="2">
        <v>1188420</v>
      </c>
      <c r="J1923" s="2" t="s">
        <v>3892</v>
      </c>
      <c r="K1923" s="2" t="s">
        <v>3894</v>
      </c>
      <c r="L1923" s="2">
        <v>2024</v>
      </c>
      <c r="M1923" s="2">
        <v>-723444</v>
      </c>
      <c r="N1923" s="2">
        <f xml:space="preserve"> (Table1[[#This Row],[Variance (USD)]] / Table1[[#This Row],[Actual Spending (USD)]]) * 100</f>
        <v>-60.874438329883375</v>
      </c>
      <c r="O1923" s="5" t="s">
        <v>3897</v>
      </c>
    </row>
    <row r="1924" spans="1:15" x14ac:dyDescent="0.25">
      <c r="A1924" s="4" t="s">
        <v>1937</v>
      </c>
      <c r="B1924" s="2" t="s">
        <v>3206</v>
      </c>
      <c r="C1924" s="2" t="s">
        <v>3870</v>
      </c>
      <c r="D1924" s="2" t="s">
        <v>3883</v>
      </c>
      <c r="E1924" s="3">
        <v>45619</v>
      </c>
      <c r="F1924" s="3">
        <v>45651</v>
      </c>
      <c r="G1924" s="2" t="s">
        <v>3887</v>
      </c>
      <c r="H1924" s="2">
        <v>380600</v>
      </c>
      <c r="I1924" s="2">
        <v>1059696</v>
      </c>
      <c r="J1924" s="2" t="s">
        <v>3891</v>
      </c>
      <c r="K1924" s="2" t="s">
        <v>3896</v>
      </c>
      <c r="L1924" s="2">
        <v>2025</v>
      </c>
      <c r="M1924" s="2">
        <v>-679096</v>
      </c>
      <c r="N1924" s="2">
        <f xml:space="preserve"> (Table1[[#This Row],[Variance (USD)]] / Table1[[#This Row],[Actual Spending (USD)]]) * 100</f>
        <v>-64.084039196146819</v>
      </c>
      <c r="O1924" s="5" t="s">
        <v>3900</v>
      </c>
    </row>
    <row r="1925" spans="1:15" x14ac:dyDescent="0.25">
      <c r="A1925" s="4" t="s">
        <v>1938</v>
      </c>
      <c r="B1925" s="2" t="s">
        <v>3216</v>
      </c>
      <c r="C1925" s="2" t="s">
        <v>3872</v>
      </c>
      <c r="D1925" s="2" t="s">
        <v>3876</v>
      </c>
      <c r="E1925" s="3">
        <v>45285</v>
      </c>
      <c r="F1925" s="3">
        <v>45922</v>
      </c>
      <c r="G1925" s="2" t="s">
        <v>3886</v>
      </c>
      <c r="H1925" s="2">
        <v>860517</v>
      </c>
      <c r="I1925" s="2">
        <v>358905</v>
      </c>
      <c r="J1925" s="2" t="s">
        <v>3891</v>
      </c>
      <c r="K1925" s="2" t="s">
        <v>3893</v>
      </c>
      <c r="L1925" s="2">
        <v>2025</v>
      </c>
      <c r="M1925" s="2">
        <v>501612</v>
      </c>
      <c r="N1925" s="2">
        <f xml:space="preserve"> (Table1[[#This Row],[Variance (USD)]] / Table1[[#This Row],[Actual Spending (USD)]]) * 100</f>
        <v>139.76177540017554</v>
      </c>
      <c r="O1925" s="5" t="s">
        <v>3899</v>
      </c>
    </row>
    <row r="1926" spans="1:15" x14ac:dyDescent="0.25">
      <c r="A1926" s="4" t="s">
        <v>1939</v>
      </c>
      <c r="B1926" s="2" t="s">
        <v>3708</v>
      </c>
      <c r="C1926" s="2" t="s">
        <v>3868</v>
      </c>
      <c r="D1926" s="2" t="s">
        <v>3879</v>
      </c>
      <c r="E1926" s="3">
        <v>45366</v>
      </c>
      <c r="F1926" s="3">
        <v>45937</v>
      </c>
      <c r="G1926" s="2" t="s">
        <v>3885</v>
      </c>
      <c r="H1926" s="2">
        <v>335069</v>
      </c>
      <c r="I1926" s="2">
        <v>682862</v>
      </c>
      <c r="J1926" s="2" t="s">
        <v>3889</v>
      </c>
      <c r="K1926" s="2" t="s">
        <v>3894</v>
      </c>
      <c r="L1926" s="2">
        <v>2025</v>
      </c>
      <c r="M1926" s="2">
        <v>-347793</v>
      </c>
      <c r="N1926" s="2">
        <f xml:space="preserve"> (Table1[[#This Row],[Variance (USD)]] / Table1[[#This Row],[Actual Spending (USD)]]) * 100</f>
        <v>-50.931667013247186</v>
      </c>
      <c r="O1926" s="5" t="s">
        <v>3898</v>
      </c>
    </row>
    <row r="1927" spans="1:15" x14ac:dyDescent="0.25">
      <c r="A1927" s="4" t="s">
        <v>1940</v>
      </c>
      <c r="B1927" s="2" t="s">
        <v>3392</v>
      </c>
      <c r="C1927" s="2" t="s">
        <v>3871</v>
      </c>
      <c r="D1927" s="2" t="s">
        <v>3881</v>
      </c>
      <c r="E1927" s="3">
        <v>45515</v>
      </c>
      <c r="F1927" s="3">
        <v>45932</v>
      </c>
      <c r="G1927" s="2" t="s">
        <v>3886</v>
      </c>
      <c r="H1927" s="2">
        <v>842047</v>
      </c>
      <c r="I1927" s="2">
        <v>1020387</v>
      </c>
      <c r="J1927" s="2" t="s">
        <v>3890</v>
      </c>
      <c r="K1927" s="2" t="s">
        <v>3895</v>
      </c>
      <c r="L1927" s="2">
        <v>2025</v>
      </c>
      <c r="M1927" s="2">
        <v>-178340</v>
      </c>
      <c r="N1927" s="2">
        <f xml:space="preserve"> (Table1[[#This Row],[Variance (USD)]] / Table1[[#This Row],[Actual Spending (USD)]]) * 100</f>
        <v>-17.477682487134782</v>
      </c>
      <c r="O1927" s="5" t="s">
        <v>3899</v>
      </c>
    </row>
    <row r="1928" spans="1:15" x14ac:dyDescent="0.25">
      <c r="A1928" s="4" t="s">
        <v>1941</v>
      </c>
      <c r="B1928" s="2" t="s">
        <v>3517</v>
      </c>
      <c r="C1928" s="2" t="s">
        <v>3872</v>
      </c>
      <c r="D1928" s="2" t="s">
        <v>3876</v>
      </c>
      <c r="E1928" s="3">
        <v>45392</v>
      </c>
      <c r="F1928" s="3">
        <v>45299</v>
      </c>
      <c r="G1928" s="2" t="s">
        <v>3884</v>
      </c>
      <c r="H1928" s="2">
        <v>873515</v>
      </c>
      <c r="I1928" s="2">
        <v>66764</v>
      </c>
      <c r="J1928" s="2" t="s">
        <v>3892</v>
      </c>
      <c r="K1928" s="2" t="s">
        <v>3894</v>
      </c>
      <c r="L1928" s="2">
        <v>2025</v>
      </c>
      <c r="M1928" s="2">
        <v>806751</v>
      </c>
      <c r="N1928" s="2">
        <f xml:space="preserve"> (Table1[[#This Row],[Variance (USD)]] / Table1[[#This Row],[Actual Spending (USD)]]) * 100</f>
        <v>1208.3622910550596</v>
      </c>
      <c r="O1928" s="5" t="s">
        <v>3897</v>
      </c>
    </row>
    <row r="1929" spans="1:15" x14ac:dyDescent="0.25">
      <c r="A1929" s="4" t="s">
        <v>1942</v>
      </c>
      <c r="B1929" s="2" t="s">
        <v>3147</v>
      </c>
      <c r="C1929" s="2" t="s">
        <v>3871</v>
      </c>
      <c r="D1929" s="2" t="s">
        <v>3877</v>
      </c>
      <c r="E1929" s="3">
        <v>45589</v>
      </c>
      <c r="F1929" s="3">
        <v>45854</v>
      </c>
      <c r="G1929" s="2" t="s">
        <v>3885</v>
      </c>
      <c r="H1929" s="2">
        <v>564004</v>
      </c>
      <c r="I1929" s="2">
        <v>223198</v>
      </c>
      <c r="J1929" s="2" t="s">
        <v>3890</v>
      </c>
      <c r="K1929" s="2" t="s">
        <v>3895</v>
      </c>
      <c r="L1929" s="2">
        <v>2024</v>
      </c>
      <c r="M1929" s="2">
        <v>340806</v>
      </c>
      <c r="N1929" s="2">
        <f xml:space="preserve"> (Table1[[#This Row],[Variance (USD)]] / Table1[[#This Row],[Actual Spending (USD)]]) * 100</f>
        <v>152.6922284249859</v>
      </c>
      <c r="O1929" s="5" t="s">
        <v>3898</v>
      </c>
    </row>
    <row r="1930" spans="1:15" x14ac:dyDescent="0.25">
      <c r="A1930" s="4" t="s">
        <v>1943</v>
      </c>
      <c r="B1930" s="2" t="s">
        <v>3297</v>
      </c>
      <c r="C1930" s="2" t="s">
        <v>3874</v>
      </c>
      <c r="D1930" s="2" t="s">
        <v>3880</v>
      </c>
      <c r="E1930" s="3">
        <v>45372</v>
      </c>
      <c r="F1930" s="3">
        <v>45782</v>
      </c>
      <c r="G1930" s="2" t="s">
        <v>3884</v>
      </c>
      <c r="H1930" s="2">
        <v>422908</v>
      </c>
      <c r="I1930" s="2">
        <v>339199</v>
      </c>
      <c r="J1930" s="2" t="s">
        <v>3889</v>
      </c>
      <c r="K1930" s="2" t="s">
        <v>3893</v>
      </c>
      <c r="L1930" s="2">
        <v>2024</v>
      </c>
      <c r="M1930" s="2">
        <v>83709</v>
      </c>
      <c r="N1930" s="2">
        <f xml:space="preserve"> (Table1[[#This Row],[Variance (USD)]] / Table1[[#This Row],[Actual Spending (USD)]]) * 100</f>
        <v>24.678433603872655</v>
      </c>
      <c r="O1930" s="5" t="s">
        <v>3897</v>
      </c>
    </row>
    <row r="1931" spans="1:15" x14ac:dyDescent="0.25">
      <c r="A1931" s="4" t="s">
        <v>1944</v>
      </c>
      <c r="B1931" s="2" t="s">
        <v>3395</v>
      </c>
      <c r="C1931" s="2" t="s">
        <v>3869</v>
      </c>
      <c r="D1931" s="2" t="s">
        <v>3877</v>
      </c>
      <c r="E1931" s="3">
        <v>45414</v>
      </c>
      <c r="F1931" s="3">
        <v>45632</v>
      </c>
      <c r="G1931" s="2" t="s">
        <v>3885</v>
      </c>
      <c r="H1931" s="2">
        <v>511535</v>
      </c>
      <c r="I1931" s="2">
        <v>856152</v>
      </c>
      <c r="J1931" s="2" t="s">
        <v>3891</v>
      </c>
      <c r="K1931" s="2" t="s">
        <v>3896</v>
      </c>
      <c r="L1931" s="2">
        <v>2025</v>
      </c>
      <c r="M1931" s="2">
        <v>-344617</v>
      </c>
      <c r="N1931" s="2">
        <f xml:space="preserve"> (Table1[[#This Row],[Variance (USD)]] / Table1[[#This Row],[Actual Spending (USD)]]) * 100</f>
        <v>-40.251847802726623</v>
      </c>
      <c r="O1931" s="5" t="s">
        <v>3898</v>
      </c>
    </row>
    <row r="1932" spans="1:15" x14ac:dyDescent="0.25">
      <c r="A1932" s="4" t="s">
        <v>1945</v>
      </c>
      <c r="B1932" s="2" t="s">
        <v>3112</v>
      </c>
      <c r="C1932" s="2" t="s">
        <v>3875</v>
      </c>
      <c r="D1932" s="2" t="s">
        <v>3880</v>
      </c>
      <c r="E1932" s="3">
        <v>45456</v>
      </c>
      <c r="F1932" s="3">
        <v>45763</v>
      </c>
      <c r="G1932" s="2" t="s">
        <v>3884</v>
      </c>
      <c r="H1932" s="2">
        <v>583893</v>
      </c>
      <c r="I1932" s="2">
        <v>123120</v>
      </c>
      <c r="J1932" s="2" t="s">
        <v>3891</v>
      </c>
      <c r="K1932" s="2" t="s">
        <v>3893</v>
      </c>
      <c r="L1932" s="2">
        <v>2023</v>
      </c>
      <c r="M1932" s="2">
        <v>460773</v>
      </c>
      <c r="N1932" s="2">
        <f xml:space="preserve"> (Table1[[#This Row],[Variance (USD)]] / Table1[[#This Row],[Actual Spending (USD)]]) * 100</f>
        <v>374.2470760233918</v>
      </c>
      <c r="O1932" s="5" t="s">
        <v>3897</v>
      </c>
    </row>
    <row r="1933" spans="1:15" x14ac:dyDescent="0.25">
      <c r="A1933" s="4" t="s">
        <v>1946</v>
      </c>
      <c r="B1933" s="2" t="s">
        <v>3478</v>
      </c>
      <c r="C1933" s="2" t="s">
        <v>3868</v>
      </c>
      <c r="D1933" s="2" t="s">
        <v>3877</v>
      </c>
      <c r="E1933" s="3">
        <v>44999</v>
      </c>
      <c r="F1933" s="3">
        <v>45978</v>
      </c>
      <c r="G1933" s="2" t="s">
        <v>3884</v>
      </c>
      <c r="H1933" s="2">
        <v>947525</v>
      </c>
      <c r="I1933" s="2">
        <v>157976</v>
      </c>
      <c r="J1933" s="2" t="s">
        <v>3890</v>
      </c>
      <c r="K1933" s="2" t="s">
        <v>3893</v>
      </c>
      <c r="L1933" s="2">
        <v>2024</v>
      </c>
      <c r="M1933" s="2">
        <v>789549</v>
      </c>
      <c r="N1933" s="2">
        <f xml:space="preserve"> (Table1[[#This Row],[Variance (USD)]] / Table1[[#This Row],[Actual Spending (USD)]]) * 100</f>
        <v>499.79047450245605</v>
      </c>
      <c r="O1933" s="5" t="s">
        <v>3897</v>
      </c>
    </row>
    <row r="1934" spans="1:15" x14ac:dyDescent="0.25">
      <c r="A1934" s="4" t="s">
        <v>1947</v>
      </c>
      <c r="B1934" s="2" t="s">
        <v>3134</v>
      </c>
      <c r="C1934" s="2" t="s">
        <v>3871</v>
      </c>
      <c r="D1934" s="2" t="s">
        <v>3883</v>
      </c>
      <c r="E1934" s="3">
        <v>45627</v>
      </c>
      <c r="F1934" s="3">
        <v>45986</v>
      </c>
      <c r="G1934" s="2" t="s">
        <v>3885</v>
      </c>
      <c r="H1934" s="2">
        <v>881040</v>
      </c>
      <c r="I1934" s="2">
        <v>930499</v>
      </c>
      <c r="J1934" s="2" t="s">
        <v>3888</v>
      </c>
      <c r="K1934" s="2" t="s">
        <v>3893</v>
      </c>
      <c r="L1934" s="2">
        <v>2023</v>
      </c>
      <c r="M1934" s="2">
        <v>-49459</v>
      </c>
      <c r="N1934" s="2">
        <f xml:space="preserve"> (Table1[[#This Row],[Variance (USD)]] / Table1[[#This Row],[Actual Spending (USD)]]) * 100</f>
        <v>-5.3153200594519712</v>
      </c>
      <c r="O1934" s="5" t="s">
        <v>3898</v>
      </c>
    </row>
    <row r="1935" spans="1:15" x14ac:dyDescent="0.25">
      <c r="A1935" s="4" t="s">
        <v>1948</v>
      </c>
      <c r="B1935" s="2" t="s">
        <v>3162</v>
      </c>
      <c r="C1935" s="2" t="s">
        <v>3873</v>
      </c>
      <c r="D1935" s="2" t="s">
        <v>3877</v>
      </c>
      <c r="E1935" s="3">
        <v>44943</v>
      </c>
      <c r="F1935" s="3">
        <v>45995</v>
      </c>
      <c r="G1935" s="2" t="s">
        <v>3886</v>
      </c>
      <c r="H1935" s="2">
        <v>440932</v>
      </c>
      <c r="I1935" s="2">
        <v>567507</v>
      </c>
      <c r="J1935" s="2" t="s">
        <v>3890</v>
      </c>
      <c r="K1935" s="2" t="s">
        <v>3893</v>
      </c>
      <c r="L1935" s="2">
        <v>2023</v>
      </c>
      <c r="M1935" s="2">
        <v>-126575</v>
      </c>
      <c r="N1935" s="2">
        <f xml:space="preserve"> (Table1[[#This Row],[Variance (USD)]] / Table1[[#This Row],[Actual Spending (USD)]]) * 100</f>
        <v>-22.303689646118901</v>
      </c>
      <c r="O1935" s="5" t="s">
        <v>3899</v>
      </c>
    </row>
    <row r="1936" spans="1:15" x14ac:dyDescent="0.25">
      <c r="A1936" s="4" t="s">
        <v>1949</v>
      </c>
      <c r="B1936" s="2" t="s">
        <v>3372</v>
      </c>
      <c r="C1936" s="2" t="s">
        <v>3871</v>
      </c>
      <c r="D1936" s="2" t="s">
        <v>3883</v>
      </c>
      <c r="E1936" s="3">
        <v>45457</v>
      </c>
      <c r="F1936" s="3">
        <v>45540</v>
      </c>
      <c r="G1936" s="2" t="s">
        <v>3885</v>
      </c>
      <c r="H1936" s="2">
        <v>69192</v>
      </c>
      <c r="I1936" s="2">
        <v>400652</v>
      </c>
      <c r="J1936" s="2" t="s">
        <v>3888</v>
      </c>
      <c r="K1936" s="2" t="s">
        <v>3896</v>
      </c>
      <c r="L1936" s="2">
        <v>2024</v>
      </c>
      <c r="M1936" s="2">
        <v>-331460</v>
      </c>
      <c r="N1936" s="2">
        <f xml:space="preserve"> (Table1[[#This Row],[Variance (USD)]] / Table1[[#This Row],[Actual Spending (USD)]]) * 100</f>
        <v>-82.730149855735149</v>
      </c>
      <c r="O1936" s="5" t="s">
        <v>3898</v>
      </c>
    </row>
    <row r="1937" spans="1:15" x14ac:dyDescent="0.25">
      <c r="A1937" s="4" t="s">
        <v>1950</v>
      </c>
      <c r="B1937" s="2" t="s">
        <v>3797</v>
      </c>
      <c r="C1937" s="2" t="s">
        <v>3873</v>
      </c>
      <c r="D1937" s="2" t="s">
        <v>3883</v>
      </c>
      <c r="E1937" s="3">
        <v>45657</v>
      </c>
      <c r="F1937" s="3">
        <v>45526</v>
      </c>
      <c r="G1937" s="2" t="s">
        <v>3885</v>
      </c>
      <c r="H1937" s="2">
        <v>970835</v>
      </c>
      <c r="I1937" s="2">
        <v>341009</v>
      </c>
      <c r="J1937" s="2" t="s">
        <v>3890</v>
      </c>
      <c r="K1937" s="2" t="s">
        <v>3894</v>
      </c>
      <c r="L1937" s="2">
        <v>2023</v>
      </c>
      <c r="M1937" s="2">
        <v>629826</v>
      </c>
      <c r="N1937" s="2">
        <f xml:space="preserve"> (Table1[[#This Row],[Variance (USD)]] / Table1[[#This Row],[Actual Spending (USD)]]) * 100</f>
        <v>184.69483210120555</v>
      </c>
      <c r="O1937" s="5" t="s">
        <v>3898</v>
      </c>
    </row>
    <row r="1938" spans="1:15" x14ac:dyDescent="0.25">
      <c r="A1938" s="4" t="s">
        <v>1951</v>
      </c>
      <c r="B1938" s="2" t="s">
        <v>3796</v>
      </c>
      <c r="C1938" s="2" t="s">
        <v>3872</v>
      </c>
      <c r="D1938" s="2" t="s">
        <v>3876</v>
      </c>
      <c r="E1938" s="3">
        <v>45252</v>
      </c>
      <c r="F1938" s="3">
        <v>45374</v>
      </c>
      <c r="G1938" s="2" t="s">
        <v>3884</v>
      </c>
      <c r="H1938" s="2">
        <v>887762</v>
      </c>
      <c r="I1938" s="2">
        <v>1133033</v>
      </c>
      <c r="J1938" s="2" t="s">
        <v>3888</v>
      </c>
      <c r="K1938" s="2" t="s">
        <v>3896</v>
      </c>
      <c r="L1938" s="2">
        <v>2023</v>
      </c>
      <c r="M1938" s="2">
        <v>-245271</v>
      </c>
      <c r="N1938" s="2">
        <f xml:space="preserve"> (Table1[[#This Row],[Variance (USD)]] / Table1[[#This Row],[Actual Spending (USD)]]) * 100</f>
        <v>-21.647295356798963</v>
      </c>
      <c r="O1938" s="5" t="s">
        <v>3897</v>
      </c>
    </row>
    <row r="1939" spans="1:15" x14ac:dyDescent="0.25">
      <c r="A1939" s="4" t="s">
        <v>1952</v>
      </c>
      <c r="B1939" s="2" t="s">
        <v>3630</v>
      </c>
      <c r="C1939" s="2" t="s">
        <v>3868</v>
      </c>
      <c r="D1939" s="2" t="s">
        <v>3879</v>
      </c>
      <c r="E1939" s="3">
        <v>45558</v>
      </c>
      <c r="F1939" s="3">
        <v>45384</v>
      </c>
      <c r="G1939" s="2" t="s">
        <v>3884</v>
      </c>
      <c r="H1939" s="2">
        <v>278464</v>
      </c>
      <c r="I1939" s="2">
        <v>1168735</v>
      </c>
      <c r="J1939" s="2" t="s">
        <v>3888</v>
      </c>
      <c r="K1939" s="2" t="s">
        <v>3896</v>
      </c>
      <c r="L1939" s="2">
        <v>2024</v>
      </c>
      <c r="M1939" s="2">
        <v>-890271</v>
      </c>
      <c r="N1939" s="2">
        <f xml:space="preserve"> (Table1[[#This Row],[Variance (USD)]] / Table1[[#This Row],[Actual Spending (USD)]]) * 100</f>
        <v>-76.173897419004305</v>
      </c>
      <c r="O1939" s="5" t="s">
        <v>3897</v>
      </c>
    </row>
    <row r="1940" spans="1:15" x14ac:dyDescent="0.25">
      <c r="A1940" s="4" t="s">
        <v>1953</v>
      </c>
      <c r="B1940" s="2" t="s">
        <v>3497</v>
      </c>
      <c r="C1940" s="2" t="s">
        <v>3871</v>
      </c>
      <c r="D1940" s="2" t="s">
        <v>3880</v>
      </c>
      <c r="E1940" s="3">
        <v>45539</v>
      </c>
      <c r="F1940" s="3">
        <v>45685</v>
      </c>
      <c r="G1940" s="2" t="s">
        <v>3884</v>
      </c>
      <c r="H1940" s="2">
        <v>362093</v>
      </c>
      <c r="I1940" s="2">
        <v>984321</v>
      </c>
      <c r="J1940" s="2" t="s">
        <v>3888</v>
      </c>
      <c r="K1940" s="2" t="s">
        <v>3896</v>
      </c>
      <c r="L1940" s="2">
        <v>2024</v>
      </c>
      <c r="M1940" s="2">
        <v>-622228</v>
      </c>
      <c r="N1940" s="2">
        <f xml:space="preserve"> (Table1[[#This Row],[Variance (USD)]] / Table1[[#This Row],[Actual Spending (USD)]]) * 100</f>
        <v>-63.213931227719414</v>
      </c>
      <c r="O1940" s="5" t="s">
        <v>3897</v>
      </c>
    </row>
    <row r="1941" spans="1:15" x14ac:dyDescent="0.25">
      <c r="A1941" s="4" t="s">
        <v>1954</v>
      </c>
      <c r="B1941" s="2" t="s">
        <v>3148</v>
      </c>
      <c r="C1941" s="2" t="s">
        <v>3870</v>
      </c>
      <c r="D1941" s="2" t="s">
        <v>3876</v>
      </c>
      <c r="E1941" s="3">
        <v>45472</v>
      </c>
      <c r="F1941" s="3">
        <v>45559</v>
      </c>
      <c r="G1941" s="2" t="s">
        <v>3886</v>
      </c>
      <c r="H1941" s="2">
        <v>118382</v>
      </c>
      <c r="I1941" s="2">
        <v>123391</v>
      </c>
      <c r="J1941" s="2" t="s">
        <v>3888</v>
      </c>
      <c r="K1941" s="2" t="s">
        <v>3896</v>
      </c>
      <c r="L1941" s="2">
        <v>2025</v>
      </c>
      <c r="M1941" s="2">
        <v>-5009</v>
      </c>
      <c r="N1941" s="2">
        <f xml:space="preserve"> (Table1[[#This Row],[Variance (USD)]] / Table1[[#This Row],[Actual Spending (USD)]]) * 100</f>
        <v>-4.059453282654327</v>
      </c>
      <c r="O1941" s="5" t="s">
        <v>3899</v>
      </c>
    </row>
    <row r="1942" spans="1:15" x14ac:dyDescent="0.25">
      <c r="A1942" s="4" t="s">
        <v>1955</v>
      </c>
      <c r="B1942" s="2" t="s">
        <v>3144</v>
      </c>
      <c r="C1942" s="2" t="s">
        <v>3871</v>
      </c>
      <c r="D1942" s="2" t="s">
        <v>3876</v>
      </c>
      <c r="E1942" s="3">
        <v>45522</v>
      </c>
      <c r="F1942" s="3">
        <v>45708</v>
      </c>
      <c r="G1942" s="2" t="s">
        <v>3886</v>
      </c>
      <c r="H1942" s="2">
        <v>673521</v>
      </c>
      <c r="I1942" s="2">
        <v>999884</v>
      </c>
      <c r="J1942" s="2" t="s">
        <v>3892</v>
      </c>
      <c r="K1942" s="2" t="s">
        <v>3894</v>
      </c>
      <c r="L1942" s="2">
        <v>2024</v>
      </c>
      <c r="M1942" s="2">
        <v>-326363</v>
      </c>
      <c r="N1942" s="2">
        <f xml:space="preserve"> (Table1[[#This Row],[Variance (USD)]] / Table1[[#This Row],[Actual Spending (USD)]]) * 100</f>
        <v>-32.640086250004998</v>
      </c>
      <c r="O1942" s="5" t="s">
        <v>3899</v>
      </c>
    </row>
    <row r="1943" spans="1:15" x14ac:dyDescent="0.25">
      <c r="A1943" s="4" t="s">
        <v>1956</v>
      </c>
      <c r="B1943" s="2" t="s">
        <v>3448</v>
      </c>
      <c r="C1943" s="2" t="s">
        <v>3874</v>
      </c>
      <c r="D1943" s="2" t="s">
        <v>3881</v>
      </c>
      <c r="E1943" s="3">
        <v>45634</v>
      </c>
      <c r="F1943" s="3">
        <v>45923</v>
      </c>
      <c r="G1943" s="2" t="s">
        <v>3884</v>
      </c>
      <c r="H1943" s="2">
        <v>480802</v>
      </c>
      <c r="I1943" s="2">
        <v>342544</v>
      </c>
      <c r="J1943" s="2" t="s">
        <v>3888</v>
      </c>
      <c r="K1943" s="2" t="s">
        <v>3893</v>
      </c>
      <c r="L1943" s="2">
        <v>2023</v>
      </c>
      <c r="M1943" s="2">
        <v>138258</v>
      </c>
      <c r="N1943" s="2">
        <f xml:space="preserve"> (Table1[[#This Row],[Variance (USD)]] / Table1[[#This Row],[Actual Spending (USD)]]) * 100</f>
        <v>40.36211406417862</v>
      </c>
      <c r="O1943" s="5" t="s">
        <v>3897</v>
      </c>
    </row>
    <row r="1944" spans="1:15" x14ac:dyDescent="0.25">
      <c r="A1944" s="4" t="s">
        <v>1957</v>
      </c>
      <c r="B1944" s="2" t="s">
        <v>3599</v>
      </c>
      <c r="C1944" s="2" t="s">
        <v>3870</v>
      </c>
      <c r="D1944" s="2" t="s">
        <v>3883</v>
      </c>
      <c r="E1944" s="3">
        <v>45128</v>
      </c>
      <c r="F1944" s="3">
        <v>45874</v>
      </c>
      <c r="G1944" s="2" t="s">
        <v>3886</v>
      </c>
      <c r="H1944" s="2">
        <v>102243</v>
      </c>
      <c r="I1944" s="2">
        <v>328402</v>
      </c>
      <c r="J1944" s="2" t="s">
        <v>3888</v>
      </c>
      <c r="K1944" s="2" t="s">
        <v>3894</v>
      </c>
      <c r="L1944" s="2">
        <v>2024</v>
      </c>
      <c r="M1944" s="2">
        <v>-226159</v>
      </c>
      <c r="N1944" s="2">
        <f xml:space="preserve"> (Table1[[#This Row],[Variance (USD)]] / Table1[[#This Row],[Actual Spending (USD)]]) * 100</f>
        <v>-68.866511166192652</v>
      </c>
      <c r="O1944" s="5" t="s">
        <v>3899</v>
      </c>
    </row>
    <row r="1945" spans="1:15" x14ac:dyDescent="0.25">
      <c r="A1945" s="4" t="s">
        <v>1958</v>
      </c>
      <c r="B1945" s="2" t="s">
        <v>3485</v>
      </c>
      <c r="C1945" s="2" t="s">
        <v>3868</v>
      </c>
      <c r="D1945" s="2" t="s">
        <v>3883</v>
      </c>
      <c r="E1945" s="3">
        <v>45270</v>
      </c>
      <c r="F1945" s="3">
        <v>45820</v>
      </c>
      <c r="G1945" s="2" t="s">
        <v>3886</v>
      </c>
      <c r="H1945" s="2">
        <v>412710</v>
      </c>
      <c r="I1945" s="2">
        <v>766366</v>
      </c>
      <c r="J1945" s="2" t="s">
        <v>3891</v>
      </c>
      <c r="K1945" s="2" t="s">
        <v>3894</v>
      </c>
      <c r="L1945" s="2">
        <v>2025</v>
      </c>
      <c r="M1945" s="2">
        <v>-353656</v>
      </c>
      <c r="N1945" s="2">
        <f xml:space="preserve"> (Table1[[#This Row],[Variance (USD)]] / Table1[[#This Row],[Actual Spending (USD)]]) * 100</f>
        <v>-46.147141183194449</v>
      </c>
      <c r="O1945" s="5" t="s">
        <v>3899</v>
      </c>
    </row>
    <row r="1946" spans="1:15" x14ac:dyDescent="0.25">
      <c r="A1946" s="4" t="s">
        <v>1959</v>
      </c>
      <c r="B1946" s="2" t="s">
        <v>3562</v>
      </c>
      <c r="C1946" s="2" t="s">
        <v>3874</v>
      </c>
      <c r="D1946" s="2" t="s">
        <v>3880</v>
      </c>
      <c r="E1946" s="3">
        <v>45449</v>
      </c>
      <c r="F1946" s="3">
        <v>45544</v>
      </c>
      <c r="G1946" s="2" t="s">
        <v>3884</v>
      </c>
      <c r="H1946" s="2">
        <v>370762</v>
      </c>
      <c r="I1946" s="2">
        <v>927898</v>
      </c>
      <c r="J1946" s="2" t="s">
        <v>3892</v>
      </c>
      <c r="K1946" s="2" t="s">
        <v>3893</v>
      </c>
      <c r="L1946" s="2">
        <v>2024</v>
      </c>
      <c r="M1946" s="2">
        <v>-557136</v>
      </c>
      <c r="N1946" s="2">
        <f xml:space="preserve"> (Table1[[#This Row],[Variance (USD)]] / Table1[[#This Row],[Actual Spending (USD)]]) * 100</f>
        <v>-60.042806429154929</v>
      </c>
      <c r="O1946" s="5" t="s">
        <v>3897</v>
      </c>
    </row>
    <row r="1947" spans="1:15" x14ac:dyDescent="0.25">
      <c r="A1947" s="4" t="s">
        <v>1960</v>
      </c>
      <c r="B1947" s="2" t="s">
        <v>3635</v>
      </c>
      <c r="C1947" s="2" t="s">
        <v>3871</v>
      </c>
      <c r="D1947" s="2" t="s">
        <v>3877</v>
      </c>
      <c r="E1947" s="3">
        <v>45326</v>
      </c>
      <c r="F1947" s="3">
        <v>45413</v>
      </c>
      <c r="G1947" s="2" t="s">
        <v>3885</v>
      </c>
      <c r="H1947" s="2">
        <v>188621</v>
      </c>
      <c r="I1947" s="2">
        <v>703641</v>
      </c>
      <c r="J1947" s="2" t="s">
        <v>3888</v>
      </c>
      <c r="K1947" s="2" t="s">
        <v>3894</v>
      </c>
      <c r="L1947" s="2">
        <v>2023</v>
      </c>
      <c r="M1947" s="2">
        <v>-515020</v>
      </c>
      <c r="N1947" s="2">
        <f xml:space="preserve"> (Table1[[#This Row],[Variance (USD)]] / Table1[[#This Row],[Actual Spending (USD)]]) * 100</f>
        <v>-73.193574564301969</v>
      </c>
      <c r="O1947" s="5" t="s">
        <v>3898</v>
      </c>
    </row>
    <row r="1948" spans="1:15" x14ac:dyDescent="0.25">
      <c r="A1948" s="4" t="s">
        <v>1961</v>
      </c>
      <c r="B1948" s="2" t="s">
        <v>3639</v>
      </c>
      <c r="C1948" s="2" t="s">
        <v>3873</v>
      </c>
      <c r="D1948" s="2" t="s">
        <v>3877</v>
      </c>
      <c r="E1948" s="3">
        <v>45144</v>
      </c>
      <c r="F1948" s="3">
        <v>45301</v>
      </c>
      <c r="G1948" s="2" t="s">
        <v>3886</v>
      </c>
      <c r="H1948" s="2">
        <v>954600</v>
      </c>
      <c r="I1948" s="2">
        <v>695522</v>
      </c>
      <c r="J1948" s="2" t="s">
        <v>3889</v>
      </c>
      <c r="K1948" s="2" t="s">
        <v>3896</v>
      </c>
      <c r="L1948" s="2">
        <v>2024</v>
      </c>
      <c r="M1948" s="2">
        <v>259078</v>
      </c>
      <c r="N1948" s="2">
        <f xml:space="preserve"> (Table1[[#This Row],[Variance (USD)]] / Table1[[#This Row],[Actual Spending (USD)]]) * 100</f>
        <v>37.249432800112722</v>
      </c>
      <c r="O1948" s="5" t="s">
        <v>3899</v>
      </c>
    </row>
    <row r="1949" spans="1:15" x14ac:dyDescent="0.25">
      <c r="A1949" s="4" t="s">
        <v>1962</v>
      </c>
      <c r="B1949" s="2" t="s">
        <v>3195</v>
      </c>
      <c r="C1949" s="2" t="s">
        <v>3871</v>
      </c>
      <c r="D1949" s="2" t="s">
        <v>3882</v>
      </c>
      <c r="E1949" s="3">
        <v>45371</v>
      </c>
      <c r="F1949" s="3">
        <v>45607</v>
      </c>
      <c r="G1949" s="2" t="s">
        <v>3885</v>
      </c>
      <c r="H1949" s="2">
        <v>102494</v>
      </c>
      <c r="I1949" s="2">
        <v>1048528</v>
      </c>
      <c r="J1949" s="2" t="s">
        <v>3892</v>
      </c>
      <c r="K1949" s="2" t="s">
        <v>3896</v>
      </c>
      <c r="L1949" s="2">
        <v>2023</v>
      </c>
      <c r="M1949" s="2">
        <v>-946034</v>
      </c>
      <c r="N1949" s="2">
        <f xml:space="preserve"> (Table1[[#This Row],[Variance (USD)]] / Table1[[#This Row],[Actual Spending (USD)]]) * 100</f>
        <v>-90.224962995742601</v>
      </c>
      <c r="O1949" s="5" t="s">
        <v>3898</v>
      </c>
    </row>
    <row r="1950" spans="1:15" x14ac:dyDescent="0.25">
      <c r="A1950" s="4" t="s">
        <v>1963</v>
      </c>
      <c r="B1950" s="2" t="s">
        <v>3166</v>
      </c>
      <c r="C1950" s="2" t="s">
        <v>3875</v>
      </c>
      <c r="D1950" s="2" t="s">
        <v>3876</v>
      </c>
      <c r="E1950" s="3">
        <v>45148</v>
      </c>
      <c r="F1950" s="3">
        <v>45564</v>
      </c>
      <c r="G1950" s="2" t="s">
        <v>3884</v>
      </c>
      <c r="H1950" s="2">
        <v>793333</v>
      </c>
      <c r="I1950" s="2">
        <v>401021</v>
      </c>
      <c r="J1950" s="2" t="s">
        <v>3891</v>
      </c>
      <c r="K1950" s="2" t="s">
        <v>3893</v>
      </c>
      <c r="L1950" s="2">
        <v>2024</v>
      </c>
      <c r="M1950" s="2">
        <v>392312</v>
      </c>
      <c r="N1950" s="2">
        <f xml:space="preserve"> (Table1[[#This Row],[Variance (USD)]] / Table1[[#This Row],[Actual Spending (USD)]]) * 100</f>
        <v>97.828293281399226</v>
      </c>
      <c r="O1950" s="5" t="s">
        <v>3897</v>
      </c>
    </row>
    <row r="1951" spans="1:15" x14ac:dyDescent="0.25">
      <c r="A1951" s="4" t="s">
        <v>1964</v>
      </c>
      <c r="B1951" s="2" t="s">
        <v>3785</v>
      </c>
      <c r="C1951" s="2" t="s">
        <v>3872</v>
      </c>
      <c r="D1951" s="2" t="s">
        <v>3882</v>
      </c>
      <c r="E1951" s="3">
        <v>45309</v>
      </c>
      <c r="F1951" s="3">
        <v>45597</v>
      </c>
      <c r="G1951" s="2" t="s">
        <v>3884</v>
      </c>
      <c r="H1951" s="2">
        <v>336102</v>
      </c>
      <c r="I1951" s="2">
        <v>773192</v>
      </c>
      <c r="J1951" s="2" t="s">
        <v>3890</v>
      </c>
      <c r="K1951" s="2" t="s">
        <v>3893</v>
      </c>
      <c r="L1951" s="2">
        <v>2025</v>
      </c>
      <c r="M1951" s="2">
        <v>-437090</v>
      </c>
      <c r="N1951" s="2">
        <f xml:space="preserve"> (Table1[[#This Row],[Variance (USD)]] / Table1[[#This Row],[Actual Spending (USD)]]) * 100</f>
        <v>-56.530590073358233</v>
      </c>
      <c r="O1951" s="5" t="s">
        <v>3897</v>
      </c>
    </row>
    <row r="1952" spans="1:15" x14ac:dyDescent="0.25">
      <c r="A1952" s="4" t="s">
        <v>1965</v>
      </c>
      <c r="B1952" s="2" t="s">
        <v>3298</v>
      </c>
      <c r="C1952" s="2" t="s">
        <v>3869</v>
      </c>
      <c r="D1952" s="2" t="s">
        <v>3878</v>
      </c>
      <c r="E1952" s="3">
        <v>45518</v>
      </c>
      <c r="F1952" s="3">
        <v>45501</v>
      </c>
      <c r="G1952" s="2" t="s">
        <v>3884</v>
      </c>
      <c r="H1952" s="2">
        <v>270851</v>
      </c>
      <c r="I1952" s="2">
        <v>1090251</v>
      </c>
      <c r="J1952" s="2" t="s">
        <v>3891</v>
      </c>
      <c r="K1952" s="2" t="s">
        <v>3893</v>
      </c>
      <c r="L1952" s="2">
        <v>2025</v>
      </c>
      <c r="M1952" s="2">
        <v>-819400</v>
      </c>
      <c r="N1952" s="2">
        <f xml:space="preserve"> (Table1[[#This Row],[Variance (USD)]] / Table1[[#This Row],[Actual Spending (USD)]]) * 100</f>
        <v>-75.157005130011342</v>
      </c>
      <c r="O1952" s="5" t="s">
        <v>3897</v>
      </c>
    </row>
    <row r="1953" spans="1:15" x14ac:dyDescent="0.25">
      <c r="A1953" s="4" t="s">
        <v>1966</v>
      </c>
      <c r="B1953" s="2" t="s">
        <v>3798</v>
      </c>
      <c r="C1953" s="2" t="s">
        <v>3873</v>
      </c>
      <c r="D1953" s="2" t="s">
        <v>3878</v>
      </c>
      <c r="E1953" s="3">
        <v>44933</v>
      </c>
      <c r="F1953" s="3">
        <v>46021</v>
      </c>
      <c r="G1953" s="2" t="s">
        <v>3884</v>
      </c>
      <c r="H1953" s="2">
        <v>550929</v>
      </c>
      <c r="I1953" s="2">
        <v>119606</v>
      </c>
      <c r="J1953" s="2" t="s">
        <v>3891</v>
      </c>
      <c r="K1953" s="2" t="s">
        <v>3896</v>
      </c>
      <c r="L1953" s="2">
        <v>2024</v>
      </c>
      <c r="M1953" s="2">
        <v>431323</v>
      </c>
      <c r="N1953" s="2">
        <f xml:space="preserve"> (Table1[[#This Row],[Variance (USD)]] / Table1[[#This Row],[Actual Spending (USD)]]) * 100</f>
        <v>360.61986856846647</v>
      </c>
      <c r="O1953" s="5" t="s">
        <v>3897</v>
      </c>
    </row>
    <row r="1954" spans="1:15" x14ac:dyDescent="0.25">
      <c r="A1954" s="4" t="s">
        <v>1967</v>
      </c>
      <c r="B1954" s="2" t="s">
        <v>3681</v>
      </c>
      <c r="C1954" s="2" t="s">
        <v>3875</v>
      </c>
      <c r="D1954" s="2" t="s">
        <v>3882</v>
      </c>
      <c r="E1954" s="3">
        <v>45198</v>
      </c>
      <c r="F1954" s="3">
        <v>45755</v>
      </c>
      <c r="G1954" s="2" t="s">
        <v>3887</v>
      </c>
      <c r="H1954" s="2">
        <v>157960</v>
      </c>
      <c r="I1954" s="2">
        <v>312224</v>
      </c>
      <c r="J1954" s="2" t="s">
        <v>3892</v>
      </c>
      <c r="K1954" s="2" t="s">
        <v>3893</v>
      </c>
      <c r="L1954" s="2">
        <v>2023</v>
      </c>
      <c r="M1954" s="2">
        <v>-154264</v>
      </c>
      <c r="N1954" s="2">
        <f xml:space="preserve"> (Table1[[#This Row],[Variance (USD)]] / Table1[[#This Row],[Actual Spending (USD)]]) * 100</f>
        <v>-49.408117249154451</v>
      </c>
      <c r="O1954" s="5" t="s">
        <v>3900</v>
      </c>
    </row>
    <row r="1955" spans="1:15" x14ac:dyDescent="0.25">
      <c r="A1955" s="4" t="s">
        <v>1968</v>
      </c>
      <c r="B1955" s="2" t="s">
        <v>3677</v>
      </c>
      <c r="C1955" s="2" t="s">
        <v>3870</v>
      </c>
      <c r="D1955" s="2" t="s">
        <v>3877</v>
      </c>
      <c r="E1955" s="3">
        <v>44942</v>
      </c>
      <c r="F1955" s="3">
        <v>46003</v>
      </c>
      <c r="G1955" s="2" t="s">
        <v>3884</v>
      </c>
      <c r="H1955" s="2">
        <v>152478</v>
      </c>
      <c r="I1955" s="2">
        <v>273747</v>
      </c>
      <c r="J1955" s="2" t="s">
        <v>3892</v>
      </c>
      <c r="K1955" s="2" t="s">
        <v>3894</v>
      </c>
      <c r="L1955" s="2">
        <v>2025</v>
      </c>
      <c r="M1955" s="2">
        <v>-121269</v>
      </c>
      <c r="N1955" s="2">
        <f xml:space="preserve"> (Table1[[#This Row],[Variance (USD)]] / Table1[[#This Row],[Actual Spending (USD)]]) * 100</f>
        <v>-44.299663557956798</v>
      </c>
      <c r="O1955" s="5" t="s">
        <v>3897</v>
      </c>
    </row>
    <row r="1956" spans="1:15" x14ac:dyDescent="0.25">
      <c r="A1956" s="4" t="s">
        <v>1969</v>
      </c>
      <c r="B1956" s="2" t="s">
        <v>3313</v>
      </c>
      <c r="C1956" s="2" t="s">
        <v>3872</v>
      </c>
      <c r="D1956" s="2" t="s">
        <v>3878</v>
      </c>
      <c r="E1956" s="3">
        <v>45350</v>
      </c>
      <c r="F1956" s="3">
        <v>46019</v>
      </c>
      <c r="G1956" s="2" t="s">
        <v>3886</v>
      </c>
      <c r="H1956" s="2">
        <v>572419</v>
      </c>
      <c r="I1956" s="2">
        <v>278585</v>
      </c>
      <c r="J1956" s="2" t="s">
        <v>3889</v>
      </c>
      <c r="K1956" s="2" t="s">
        <v>3894</v>
      </c>
      <c r="L1956" s="2">
        <v>2023</v>
      </c>
      <c r="M1956" s="2">
        <v>293834</v>
      </c>
      <c r="N1956" s="2">
        <f xml:space="preserve"> (Table1[[#This Row],[Variance (USD)]] / Table1[[#This Row],[Actual Spending (USD)]]) * 100</f>
        <v>105.47373333094028</v>
      </c>
      <c r="O1956" s="5" t="s">
        <v>3899</v>
      </c>
    </row>
    <row r="1957" spans="1:15" x14ac:dyDescent="0.25">
      <c r="A1957" s="4" t="s">
        <v>1970</v>
      </c>
      <c r="B1957" s="2" t="s">
        <v>3437</v>
      </c>
      <c r="C1957" s="2" t="s">
        <v>3868</v>
      </c>
      <c r="D1957" s="2" t="s">
        <v>3881</v>
      </c>
      <c r="E1957" s="3">
        <v>45450</v>
      </c>
      <c r="F1957" s="3">
        <v>46008</v>
      </c>
      <c r="G1957" s="2" t="s">
        <v>3884</v>
      </c>
      <c r="H1957" s="2">
        <v>480754</v>
      </c>
      <c r="I1957" s="2">
        <v>1088595</v>
      </c>
      <c r="J1957" s="2" t="s">
        <v>3889</v>
      </c>
      <c r="K1957" s="2" t="s">
        <v>3895</v>
      </c>
      <c r="L1957" s="2">
        <v>2024</v>
      </c>
      <c r="M1957" s="2">
        <v>-607841</v>
      </c>
      <c r="N1957" s="2">
        <f xml:space="preserve"> (Table1[[#This Row],[Variance (USD)]] / Table1[[#This Row],[Actual Spending (USD)]]) * 100</f>
        <v>-55.837203000197498</v>
      </c>
      <c r="O1957" s="5" t="s">
        <v>3897</v>
      </c>
    </row>
    <row r="1958" spans="1:15" x14ac:dyDescent="0.25">
      <c r="A1958" s="4" t="s">
        <v>1971</v>
      </c>
      <c r="B1958" s="2" t="s">
        <v>3258</v>
      </c>
      <c r="C1958" s="2" t="s">
        <v>3873</v>
      </c>
      <c r="D1958" s="2" t="s">
        <v>3877</v>
      </c>
      <c r="E1958" s="3">
        <v>44947</v>
      </c>
      <c r="F1958" s="3">
        <v>45707</v>
      </c>
      <c r="G1958" s="2" t="s">
        <v>3884</v>
      </c>
      <c r="H1958" s="2">
        <v>55833</v>
      </c>
      <c r="I1958" s="2">
        <v>490498</v>
      </c>
      <c r="J1958" s="2" t="s">
        <v>3892</v>
      </c>
      <c r="K1958" s="2" t="s">
        <v>3895</v>
      </c>
      <c r="L1958" s="2">
        <v>2025</v>
      </c>
      <c r="M1958" s="2">
        <v>-434665</v>
      </c>
      <c r="N1958" s="2">
        <f xml:space="preserve"> (Table1[[#This Row],[Variance (USD)]] / Table1[[#This Row],[Actual Spending (USD)]]) * 100</f>
        <v>-88.617078968721586</v>
      </c>
      <c r="O1958" s="5" t="s">
        <v>3897</v>
      </c>
    </row>
    <row r="1959" spans="1:15" x14ac:dyDescent="0.25">
      <c r="A1959" s="4" t="s">
        <v>1972</v>
      </c>
      <c r="B1959" s="2" t="s">
        <v>3799</v>
      </c>
      <c r="C1959" s="2" t="s">
        <v>3869</v>
      </c>
      <c r="D1959" s="2" t="s">
        <v>3883</v>
      </c>
      <c r="E1959" s="3">
        <v>45616</v>
      </c>
      <c r="F1959" s="3">
        <v>45507</v>
      </c>
      <c r="G1959" s="2" t="s">
        <v>3884</v>
      </c>
      <c r="H1959" s="2">
        <v>466602</v>
      </c>
      <c r="I1959" s="2">
        <v>380448</v>
      </c>
      <c r="J1959" s="2" t="s">
        <v>3892</v>
      </c>
      <c r="K1959" s="2" t="s">
        <v>3893</v>
      </c>
      <c r="L1959" s="2">
        <v>2025</v>
      </c>
      <c r="M1959" s="2">
        <v>86154</v>
      </c>
      <c r="N1959" s="2">
        <f xml:space="preserve"> (Table1[[#This Row],[Variance (USD)]] / Table1[[#This Row],[Actual Spending (USD)]]) * 100</f>
        <v>22.645407519555892</v>
      </c>
      <c r="O1959" s="5" t="s">
        <v>3897</v>
      </c>
    </row>
    <row r="1960" spans="1:15" x14ac:dyDescent="0.25">
      <c r="A1960" s="4" t="s">
        <v>1973</v>
      </c>
      <c r="B1960" s="2" t="s">
        <v>3466</v>
      </c>
      <c r="C1960" s="2" t="s">
        <v>3872</v>
      </c>
      <c r="D1960" s="2" t="s">
        <v>3876</v>
      </c>
      <c r="E1960" s="3">
        <v>45154</v>
      </c>
      <c r="F1960" s="3">
        <v>45371</v>
      </c>
      <c r="G1960" s="2" t="s">
        <v>3886</v>
      </c>
      <c r="H1960" s="2">
        <v>298053</v>
      </c>
      <c r="I1960" s="2">
        <v>759221</v>
      </c>
      <c r="J1960" s="2" t="s">
        <v>3892</v>
      </c>
      <c r="K1960" s="2" t="s">
        <v>3895</v>
      </c>
      <c r="L1960" s="2">
        <v>2023</v>
      </c>
      <c r="M1960" s="2">
        <v>-461168</v>
      </c>
      <c r="N1960" s="2">
        <f xml:space="preserve"> (Table1[[#This Row],[Variance (USD)]] / Table1[[#This Row],[Actual Spending (USD)]]) * 100</f>
        <v>-60.742260817337765</v>
      </c>
      <c r="O1960" s="5" t="s">
        <v>3899</v>
      </c>
    </row>
    <row r="1961" spans="1:15" x14ac:dyDescent="0.25">
      <c r="A1961" s="4" t="s">
        <v>1974</v>
      </c>
      <c r="B1961" s="2" t="s">
        <v>3346</v>
      </c>
      <c r="C1961" s="2" t="s">
        <v>3870</v>
      </c>
      <c r="D1961" s="2" t="s">
        <v>3879</v>
      </c>
      <c r="E1961" s="3">
        <v>45214</v>
      </c>
      <c r="F1961" s="3">
        <v>45771</v>
      </c>
      <c r="G1961" s="2" t="s">
        <v>3886</v>
      </c>
      <c r="H1961" s="2">
        <v>149341</v>
      </c>
      <c r="I1961" s="2">
        <v>1083062</v>
      </c>
      <c r="J1961" s="2" t="s">
        <v>3890</v>
      </c>
      <c r="K1961" s="2" t="s">
        <v>3896</v>
      </c>
      <c r="L1961" s="2">
        <v>2025</v>
      </c>
      <c r="M1961" s="2">
        <v>-933721</v>
      </c>
      <c r="N1961" s="2">
        <f xml:space="preserve"> (Table1[[#This Row],[Variance (USD)]] / Table1[[#This Row],[Actual Spending (USD)]]) * 100</f>
        <v>-86.211223364867379</v>
      </c>
      <c r="O1961" s="5" t="s">
        <v>3899</v>
      </c>
    </row>
    <row r="1962" spans="1:15" x14ac:dyDescent="0.25">
      <c r="A1962" s="4" t="s">
        <v>1975</v>
      </c>
      <c r="B1962" s="2" t="s">
        <v>3695</v>
      </c>
      <c r="C1962" s="2" t="s">
        <v>3874</v>
      </c>
      <c r="D1962" s="2" t="s">
        <v>3876</v>
      </c>
      <c r="E1962" s="3">
        <v>45060</v>
      </c>
      <c r="F1962" s="3">
        <v>45838</v>
      </c>
      <c r="G1962" s="2" t="s">
        <v>3884</v>
      </c>
      <c r="H1962" s="2">
        <v>777138</v>
      </c>
      <c r="I1962" s="2">
        <v>374165</v>
      </c>
      <c r="J1962" s="2" t="s">
        <v>3891</v>
      </c>
      <c r="K1962" s="2" t="s">
        <v>3896</v>
      </c>
      <c r="L1962" s="2">
        <v>2023</v>
      </c>
      <c r="M1962" s="2">
        <v>402973</v>
      </c>
      <c r="N1962" s="2">
        <f xml:space="preserve"> (Table1[[#This Row],[Variance (USD)]] / Table1[[#This Row],[Actual Spending (USD)]]) * 100</f>
        <v>107.6992770569134</v>
      </c>
      <c r="O1962" s="5" t="s">
        <v>3897</v>
      </c>
    </row>
    <row r="1963" spans="1:15" x14ac:dyDescent="0.25">
      <c r="A1963" s="4" t="s">
        <v>1976</v>
      </c>
      <c r="B1963" s="2" t="s">
        <v>3192</v>
      </c>
      <c r="C1963" s="2" t="s">
        <v>3874</v>
      </c>
      <c r="D1963" s="2" t="s">
        <v>3882</v>
      </c>
      <c r="E1963" s="3">
        <v>45209</v>
      </c>
      <c r="F1963" s="3">
        <v>45309</v>
      </c>
      <c r="G1963" s="2" t="s">
        <v>3885</v>
      </c>
      <c r="H1963" s="2">
        <v>668528</v>
      </c>
      <c r="I1963" s="2">
        <v>765224</v>
      </c>
      <c r="J1963" s="2" t="s">
        <v>3889</v>
      </c>
      <c r="K1963" s="2" t="s">
        <v>3894</v>
      </c>
      <c r="L1963" s="2">
        <v>2023</v>
      </c>
      <c r="M1963" s="2">
        <v>-96696</v>
      </c>
      <c r="N1963" s="2">
        <f xml:space="preserve"> (Table1[[#This Row],[Variance (USD)]] / Table1[[#This Row],[Actual Spending (USD)]]) * 100</f>
        <v>-12.636299959227626</v>
      </c>
      <c r="O1963" s="5" t="s">
        <v>3898</v>
      </c>
    </row>
    <row r="1964" spans="1:15" x14ac:dyDescent="0.25">
      <c r="A1964" s="4" t="s">
        <v>1977</v>
      </c>
      <c r="B1964" s="2" t="s">
        <v>3220</v>
      </c>
      <c r="C1964" s="2" t="s">
        <v>3869</v>
      </c>
      <c r="D1964" s="2" t="s">
        <v>3877</v>
      </c>
      <c r="E1964" s="3">
        <v>45330</v>
      </c>
      <c r="F1964" s="3">
        <v>45456</v>
      </c>
      <c r="G1964" s="2" t="s">
        <v>3884</v>
      </c>
      <c r="H1964" s="2">
        <v>944387</v>
      </c>
      <c r="I1964" s="2">
        <v>704472</v>
      </c>
      <c r="J1964" s="2" t="s">
        <v>3889</v>
      </c>
      <c r="K1964" s="2" t="s">
        <v>3894</v>
      </c>
      <c r="L1964" s="2">
        <v>2024</v>
      </c>
      <c r="M1964" s="2">
        <v>239915</v>
      </c>
      <c r="N1964" s="2">
        <f xml:space="preserve"> (Table1[[#This Row],[Variance (USD)]] / Table1[[#This Row],[Actual Spending (USD)]]) * 100</f>
        <v>34.056002225780439</v>
      </c>
      <c r="O1964" s="5" t="s">
        <v>3897</v>
      </c>
    </row>
    <row r="1965" spans="1:15" x14ac:dyDescent="0.25">
      <c r="A1965" s="4" t="s">
        <v>1978</v>
      </c>
      <c r="B1965" s="2" t="s">
        <v>3316</v>
      </c>
      <c r="C1965" s="2" t="s">
        <v>3868</v>
      </c>
      <c r="D1965" s="2" t="s">
        <v>3882</v>
      </c>
      <c r="E1965" s="3">
        <v>45591</v>
      </c>
      <c r="F1965" s="3">
        <v>45816</v>
      </c>
      <c r="G1965" s="2" t="s">
        <v>3884</v>
      </c>
      <c r="H1965" s="2">
        <v>468048</v>
      </c>
      <c r="I1965" s="2">
        <v>605985</v>
      </c>
      <c r="J1965" s="2" t="s">
        <v>3888</v>
      </c>
      <c r="K1965" s="2" t="s">
        <v>3895</v>
      </c>
      <c r="L1965" s="2">
        <v>2023</v>
      </c>
      <c r="M1965" s="2">
        <v>-137937</v>
      </c>
      <c r="N1965" s="2">
        <f xml:space="preserve"> (Table1[[#This Row],[Variance (USD)]] / Table1[[#This Row],[Actual Spending (USD)]]) * 100</f>
        <v>-22.76244461496572</v>
      </c>
      <c r="O1965" s="5" t="s">
        <v>3897</v>
      </c>
    </row>
    <row r="1966" spans="1:15" x14ac:dyDescent="0.25">
      <c r="A1966" s="4" t="s">
        <v>1979</v>
      </c>
      <c r="B1966" s="2" t="s">
        <v>3597</v>
      </c>
      <c r="C1966" s="2" t="s">
        <v>3868</v>
      </c>
      <c r="D1966" s="2" t="s">
        <v>3881</v>
      </c>
      <c r="E1966" s="3">
        <v>44992</v>
      </c>
      <c r="F1966" s="3">
        <v>45493</v>
      </c>
      <c r="G1966" s="2" t="s">
        <v>3884</v>
      </c>
      <c r="H1966" s="2">
        <v>258929</v>
      </c>
      <c r="I1966" s="2">
        <v>1134574</v>
      </c>
      <c r="J1966" s="2" t="s">
        <v>3890</v>
      </c>
      <c r="K1966" s="2" t="s">
        <v>3895</v>
      </c>
      <c r="L1966" s="2">
        <v>2025</v>
      </c>
      <c r="M1966" s="2">
        <v>-875645</v>
      </c>
      <c r="N1966" s="2">
        <f xml:space="preserve"> (Table1[[#This Row],[Variance (USD)]] / Table1[[#This Row],[Actual Spending (USD)]]) * 100</f>
        <v>-77.178306571453248</v>
      </c>
      <c r="O1966" s="5" t="s">
        <v>3897</v>
      </c>
    </row>
    <row r="1967" spans="1:15" x14ac:dyDescent="0.25">
      <c r="A1967" s="4" t="s">
        <v>1980</v>
      </c>
      <c r="B1967" s="2" t="s">
        <v>3800</v>
      </c>
      <c r="C1967" s="2" t="s">
        <v>3870</v>
      </c>
      <c r="D1967" s="2" t="s">
        <v>3877</v>
      </c>
      <c r="E1967" s="3">
        <v>45575</v>
      </c>
      <c r="F1967" s="3">
        <v>45637</v>
      </c>
      <c r="G1967" s="2" t="s">
        <v>3884</v>
      </c>
      <c r="H1967" s="2">
        <v>220002</v>
      </c>
      <c r="I1967" s="2">
        <v>139537</v>
      </c>
      <c r="J1967" s="2" t="s">
        <v>3892</v>
      </c>
      <c r="K1967" s="2" t="s">
        <v>3896</v>
      </c>
      <c r="L1967" s="2">
        <v>2023</v>
      </c>
      <c r="M1967" s="2">
        <v>80465</v>
      </c>
      <c r="N1967" s="2">
        <f xml:space="preserve"> (Table1[[#This Row],[Variance (USD)]] / Table1[[#This Row],[Actual Spending (USD)]]) * 100</f>
        <v>57.66570873675083</v>
      </c>
      <c r="O1967" s="5" t="s">
        <v>3897</v>
      </c>
    </row>
    <row r="1968" spans="1:15" x14ac:dyDescent="0.25">
      <c r="A1968" s="4" t="s">
        <v>1981</v>
      </c>
      <c r="B1968" s="2" t="s">
        <v>3515</v>
      </c>
      <c r="C1968" s="2" t="s">
        <v>3873</v>
      </c>
      <c r="D1968" s="2" t="s">
        <v>3876</v>
      </c>
      <c r="E1968" s="3">
        <v>45530</v>
      </c>
      <c r="F1968" s="3">
        <v>45657</v>
      </c>
      <c r="G1968" s="2" t="s">
        <v>3885</v>
      </c>
      <c r="H1968" s="2">
        <v>213479</v>
      </c>
      <c r="I1968" s="2">
        <v>914248</v>
      </c>
      <c r="J1968" s="2" t="s">
        <v>3892</v>
      </c>
      <c r="K1968" s="2" t="s">
        <v>3894</v>
      </c>
      <c r="L1968" s="2">
        <v>2025</v>
      </c>
      <c r="M1968" s="2">
        <v>-700769</v>
      </c>
      <c r="N1968" s="2">
        <f xml:space="preserve"> (Table1[[#This Row],[Variance (USD)]] / Table1[[#This Row],[Actual Spending (USD)]]) * 100</f>
        <v>-76.649771178061101</v>
      </c>
      <c r="O1968" s="5" t="s">
        <v>3898</v>
      </c>
    </row>
    <row r="1969" spans="1:15" x14ac:dyDescent="0.25">
      <c r="A1969" s="4" t="s">
        <v>1982</v>
      </c>
      <c r="B1969" s="2" t="s">
        <v>3134</v>
      </c>
      <c r="C1969" s="2" t="s">
        <v>3870</v>
      </c>
      <c r="D1969" s="2" t="s">
        <v>3881</v>
      </c>
      <c r="E1969" s="3">
        <v>45363</v>
      </c>
      <c r="F1969" s="3">
        <v>45739</v>
      </c>
      <c r="G1969" s="2" t="s">
        <v>3884</v>
      </c>
      <c r="H1969" s="2">
        <v>840505</v>
      </c>
      <c r="I1969" s="2">
        <v>1105152</v>
      </c>
      <c r="J1969" s="2" t="s">
        <v>3890</v>
      </c>
      <c r="K1969" s="2" t="s">
        <v>3895</v>
      </c>
      <c r="L1969" s="2">
        <v>2023</v>
      </c>
      <c r="M1969" s="2">
        <v>-264647</v>
      </c>
      <c r="N1969" s="2">
        <f xml:space="preserve"> (Table1[[#This Row],[Variance (USD)]] / Table1[[#This Row],[Actual Spending (USD)]]) * 100</f>
        <v>-23.946660730831596</v>
      </c>
      <c r="O1969" s="5" t="s">
        <v>3897</v>
      </c>
    </row>
    <row r="1970" spans="1:15" x14ac:dyDescent="0.25">
      <c r="A1970" s="4" t="s">
        <v>1983</v>
      </c>
      <c r="B1970" s="2" t="s">
        <v>3801</v>
      </c>
      <c r="C1970" s="2" t="s">
        <v>3871</v>
      </c>
      <c r="D1970" s="2" t="s">
        <v>3881</v>
      </c>
      <c r="E1970" s="3">
        <v>45185</v>
      </c>
      <c r="F1970" s="3">
        <v>45804</v>
      </c>
      <c r="G1970" s="2" t="s">
        <v>3884</v>
      </c>
      <c r="H1970" s="2">
        <v>854099</v>
      </c>
      <c r="I1970" s="2">
        <v>1159814</v>
      </c>
      <c r="J1970" s="2" t="s">
        <v>3889</v>
      </c>
      <c r="K1970" s="2" t="s">
        <v>3896</v>
      </c>
      <c r="L1970" s="2">
        <v>2024</v>
      </c>
      <c r="M1970" s="2">
        <v>-305715</v>
      </c>
      <c r="N1970" s="2">
        <f xml:space="preserve"> (Table1[[#This Row],[Variance (USD)]] / Table1[[#This Row],[Actual Spending (USD)]]) * 100</f>
        <v>-26.358967903474177</v>
      </c>
      <c r="O1970" s="5" t="s">
        <v>3897</v>
      </c>
    </row>
    <row r="1971" spans="1:15" x14ac:dyDescent="0.25">
      <c r="A1971" s="4" t="s">
        <v>1984</v>
      </c>
      <c r="B1971" s="2" t="s">
        <v>3657</v>
      </c>
      <c r="C1971" s="2" t="s">
        <v>3868</v>
      </c>
      <c r="D1971" s="2" t="s">
        <v>3881</v>
      </c>
      <c r="E1971" s="3">
        <v>45029</v>
      </c>
      <c r="F1971" s="3">
        <v>45610</v>
      </c>
      <c r="G1971" s="2" t="s">
        <v>3884</v>
      </c>
      <c r="H1971" s="2">
        <v>459251</v>
      </c>
      <c r="I1971" s="2">
        <v>1169429</v>
      </c>
      <c r="J1971" s="2" t="s">
        <v>3892</v>
      </c>
      <c r="K1971" s="2" t="s">
        <v>3894</v>
      </c>
      <c r="L1971" s="2">
        <v>2024</v>
      </c>
      <c r="M1971" s="2">
        <v>-710178</v>
      </c>
      <c r="N1971" s="2">
        <f xml:space="preserve"> (Table1[[#This Row],[Variance (USD)]] / Table1[[#This Row],[Actual Spending (USD)]]) * 100</f>
        <v>-60.728611997821162</v>
      </c>
      <c r="O1971" s="5" t="s">
        <v>3897</v>
      </c>
    </row>
    <row r="1972" spans="1:15" x14ac:dyDescent="0.25">
      <c r="A1972" s="4" t="s">
        <v>1985</v>
      </c>
      <c r="B1972" s="2" t="s">
        <v>3644</v>
      </c>
      <c r="C1972" s="2" t="s">
        <v>3872</v>
      </c>
      <c r="D1972" s="2" t="s">
        <v>3880</v>
      </c>
      <c r="E1972" s="3">
        <v>45493</v>
      </c>
      <c r="F1972" s="3">
        <v>45508</v>
      </c>
      <c r="G1972" s="2" t="s">
        <v>3886</v>
      </c>
      <c r="H1972" s="2">
        <v>56732</v>
      </c>
      <c r="I1972" s="2">
        <v>1032383</v>
      </c>
      <c r="J1972" s="2" t="s">
        <v>3888</v>
      </c>
      <c r="K1972" s="2" t="s">
        <v>3896</v>
      </c>
      <c r="L1972" s="2">
        <v>2023</v>
      </c>
      <c r="M1972" s="2">
        <v>-975651</v>
      </c>
      <c r="N1972" s="2">
        <f xml:space="preserve"> (Table1[[#This Row],[Variance (USD)]] / Table1[[#This Row],[Actual Spending (USD)]]) * 100</f>
        <v>-94.504752596662286</v>
      </c>
      <c r="O1972" s="5" t="s">
        <v>3899</v>
      </c>
    </row>
    <row r="1973" spans="1:15" x14ac:dyDescent="0.25">
      <c r="A1973" s="4" t="s">
        <v>1986</v>
      </c>
      <c r="B1973" s="2" t="s">
        <v>3673</v>
      </c>
      <c r="C1973" s="2" t="s">
        <v>3871</v>
      </c>
      <c r="D1973" s="2" t="s">
        <v>3877</v>
      </c>
      <c r="E1973" s="3">
        <v>45027</v>
      </c>
      <c r="F1973" s="3">
        <v>45325</v>
      </c>
      <c r="G1973" s="2" t="s">
        <v>3884</v>
      </c>
      <c r="H1973" s="2">
        <v>367241</v>
      </c>
      <c r="I1973" s="2">
        <v>941575</v>
      </c>
      <c r="J1973" s="2" t="s">
        <v>3889</v>
      </c>
      <c r="K1973" s="2" t="s">
        <v>3896</v>
      </c>
      <c r="L1973" s="2">
        <v>2023</v>
      </c>
      <c r="M1973" s="2">
        <v>-574334</v>
      </c>
      <c r="N1973" s="2">
        <f xml:space="preserve"> (Table1[[#This Row],[Variance (USD)]] / Table1[[#This Row],[Actual Spending (USD)]]) * 100</f>
        <v>-60.997159015479383</v>
      </c>
      <c r="O1973" s="5" t="s">
        <v>3897</v>
      </c>
    </row>
    <row r="1974" spans="1:15" x14ac:dyDescent="0.25">
      <c r="A1974" s="4" t="s">
        <v>1987</v>
      </c>
      <c r="B1974" s="2" t="s">
        <v>3802</v>
      </c>
      <c r="C1974" s="2" t="s">
        <v>3874</v>
      </c>
      <c r="D1974" s="2" t="s">
        <v>3878</v>
      </c>
      <c r="E1974" s="3">
        <v>45124</v>
      </c>
      <c r="F1974" s="3">
        <v>45557</v>
      </c>
      <c r="G1974" s="2" t="s">
        <v>3886</v>
      </c>
      <c r="H1974" s="2">
        <v>53487</v>
      </c>
      <c r="I1974" s="2">
        <v>705609</v>
      </c>
      <c r="J1974" s="2" t="s">
        <v>3891</v>
      </c>
      <c r="K1974" s="2" t="s">
        <v>3894</v>
      </c>
      <c r="L1974" s="2">
        <v>2023</v>
      </c>
      <c r="M1974" s="2">
        <v>-652122</v>
      </c>
      <c r="N1974" s="2">
        <f xml:space="preserve"> (Table1[[#This Row],[Variance (USD)]] / Table1[[#This Row],[Actual Spending (USD)]]) * 100</f>
        <v>-92.419739544138466</v>
      </c>
      <c r="O1974" s="5" t="s">
        <v>3899</v>
      </c>
    </row>
    <row r="1975" spans="1:15" x14ac:dyDescent="0.25">
      <c r="A1975" s="4" t="s">
        <v>1988</v>
      </c>
      <c r="B1975" s="2" t="s">
        <v>3328</v>
      </c>
      <c r="C1975" s="2" t="s">
        <v>3874</v>
      </c>
      <c r="D1975" s="2" t="s">
        <v>3878</v>
      </c>
      <c r="E1975" s="3">
        <v>45152</v>
      </c>
      <c r="F1975" s="3">
        <v>45931</v>
      </c>
      <c r="G1975" s="2" t="s">
        <v>3884</v>
      </c>
      <c r="H1975" s="2">
        <v>281560</v>
      </c>
      <c r="I1975" s="2">
        <v>496981</v>
      </c>
      <c r="J1975" s="2" t="s">
        <v>3890</v>
      </c>
      <c r="K1975" s="2" t="s">
        <v>3896</v>
      </c>
      <c r="L1975" s="2">
        <v>2024</v>
      </c>
      <c r="M1975" s="2">
        <v>-215421</v>
      </c>
      <c r="N1975" s="2">
        <f xml:space="preserve"> (Table1[[#This Row],[Variance (USD)]] / Table1[[#This Row],[Actual Spending (USD)]]) * 100</f>
        <v>-43.345922681148771</v>
      </c>
      <c r="O1975" s="5" t="s">
        <v>3897</v>
      </c>
    </row>
    <row r="1976" spans="1:15" x14ac:dyDescent="0.25">
      <c r="A1976" s="4" t="s">
        <v>1989</v>
      </c>
      <c r="B1976" s="2" t="s">
        <v>3263</v>
      </c>
      <c r="C1976" s="2" t="s">
        <v>3875</v>
      </c>
      <c r="D1976" s="2" t="s">
        <v>3877</v>
      </c>
      <c r="E1976" s="3">
        <v>45389</v>
      </c>
      <c r="F1976" s="3">
        <v>46015</v>
      </c>
      <c r="G1976" s="2" t="s">
        <v>3884</v>
      </c>
      <c r="H1976" s="2">
        <v>894134</v>
      </c>
      <c r="I1976" s="2">
        <v>121810</v>
      </c>
      <c r="J1976" s="2" t="s">
        <v>3889</v>
      </c>
      <c r="K1976" s="2" t="s">
        <v>3895</v>
      </c>
      <c r="L1976" s="2">
        <v>2023</v>
      </c>
      <c r="M1976" s="2">
        <v>772324</v>
      </c>
      <c r="N1976" s="2">
        <f xml:space="preserve"> (Table1[[#This Row],[Variance (USD)]] / Table1[[#This Row],[Actual Spending (USD)]]) * 100</f>
        <v>634.03989820211802</v>
      </c>
      <c r="O1976" s="5" t="s">
        <v>3897</v>
      </c>
    </row>
    <row r="1977" spans="1:15" x14ac:dyDescent="0.25">
      <c r="A1977" s="4" t="s">
        <v>1990</v>
      </c>
      <c r="B1977" s="2" t="s">
        <v>3323</v>
      </c>
      <c r="C1977" s="2" t="s">
        <v>3869</v>
      </c>
      <c r="D1977" s="2" t="s">
        <v>3877</v>
      </c>
      <c r="E1977" s="3">
        <v>45163</v>
      </c>
      <c r="F1977" s="3">
        <v>45371</v>
      </c>
      <c r="G1977" s="2" t="s">
        <v>3885</v>
      </c>
      <c r="H1977" s="2">
        <v>832031</v>
      </c>
      <c r="I1977" s="2">
        <v>919302</v>
      </c>
      <c r="J1977" s="2" t="s">
        <v>3891</v>
      </c>
      <c r="K1977" s="2" t="s">
        <v>3896</v>
      </c>
      <c r="L1977" s="2">
        <v>2023</v>
      </c>
      <c r="M1977" s="2">
        <v>-87271</v>
      </c>
      <c r="N1977" s="2">
        <f xml:space="preserve"> (Table1[[#This Row],[Variance (USD)]] / Table1[[#This Row],[Actual Spending (USD)]]) * 100</f>
        <v>-9.4931806957887606</v>
      </c>
      <c r="O1977" s="5" t="s">
        <v>3898</v>
      </c>
    </row>
    <row r="1978" spans="1:15" x14ac:dyDescent="0.25">
      <c r="A1978" s="4" t="s">
        <v>1991</v>
      </c>
      <c r="B1978" s="2" t="s">
        <v>3740</v>
      </c>
      <c r="C1978" s="2" t="s">
        <v>3871</v>
      </c>
      <c r="D1978" s="2" t="s">
        <v>3880</v>
      </c>
      <c r="E1978" s="3">
        <v>44952</v>
      </c>
      <c r="F1978" s="3">
        <v>45968</v>
      </c>
      <c r="G1978" s="2" t="s">
        <v>3884</v>
      </c>
      <c r="H1978" s="2">
        <v>407105</v>
      </c>
      <c r="I1978" s="2">
        <v>1150707</v>
      </c>
      <c r="J1978" s="2" t="s">
        <v>3888</v>
      </c>
      <c r="K1978" s="2" t="s">
        <v>3895</v>
      </c>
      <c r="L1978" s="2">
        <v>2025</v>
      </c>
      <c r="M1978" s="2">
        <v>-743602</v>
      </c>
      <c r="N1978" s="2">
        <f xml:space="preserve"> (Table1[[#This Row],[Variance (USD)]] / Table1[[#This Row],[Actual Spending (USD)]]) * 100</f>
        <v>-64.62131541739123</v>
      </c>
      <c r="O1978" s="5" t="s">
        <v>3897</v>
      </c>
    </row>
    <row r="1979" spans="1:15" x14ac:dyDescent="0.25">
      <c r="A1979" s="4" t="s">
        <v>1992</v>
      </c>
      <c r="B1979" s="2" t="s">
        <v>3569</v>
      </c>
      <c r="C1979" s="2" t="s">
        <v>3869</v>
      </c>
      <c r="D1979" s="2" t="s">
        <v>3878</v>
      </c>
      <c r="E1979" s="3">
        <v>45047</v>
      </c>
      <c r="F1979" s="3">
        <v>45704</v>
      </c>
      <c r="G1979" s="2" t="s">
        <v>3885</v>
      </c>
      <c r="H1979" s="2">
        <v>555410</v>
      </c>
      <c r="I1979" s="2">
        <v>475581</v>
      </c>
      <c r="J1979" s="2" t="s">
        <v>3890</v>
      </c>
      <c r="K1979" s="2" t="s">
        <v>3893</v>
      </c>
      <c r="L1979" s="2">
        <v>2024</v>
      </c>
      <c r="M1979" s="2">
        <v>79829</v>
      </c>
      <c r="N1979" s="2">
        <f xml:space="preserve"> (Table1[[#This Row],[Variance (USD)]] / Table1[[#This Row],[Actual Spending (USD)]]) * 100</f>
        <v>16.785573855978267</v>
      </c>
      <c r="O1979" s="5" t="s">
        <v>3898</v>
      </c>
    </row>
    <row r="1980" spans="1:15" x14ac:dyDescent="0.25">
      <c r="A1980" s="4" t="s">
        <v>1993</v>
      </c>
      <c r="B1980" s="2" t="s">
        <v>3362</v>
      </c>
      <c r="C1980" s="2" t="s">
        <v>3870</v>
      </c>
      <c r="D1980" s="2" t="s">
        <v>3877</v>
      </c>
      <c r="E1980" s="3">
        <v>45432</v>
      </c>
      <c r="F1980" s="3">
        <v>45543</v>
      </c>
      <c r="G1980" s="2" t="s">
        <v>3884</v>
      </c>
      <c r="H1980" s="2">
        <v>659395</v>
      </c>
      <c r="I1980" s="2">
        <v>859358</v>
      </c>
      <c r="J1980" s="2" t="s">
        <v>3892</v>
      </c>
      <c r="K1980" s="2" t="s">
        <v>3893</v>
      </c>
      <c r="L1980" s="2">
        <v>2024</v>
      </c>
      <c r="M1980" s="2">
        <v>-199963</v>
      </c>
      <c r="N1980" s="2">
        <f xml:space="preserve"> (Table1[[#This Row],[Variance (USD)]] / Table1[[#This Row],[Actual Spending (USD)]]) * 100</f>
        <v>-23.268882118977192</v>
      </c>
      <c r="O1980" s="5" t="s">
        <v>3897</v>
      </c>
    </row>
    <row r="1981" spans="1:15" x14ac:dyDescent="0.25">
      <c r="A1981" s="4" t="s">
        <v>1994</v>
      </c>
      <c r="B1981" s="2" t="s">
        <v>3463</v>
      </c>
      <c r="C1981" s="2" t="s">
        <v>3871</v>
      </c>
      <c r="D1981" s="2" t="s">
        <v>3877</v>
      </c>
      <c r="E1981" s="3">
        <v>45108</v>
      </c>
      <c r="F1981" s="3">
        <v>45303</v>
      </c>
      <c r="G1981" s="2" t="s">
        <v>3885</v>
      </c>
      <c r="H1981" s="2">
        <v>996579</v>
      </c>
      <c r="I1981" s="2">
        <v>120214</v>
      </c>
      <c r="J1981" s="2" t="s">
        <v>3892</v>
      </c>
      <c r="K1981" s="2" t="s">
        <v>3893</v>
      </c>
      <c r="L1981" s="2">
        <v>2023</v>
      </c>
      <c r="M1981" s="2">
        <v>876365</v>
      </c>
      <c r="N1981" s="2">
        <f xml:space="preserve"> (Table1[[#This Row],[Variance (USD)]] / Table1[[#This Row],[Actual Spending (USD)]]) * 100</f>
        <v>729.00410933834655</v>
      </c>
      <c r="O1981" s="5" t="s">
        <v>3898</v>
      </c>
    </row>
    <row r="1982" spans="1:15" x14ac:dyDescent="0.25">
      <c r="A1982" s="4" t="s">
        <v>1995</v>
      </c>
      <c r="B1982" s="2" t="s">
        <v>3803</v>
      </c>
      <c r="C1982" s="2" t="s">
        <v>3870</v>
      </c>
      <c r="D1982" s="2" t="s">
        <v>3882</v>
      </c>
      <c r="E1982" s="3">
        <v>45637</v>
      </c>
      <c r="F1982" s="3">
        <v>45692</v>
      </c>
      <c r="G1982" s="2" t="s">
        <v>3884</v>
      </c>
      <c r="H1982" s="2">
        <v>157721</v>
      </c>
      <c r="I1982" s="2">
        <v>379894</v>
      </c>
      <c r="J1982" s="2" t="s">
        <v>3891</v>
      </c>
      <c r="K1982" s="2" t="s">
        <v>3896</v>
      </c>
      <c r="L1982" s="2">
        <v>2023</v>
      </c>
      <c r="M1982" s="2">
        <v>-222173</v>
      </c>
      <c r="N1982" s="2">
        <f xml:space="preserve"> (Table1[[#This Row],[Variance (USD)]] / Table1[[#This Row],[Actual Spending (USD)]]) * 100</f>
        <v>-58.482892596355832</v>
      </c>
      <c r="O1982" s="5" t="s">
        <v>3897</v>
      </c>
    </row>
    <row r="1983" spans="1:15" x14ac:dyDescent="0.25">
      <c r="A1983" s="4" t="s">
        <v>1996</v>
      </c>
      <c r="B1983" s="2" t="s">
        <v>3291</v>
      </c>
      <c r="C1983" s="2" t="s">
        <v>3875</v>
      </c>
      <c r="D1983" s="2" t="s">
        <v>3880</v>
      </c>
      <c r="E1983" s="3">
        <v>45560</v>
      </c>
      <c r="F1983" s="3">
        <v>46015</v>
      </c>
      <c r="G1983" s="2" t="s">
        <v>3886</v>
      </c>
      <c r="H1983" s="2">
        <v>383175</v>
      </c>
      <c r="I1983" s="2">
        <v>1117175</v>
      </c>
      <c r="J1983" s="2" t="s">
        <v>3889</v>
      </c>
      <c r="K1983" s="2" t="s">
        <v>3893</v>
      </c>
      <c r="L1983" s="2">
        <v>2025</v>
      </c>
      <c r="M1983" s="2">
        <v>-734000</v>
      </c>
      <c r="N1983" s="2">
        <f xml:space="preserve"> (Table1[[#This Row],[Variance (USD)]] / Table1[[#This Row],[Actual Spending (USD)]]) * 100</f>
        <v>-65.701434421643881</v>
      </c>
      <c r="O1983" s="5" t="s">
        <v>3899</v>
      </c>
    </row>
    <row r="1984" spans="1:15" x14ac:dyDescent="0.25">
      <c r="A1984" s="4" t="s">
        <v>1997</v>
      </c>
      <c r="B1984" s="2" t="s">
        <v>3076</v>
      </c>
      <c r="C1984" s="2" t="s">
        <v>3868</v>
      </c>
      <c r="D1984" s="2" t="s">
        <v>3880</v>
      </c>
      <c r="E1984" s="3">
        <v>45469</v>
      </c>
      <c r="F1984" s="3">
        <v>45573</v>
      </c>
      <c r="G1984" s="2" t="s">
        <v>3884</v>
      </c>
      <c r="H1984" s="2">
        <v>396361</v>
      </c>
      <c r="I1984" s="2">
        <v>259417</v>
      </c>
      <c r="J1984" s="2" t="s">
        <v>3888</v>
      </c>
      <c r="K1984" s="2" t="s">
        <v>3893</v>
      </c>
      <c r="L1984" s="2">
        <v>2023</v>
      </c>
      <c r="M1984" s="2">
        <v>136944</v>
      </c>
      <c r="N1984" s="2">
        <f xml:space="preserve"> (Table1[[#This Row],[Variance (USD)]] / Table1[[#This Row],[Actual Spending (USD)]]) * 100</f>
        <v>52.789138722597208</v>
      </c>
      <c r="O1984" s="5" t="s">
        <v>3897</v>
      </c>
    </row>
    <row r="1985" spans="1:15" x14ac:dyDescent="0.25">
      <c r="A1985" s="4" t="s">
        <v>1998</v>
      </c>
      <c r="B1985" s="2" t="s">
        <v>3317</v>
      </c>
      <c r="C1985" s="2" t="s">
        <v>3874</v>
      </c>
      <c r="D1985" s="2" t="s">
        <v>3876</v>
      </c>
      <c r="E1985" s="3">
        <v>45241</v>
      </c>
      <c r="F1985" s="3">
        <v>45403</v>
      </c>
      <c r="G1985" s="2" t="s">
        <v>3884</v>
      </c>
      <c r="H1985" s="2">
        <v>326925</v>
      </c>
      <c r="I1985" s="2">
        <v>663778</v>
      </c>
      <c r="J1985" s="2" t="s">
        <v>3891</v>
      </c>
      <c r="K1985" s="2" t="s">
        <v>3896</v>
      </c>
      <c r="L1985" s="2">
        <v>2024</v>
      </c>
      <c r="M1985" s="2">
        <v>-336853</v>
      </c>
      <c r="N1985" s="2">
        <f xml:space="preserve"> (Table1[[#This Row],[Variance (USD)]] / Table1[[#This Row],[Actual Spending (USD)]]) * 100</f>
        <v>-50.747840392420365</v>
      </c>
      <c r="O1985" s="5" t="s">
        <v>3897</v>
      </c>
    </row>
    <row r="1986" spans="1:15" x14ac:dyDescent="0.25">
      <c r="A1986" s="4" t="s">
        <v>1999</v>
      </c>
      <c r="B1986" s="2" t="s">
        <v>3199</v>
      </c>
      <c r="C1986" s="2" t="s">
        <v>3875</v>
      </c>
      <c r="D1986" s="2" t="s">
        <v>3880</v>
      </c>
      <c r="E1986" s="3">
        <v>45544</v>
      </c>
      <c r="F1986" s="3">
        <v>46014</v>
      </c>
      <c r="G1986" s="2" t="s">
        <v>3884</v>
      </c>
      <c r="H1986" s="2">
        <v>876297</v>
      </c>
      <c r="I1986" s="2">
        <v>576881</v>
      </c>
      <c r="J1986" s="2" t="s">
        <v>3888</v>
      </c>
      <c r="K1986" s="2" t="s">
        <v>3894</v>
      </c>
      <c r="L1986" s="2">
        <v>2025</v>
      </c>
      <c r="M1986" s="2">
        <v>299416</v>
      </c>
      <c r="N1986" s="2">
        <f xml:space="preserve"> (Table1[[#This Row],[Variance (USD)]] / Table1[[#This Row],[Actual Spending (USD)]]) * 100</f>
        <v>51.902558759952221</v>
      </c>
      <c r="O1986" s="5" t="s">
        <v>3897</v>
      </c>
    </row>
    <row r="1987" spans="1:15" x14ac:dyDescent="0.25">
      <c r="A1987" s="4" t="s">
        <v>2000</v>
      </c>
      <c r="B1987" s="2" t="s">
        <v>3141</v>
      </c>
      <c r="C1987" s="2" t="s">
        <v>3874</v>
      </c>
      <c r="D1987" s="2" t="s">
        <v>3879</v>
      </c>
      <c r="E1987" s="3">
        <v>45199</v>
      </c>
      <c r="F1987" s="3">
        <v>45669</v>
      </c>
      <c r="G1987" s="2" t="s">
        <v>3884</v>
      </c>
      <c r="H1987" s="2">
        <v>582757</v>
      </c>
      <c r="I1987" s="2">
        <v>664153</v>
      </c>
      <c r="J1987" s="2" t="s">
        <v>3888</v>
      </c>
      <c r="K1987" s="2" t="s">
        <v>3896</v>
      </c>
      <c r="L1987" s="2">
        <v>2024</v>
      </c>
      <c r="M1987" s="2">
        <v>-81396</v>
      </c>
      <c r="N1987" s="2">
        <f xml:space="preserve"> (Table1[[#This Row],[Variance (USD)]] / Table1[[#This Row],[Actual Spending (USD)]]) * 100</f>
        <v>-12.255609776662906</v>
      </c>
      <c r="O1987" s="5" t="s">
        <v>3897</v>
      </c>
    </row>
    <row r="1988" spans="1:15" x14ac:dyDescent="0.25">
      <c r="A1988" s="4" t="s">
        <v>2001</v>
      </c>
      <c r="B1988" s="2" t="s">
        <v>3733</v>
      </c>
      <c r="C1988" s="2" t="s">
        <v>3868</v>
      </c>
      <c r="D1988" s="2" t="s">
        <v>3878</v>
      </c>
      <c r="E1988" s="3">
        <v>45158</v>
      </c>
      <c r="F1988" s="3">
        <v>45559</v>
      </c>
      <c r="G1988" s="2" t="s">
        <v>3884</v>
      </c>
      <c r="H1988" s="2">
        <v>357311</v>
      </c>
      <c r="I1988" s="2">
        <v>1007397</v>
      </c>
      <c r="J1988" s="2" t="s">
        <v>3888</v>
      </c>
      <c r="K1988" s="2" t="s">
        <v>3895</v>
      </c>
      <c r="L1988" s="2">
        <v>2023</v>
      </c>
      <c r="M1988" s="2">
        <v>-650086</v>
      </c>
      <c r="N1988" s="2">
        <f xml:space="preserve"> (Table1[[#This Row],[Variance (USD)]] / Table1[[#This Row],[Actual Spending (USD)]]) * 100</f>
        <v>-64.531262253113724</v>
      </c>
      <c r="O1988" s="5" t="s">
        <v>3897</v>
      </c>
    </row>
    <row r="1989" spans="1:15" x14ac:dyDescent="0.25">
      <c r="A1989" s="4" t="s">
        <v>2002</v>
      </c>
      <c r="B1989" s="2" t="s">
        <v>3657</v>
      </c>
      <c r="C1989" s="2" t="s">
        <v>3870</v>
      </c>
      <c r="D1989" s="2" t="s">
        <v>3876</v>
      </c>
      <c r="E1989" s="3">
        <v>45346</v>
      </c>
      <c r="F1989" s="3">
        <v>45589</v>
      </c>
      <c r="G1989" s="2" t="s">
        <v>3884</v>
      </c>
      <c r="H1989" s="2">
        <v>830226</v>
      </c>
      <c r="I1989" s="2">
        <v>727996</v>
      </c>
      <c r="J1989" s="2" t="s">
        <v>3890</v>
      </c>
      <c r="K1989" s="2" t="s">
        <v>3896</v>
      </c>
      <c r="L1989" s="2">
        <v>2025</v>
      </c>
      <c r="M1989" s="2">
        <v>102230</v>
      </c>
      <c r="N1989" s="2">
        <f xml:space="preserve"> (Table1[[#This Row],[Variance (USD)]] / Table1[[#This Row],[Actual Spending (USD)]]) * 100</f>
        <v>14.04265957505261</v>
      </c>
      <c r="O1989" s="5" t="s">
        <v>3897</v>
      </c>
    </row>
    <row r="1990" spans="1:15" x14ac:dyDescent="0.25">
      <c r="A1990" s="4" t="s">
        <v>2003</v>
      </c>
      <c r="B1990" s="2" t="s">
        <v>3525</v>
      </c>
      <c r="C1990" s="2" t="s">
        <v>3868</v>
      </c>
      <c r="D1990" s="2" t="s">
        <v>3879</v>
      </c>
      <c r="E1990" s="3">
        <v>45368</v>
      </c>
      <c r="F1990" s="3">
        <v>45608</v>
      </c>
      <c r="G1990" s="2" t="s">
        <v>3886</v>
      </c>
      <c r="H1990" s="2">
        <v>262810</v>
      </c>
      <c r="I1990" s="2">
        <v>492441</v>
      </c>
      <c r="J1990" s="2" t="s">
        <v>3891</v>
      </c>
      <c r="K1990" s="2" t="s">
        <v>3894</v>
      </c>
      <c r="L1990" s="2">
        <v>2024</v>
      </c>
      <c r="M1990" s="2">
        <v>-229631</v>
      </c>
      <c r="N1990" s="2">
        <f xml:space="preserve"> (Table1[[#This Row],[Variance (USD)]] / Table1[[#This Row],[Actual Spending (USD)]]) * 100</f>
        <v>-46.631170028490722</v>
      </c>
      <c r="O1990" s="5" t="s">
        <v>3899</v>
      </c>
    </row>
    <row r="1991" spans="1:15" x14ac:dyDescent="0.25">
      <c r="A1991" s="4" t="s">
        <v>2004</v>
      </c>
      <c r="B1991" s="2" t="s">
        <v>3572</v>
      </c>
      <c r="C1991" s="2" t="s">
        <v>3874</v>
      </c>
      <c r="D1991" s="2" t="s">
        <v>3877</v>
      </c>
      <c r="E1991" s="3">
        <v>45422</v>
      </c>
      <c r="F1991" s="3">
        <v>45861</v>
      </c>
      <c r="G1991" s="2" t="s">
        <v>3886</v>
      </c>
      <c r="H1991" s="2">
        <v>856360</v>
      </c>
      <c r="I1991" s="2">
        <v>987867</v>
      </c>
      <c r="J1991" s="2" t="s">
        <v>3890</v>
      </c>
      <c r="K1991" s="2" t="s">
        <v>3893</v>
      </c>
      <c r="L1991" s="2">
        <v>2024</v>
      </c>
      <c r="M1991" s="2">
        <v>-131507</v>
      </c>
      <c r="N1991" s="2">
        <f xml:space="preserve"> (Table1[[#This Row],[Variance (USD)]] / Table1[[#This Row],[Actual Spending (USD)]]) * 100</f>
        <v>-13.312217130443674</v>
      </c>
      <c r="O1991" s="5" t="s">
        <v>3899</v>
      </c>
    </row>
    <row r="1992" spans="1:15" x14ac:dyDescent="0.25">
      <c r="A1992" s="4" t="s">
        <v>2005</v>
      </c>
      <c r="B1992" s="2" t="s">
        <v>3221</v>
      </c>
      <c r="C1992" s="2" t="s">
        <v>3874</v>
      </c>
      <c r="D1992" s="2" t="s">
        <v>3882</v>
      </c>
      <c r="E1992" s="3">
        <v>44950</v>
      </c>
      <c r="F1992" s="3">
        <v>45800</v>
      </c>
      <c r="G1992" s="2" t="s">
        <v>3886</v>
      </c>
      <c r="H1992" s="2">
        <v>257593</v>
      </c>
      <c r="I1992" s="2">
        <v>771277</v>
      </c>
      <c r="J1992" s="2" t="s">
        <v>3889</v>
      </c>
      <c r="K1992" s="2" t="s">
        <v>3896</v>
      </c>
      <c r="L1992" s="2">
        <v>2024</v>
      </c>
      <c r="M1992" s="2">
        <v>-513684</v>
      </c>
      <c r="N1992" s="2">
        <f xml:space="preserve"> (Table1[[#This Row],[Variance (USD)]] / Table1[[#This Row],[Actual Spending (USD)]]) * 100</f>
        <v>-66.601752677702038</v>
      </c>
      <c r="O1992" s="5" t="s">
        <v>3899</v>
      </c>
    </row>
    <row r="1993" spans="1:15" x14ac:dyDescent="0.25">
      <c r="A1993" s="4" t="s">
        <v>2006</v>
      </c>
      <c r="B1993" s="2" t="s">
        <v>3267</v>
      </c>
      <c r="C1993" s="2" t="s">
        <v>3869</v>
      </c>
      <c r="D1993" s="2" t="s">
        <v>3882</v>
      </c>
      <c r="E1993" s="3">
        <v>45035</v>
      </c>
      <c r="F1993" s="3">
        <v>45837</v>
      </c>
      <c r="G1993" s="2" t="s">
        <v>3886</v>
      </c>
      <c r="H1993" s="2">
        <v>351743</v>
      </c>
      <c r="I1993" s="2">
        <v>259701</v>
      </c>
      <c r="J1993" s="2" t="s">
        <v>3889</v>
      </c>
      <c r="K1993" s="2" t="s">
        <v>3893</v>
      </c>
      <c r="L1993" s="2">
        <v>2023</v>
      </c>
      <c r="M1993" s="2">
        <v>92042</v>
      </c>
      <c r="N1993" s="2">
        <f xml:space="preserve"> (Table1[[#This Row],[Variance (USD)]] / Table1[[#This Row],[Actual Spending (USD)]]) * 100</f>
        <v>35.441526986804057</v>
      </c>
      <c r="O1993" s="5" t="s">
        <v>3899</v>
      </c>
    </row>
    <row r="1994" spans="1:15" x14ac:dyDescent="0.25">
      <c r="A1994" s="4" t="s">
        <v>2007</v>
      </c>
      <c r="B1994" s="2" t="s">
        <v>3465</v>
      </c>
      <c r="C1994" s="2" t="s">
        <v>3872</v>
      </c>
      <c r="D1994" s="2" t="s">
        <v>3877</v>
      </c>
      <c r="E1994" s="3">
        <v>45629</v>
      </c>
      <c r="F1994" s="3">
        <v>45656</v>
      </c>
      <c r="G1994" s="2" t="s">
        <v>3884</v>
      </c>
      <c r="H1994" s="2">
        <v>459991</v>
      </c>
      <c r="I1994" s="2">
        <v>1036629</v>
      </c>
      <c r="J1994" s="2" t="s">
        <v>3892</v>
      </c>
      <c r="K1994" s="2" t="s">
        <v>3895</v>
      </c>
      <c r="L1994" s="2">
        <v>2023</v>
      </c>
      <c r="M1994" s="2">
        <v>-576638</v>
      </c>
      <c r="N1994" s="2">
        <f xml:space="preserve"> (Table1[[#This Row],[Variance (USD)]] / Table1[[#This Row],[Actual Spending (USD)]]) * 100</f>
        <v>-55.626265520258457</v>
      </c>
      <c r="O1994" s="5" t="s">
        <v>3897</v>
      </c>
    </row>
    <row r="1995" spans="1:15" x14ac:dyDescent="0.25">
      <c r="A1995" s="4" t="s">
        <v>2008</v>
      </c>
      <c r="B1995" s="2" t="s">
        <v>3383</v>
      </c>
      <c r="C1995" s="2" t="s">
        <v>3875</v>
      </c>
      <c r="D1995" s="2" t="s">
        <v>3876</v>
      </c>
      <c r="E1995" s="3">
        <v>45428</v>
      </c>
      <c r="F1995" s="3">
        <v>45838</v>
      </c>
      <c r="G1995" s="2" t="s">
        <v>3884</v>
      </c>
      <c r="H1995" s="2">
        <v>378648</v>
      </c>
      <c r="I1995" s="2">
        <v>162192</v>
      </c>
      <c r="J1995" s="2" t="s">
        <v>3892</v>
      </c>
      <c r="K1995" s="2" t="s">
        <v>3894</v>
      </c>
      <c r="L1995" s="2">
        <v>2023</v>
      </c>
      <c r="M1995" s="2">
        <v>216456</v>
      </c>
      <c r="N1995" s="2">
        <f xml:space="preserve"> (Table1[[#This Row],[Variance (USD)]] / Table1[[#This Row],[Actual Spending (USD)]]) * 100</f>
        <v>133.45664397750815</v>
      </c>
      <c r="O1995" s="5" t="s">
        <v>3897</v>
      </c>
    </row>
    <row r="1996" spans="1:15" x14ac:dyDescent="0.25">
      <c r="A1996" s="4" t="s">
        <v>2009</v>
      </c>
      <c r="B1996" s="2" t="s">
        <v>3346</v>
      </c>
      <c r="C1996" s="2" t="s">
        <v>3871</v>
      </c>
      <c r="D1996" s="2" t="s">
        <v>3880</v>
      </c>
      <c r="E1996" s="3">
        <v>44951</v>
      </c>
      <c r="F1996" s="3">
        <v>45562</v>
      </c>
      <c r="G1996" s="2" t="s">
        <v>3884</v>
      </c>
      <c r="H1996" s="2">
        <v>519134</v>
      </c>
      <c r="I1996" s="2">
        <v>963995</v>
      </c>
      <c r="J1996" s="2" t="s">
        <v>3892</v>
      </c>
      <c r="K1996" s="2" t="s">
        <v>3893</v>
      </c>
      <c r="L1996" s="2">
        <v>2023</v>
      </c>
      <c r="M1996" s="2">
        <v>-444861</v>
      </c>
      <c r="N1996" s="2">
        <f xml:space="preserve"> (Table1[[#This Row],[Variance (USD)]] / Table1[[#This Row],[Actual Spending (USD)]]) * 100</f>
        <v>-46.147645994014489</v>
      </c>
      <c r="O1996" s="5" t="s">
        <v>3897</v>
      </c>
    </row>
    <row r="1997" spans="1:15" x14ac:dyDescent="0.25">
      <c r="A1997" s="4" t="s">
        <v>2010</v>
      </c>
      <c r="B1997" s="2" t="s">
        <v>3804</v>
      </c>
      <c r="C1997" s="2" t="s">
        <v>3874</v>
      </c>
      <c r="D1997" s="2" t="s">
        <v>3881</v>
      </c>
      <c r="E1997" s="3">
        <v>45113</v>
      </c>
      <c r="F1997" s="3">
        <v>45765</v>
      </c>
      <c r="G1997" s="2" t="s">
        <v>3885</v>
      </c>
      <c r="H1997" s="2">
        <v>120687</v>
      </c>
      <c r="I1997" s="2">
        <v>1122214</v>
      </c>
      <c r="J1997" s="2" t="s">
        <v>3889</v>
      </c>
      <c r="K1997" s="2" t="s">
        <v>3893</v>
      </c>
      <c r="L1997" s="2">
        <v>2024</v>
      </c>
      <c r="M1997" s="2">
        <v>-1001527</v>
      </c>
      <c r="N1997" s="2">
        <f xml:space="preserve"> (Table1[[#This Row],[Variance (USD)]] / Table1[[#This Row],[Actual Spending (USD)]]) * 100</f>
        <v>-89.24563407692294</v>
      </c>
      <c r="O1997" s="5" t="s">
        <v>3898</v>
      </c>
    </row>
    <row r="1998" spans="1:15" x14ac:dyDescent="0.25">
      <c r="A1998" s="4" t="s">
        <v>2011</v>
      </c>
      <c r="B1998" s="2" t="s">
        <v>3657</v>
      </c>
      <c r="C1998" s="2" t="s">
        <v>3875</v>
      </c>
      <c r="D1998" s="2" t="s">
        <v>3882</v>
      </c>
      <c r="E1998" s="3">
        <v>45214</v>
      </c>
      <c r="F1998" s="3">
        <v>45828</v>
      </c>
      <c r="G1998" s="2" t="s">
        <v>3884</v>
      </c>
      <c r="H1998" s="2">
        <v>470020</v>
      </c>
      <c r="I1998" s="2">
        <v>1036648</v>
      </c>
      <c r="J1998" s="2" t="s">
        <v>3888</v>
      </c>
      <c r="K1998" s="2" t="s">
        <v>3893</v>
      </c>
      <c r="L1998" s="2">
        <v>2025</v>
      </c>
      <c r="M1998" s="2">
        <v>-566628</v>
      </c>
      <c r="N1998" s="2">
        <f xml:space="preserve"> (Table1[[#This Row],[Variance (USD)]] / Table1[[#This Row],[Actual Spending (USD)]]) * 100</f>
        <v>-54.659633742601152</v>
      </c>
      <c r="O1998" s="5" t="s">
        <v>3897</v>
      </c>
    </row>
    <row r="1999" spans="1:15" x14ac:dyDescent="0.25">
      <c r="A1999" s="4" t="s">
        <v>2012</v>
      </c>
      <c r="B1999" s="2" t="s">
        <v>3773</v>
      </c>
      <c r="C1999" s="2" t="s">
        <v>3869</v>
      </c>
      <c r="D1999" s="2" t="s">
        <v>3881</v>
      </c>
      <c r="E1999" s="3">
        <v>45554</v>
      </c>
      <c r="F1999" s="3">
        <v>45525</v>
      </c>
      <c r="G1999" s="2" t="s">
        <v>3884</v>
      </c>
      <c r="H1999" s="2">
        <v>945554</v>
      </c>
      <c r="I1999" s="2">
        <v>1093789</v>
      </c>
      <c r="J1999" s="2" t="s">
        <v>3888</v>
      </c>
      <c r="K1999" s="2" t="s">
        <v>3893</v>
      </c>
      <c r="L1999" s="2">
        <v>2023</v>
      </c>
      <c r="M1999" s="2">
        <v>-148235</v>
      </c>
      <c r="N1999" s="2">
        <f xml:space="preserve"> (Table1[[#This Row],[Variance (USD)]] / Table1[[#This Row],[Actual Spending (USD)]]) * 100</f>
        <v>-13.552431044744463</v>
      </c>
      <c r="O1999" s="5" t="s">
        <v>3897</v>
      </c>
    </row>
    <row r="2000" spans="1:15" x14ac:dyDescent="0.25">
      <c r="A2000" s="4" t="s">
        <v>2013</v>
      </c>
      <c r="B2000" s="2" t="s">
        <v>3657</v>
      </c>
      <c r="C2000" s="2" t="s">
        <v>3868</v>
      </c>
      <c r="D2000" s="2" t="s">
        <v>3877</v>
      </c>
      <c r="E2000" s="3">
        <v>45264</v>
      </c>
      <c r="F2000" s="3">
        <v>45350</v>
      </c>
      <c r="G2000" s="2" t="s">
        <v>3886</v>
      </c>
      <c r="H2000" s="2">
        <v>737619</v>
      </c>
      <c r="I2000" s="2">
        <v>371910</v>
      </c>
      <c r="J2000" s="2" t="s">
        <v>3891</v>
      </c>
      <c r="K2000" s="2" t="s">
        <v>3896</v>
      </c>
      <c r="L2000" s="2">
        <v>2025</v>
      </c>
      <c r="M2000" s="2">
        <v>365709</v>
      </c>
      <c r="N2000" s="2">
        <f xml:space="preserve"> (Table1[[#This Row],[Variance (USD)]] / Table1[[#This Row],[Actual Spending (USD)]]) * 100</f>
        <v>98.332661127692191</v>
      </c>
      <c r="O2000" s="5" t="s">
        <v>3899</v>
      </c>
    </row>
    <row r="2001" spans="1:15" x14ac:dyDescent="0.25">
      <c r="A2001" s="4" t="s">
        <v>2014</v>
      </c>
      <c r="B2001" s="2" t="s">
        <v>3601</v>
      </c>
      <c r="C2001" s="2" t="s">
        <v>3869</v>
      </c>
      <c r="D2001" s="2" t="s">
        <v>3881</v>
      </c>
      <c r="E2001" s="3">
        <v>44963</v>
      </c>
      <c r="F2001" s="3">
        <v>45542</v>
      </c>
      <c r="G2001" s="2" t="s">
        <v>3884</v>
      </c>
      <c r="H2001" s="2">
        <v>831085</v>
      </c>
      <c r="I2001" s="2">
        <v>695400</v>
      </c>
      <c r="J2001" s="2" t="s">
        <v>3889</v>
      </c>
      <c r="K2001" s="2" t="s">
        <v>3894</v>
      </c>
      <c r="L2001" s="2">
        <v>2024</v>
      </c>
      <c r="M2001" s="2">
        <v>135685</v>
      </c>
      <c r="N2001" s="2">
        <f xml:space="preserve"> (Table1[[#This Row],[Variance (USD)]] / Table1[[#This Row],[Actual Spending (USD)]]) * 100</f>
        <v>19.511791774518265</v>
      </c>
      <c r="O2001" s="5" t="s">
        <v>3897</v>
      </c>
    </row>
    <row r="2002" spans="1:15" x14ac:dyDescent="0.25">
      <c r="A2002" s="4" t="s">
        <v>2015</v>
      </c>
      <c r="B2002" s="2" t="s">
        <v>3118</v>
      </c>
      <c r="C2002" s="2" t="s">
        <v>3873</v>
      </c>
      <c r="D2002" s="2" t="s">
        <v>3883</v>
      </c>
      <c r="E2002" s="3">
        <v>45063</v>
      </c>
      <c r="F2002" s="3">
        <v>45377</v>
      </c>
      <c r="G2002" s="2" t="s">
        <v>3885</v>
      </c>
      <c r="H2002" s="2">
        <v>660572</v>
      </c>
      <c r="I2002" s="2">
        <v>751662</v>
      </c>
      <c r="J2002" s="2" t="s">
        <v>3892</v>
      </c>
      <c r="K2002" s="2" t="s">
        <v>3894</v>
      </c>
      <c r="L2002" s="2">
        <v>2023</v>
      </c>
      <c r="M2002" s="2">
        <v>-91090</v>
      </c>
      <c r="N2002" s="2">
        <f xml:space="preserve"> (Table1[[#This Row],[Variance (USD)]] / Table1[[#This Row],[Actual Spending (USD)]]) * 100</f>
        <v>-12.11847878434722</v>
      </c>
      <c r="O2002" s="5" t="s">
        <v>3898</v>
      </c>
    </row>
    <row r="2003" spans="1:15" x14ac:dyDescent="0.25">
      <c r="A2003" s="4" t="s">
        <v>2016</v>
      </c>
      <c r="B2003" s="2" t="s">
        <v>3145</v>
      </c>
      <c r="C2003" s="2" t="s">
        <v>3873</v>
      </c>
      <c r="D2003" s="2" t="s">
        <v>3876</v>
      </c>
      <c r="E2003" s="3">
        <v>45434</v>
      </c>
      <c r="F2003" s="3">
        <v>45681</v>
      </c>
      <c r="G2003" s="2" t="s">
        <v>3885</v>
      </c>
      <c r="H2003" s="2">
        <v>135227</v>
      </c>
      <c r="I2003" s="2">
        <v>797360</v>
      </c>
      <c r="J2003" s="2" t="s">
        <v>3889</v>
      </c>
      <c r="K2003" s="2" t="s">
        <v>3893</v>
      </c>
      <c r="L2003" s="2">
        <v>2024</v>
      </c>
      <c r="M2003" s="2">
        <v>-662133</v>
      </c>
      <c r="N2003" s="2">
        <f xml:space="preserve"> (Table1[[#This Row],[Variance (USD)]] / Table1[[#This Row],[Actual Spending (USD)]]) * 100</f>
        <v>-83.040659175278421</v>
      </c>
      <c r="O2003" s="5" t="s">
        <v>3898</v>
      </c>
    </row>
    <row r="2004" spans="1:15" x14ac:dyDescent="0.25">
      <c r="A2004" s="4" t="s">
        <v>2017</v>
      </c>
      <c r="B2004" s="2" t="s">
        <v>3805</v>
      </c>
      <c r="C2004" s="2" t="s">
        <v>3871</v>
      </c>
      <c r="D2004" s="2" t="s">
        <v>3879</v>
      </c>
      <c r="E2004" s="3">
        <v>45153</v>
      </c>
      <c r="F2004" s="3">
        <v>45471</v>
      </c>
      <c r="G2004" s="2" t="s">
        <v>3884</v>
      </c>
      <c r="H2004" s="2">
        <v>147556</v>
      </c>
      <c r="I2004" s="2">
        <v>802354</v>
      </c>
      <c r="J2004" s="2" t="s">
        <v>3888</v>
      </c>
      <c r="K2004" s="2" t="s">
        <v>3894</v>
      </c>
      <c r="L2004" s="2">
        <v>2023</v>
      </c>
      <c r="M2004" s="2">
        <v>-654798</v>
      </c>
      <c r="N2004" s="2">
        <f xml:space="preserve"> (Table1[[#This Row],[Variance (USD)]] / Table1[[#This Row],[Actual Spending (USD)]]) * 100</f>
        <v>-81.609613711653466</v>
      </c>
      <c r="O2004" s="5" t="s">
        <v>3897</v>
      </c>
    </row>
    <row r="2005" spans="1:15" x14ac:dyDescent="0.25">
      <c r="A2005" s="4" t="s">
        <v>2018</v>
      </c>
      <c r="B2005" s="2" t="s">
        <v>3635</v>
      </c>
      <c r="C2005" s="2" t="s">
        <v>3869</v>
      </c>
      <c r="D2005" s="2" t="s">
        <v>3876</v>
      </c>
      <c r="E2005" s="3">
        <v>45246</v>
      </c>
      <c r="F2005" s="3">
        <v>46010</v>
      </c>
      <c r="G2005" s="2" t="s">
        <v>3884</v>
      </c>
      <c r="H2005" s="2">
        <v>617848</v>
      </c>
      <c r="I2005" s="2">
        <v>244480</v>
      </c>
      <c r="J2005" s="2" t="s">
        <v>3888</v>
      </c>
      <c r="K2005" s="2" t="s">
        <v>3893</v>
      </c>
      <c r="L2005" s="2">
        <v>2023</v>
      </c>
      <c r="M2005" s="2">
        <v>373368</v>
      </c>
      <c r="N2005" s="2">
        <f xml:space="preserve"> (Table1[[#This Row],[Variance (USD)]] / Table1[[#This Row],[Actual Spending (USD)]]) * 100</f>
        <v>152.71924083769633</v>
      </c>
      <c r="O2005" s="5" t="s">
        <v>3897</v>
      </c>
    </row>
    <row r="2006" spans="1:15" x14ac:dyDescent="0.25">
      <c r="A2006" s="4" t="s">
        <v>2019</v>
      </c>
      <c r="B2006" s="2" t="s">
        <v>3270</v>
      </c>
      <c r="C2006" s="2" t="s">
        <v>3870</v>
      </c>
      <c r="D2006" s="2" t="s">
        <v>3878</v>
      </c>
      <c r="E2006" s="3">
        <v>45108</v>
      </c>
      <c r="F2006" s="3">
        <v>45440</v>
      </c>
      <c r="G2006" s="2" t="s">
        <v>3884</v>
      </c>
      <c r="H2006" s="2">
        <v>339400</v>
      </c>
      <c r="I2006" s="2">
        <v>762654</v>
      </c>
      <c r="J2006" s="2" t="s">
        <v>3890</v>
      </c>
      <c r="K2006" s="2" t="s">
        <v>3895</v>
      </c>
      <c r="L2006" s="2">
        <v>2025</v>
      </c>
      <c r="M2006" s="2">
        <v>-423254</v>
      </c>
      <c r="N2006" s="2">
        <f xml:space="preserve"> (Table1[[#This Row],[Variance (USD)]] / Table1[[#This Row],[Actual Spending (USD)]]) * 100</f>
        <v>-55.49751263351402</v>
      </c>
      <c r="O2006" s="5" t="s">
        <v>3897</v>
      </c>
    </row>
    <row r="2007" spans="1:15" x14ac:dyDescent="0.25">
      <c r="A2007" s="4" t="s">
        <v>2020</v>
      </c>
      <c r="B2007" s="2" t="s">
        <v>3446</v>
      </c>
      <c r="C2007" s="2" t="s">
        <v>3871</v>
      </c>
      <c r="D2007" s="2" t="s">
        <v>3880</v>
      </c>
      <c r="E2007" s="3">
        <v>45012</v>
      </c>
      <c r="F2007" s="3">
        <v>45874</v>
      </c>
      <c r="G2007" s="2" t="s">
        <v>3886</v>
      </c>
      <c r="H2007" s="2">
        <v>580413</v>
      </c>
      <c r="I2007" s="2">
        <v>441973</v>
      </c>
      <c r="J2007" s="2" t="s">
        <v>3890</v>
      </c>
      <c r="K2007" s="2" t="s">
        <v>3895</v>
      </c>
      <c r="L2007" s="2">
        <v>2024</v>
      </c>
      <c r="M2007" s="2">
        <v>138440</v>
      </c>
      <c r="N2007" s="2">
        <f xml:space="preserve"> (Table1[[#This Row],[Variance (USD)]] / Table1[[#This Row],[Actual Spending (USD)]]) * 100</f>
        <v>31.323180375271793</v>
      </c>
      <c r="O2007" s="5" t="s">
        <v>3899</v>
      </c>
    </row>
    <row r="2008" spans="1:15" x14ac:dyDescent="0.25">
      <c r="A2008" s="4" t="s">
        <v>2021</v>
      </c>
      <c r="B2008" s="2" t="s">
        <v>3454</v>
      </c>
      <c r="C2008" s="2" t="s">
        <v>3870</v>
      </c>
      <c r="D2008" s="2" t="s">
        <v>3880</v>
      </c>
      <c r="E2008" s="3">
        <v>45393</v>
      </c>
      <c r="F2008" s="3">
        <v>45412</v>
      </c>
      <c r="G2008" s="2" t="s">
        <v>3884</v>
      </c>
      <c r="H2008" s="2">
        <v>578658</v>
      </c>
      <c r="I2008" s="2">
        <v>541213</v>
      </c>
      <c r="J2008" s="2" t="s">
        <v>3891</v>
      </c>
      <c r="K2008" s="2" t="s">
        <v>3895</v>
      </c>
      <c r="L2008" s="2">
        <v>2024</v>
      </c>
      <c r="M2008" s="2">
        <v>37445</v>
      </c>
      <c r="N2008" s="2">
        <f xml:space="preserve"> (Table1[[#This Row],[Variance (USD)]] / Table1[[#This Row],[Actual Spending (USD)]]) * 100</f>
        <v>6.9187177691592776</v>
      </c>
      <c r="O2008" s="5" t="s">
        <v>3897</v>
      </c>
    </row>
    <row r="2009" spans="1:15" x14ac:dyDescent="0.25">
      <c r="A2009" s="4" t="s">
        <v>2022</v>
      </c>
      <c r="B2009" s="2" t="s">
        <v>3084</v>
      </c>
      <c r="C2009" s="2" t="s">
        <v>3871</v>
      </c>
      <c r="D2009" s="2" t="s">
        <v>3876</v>
      </c>
      <c r="E2009" s="3">
        <v>44979</v>
      </c>
      <c r="F2009" s="3">
        <v>45896</v>
      </c>
      <c r="G2009" s="2" t="s">
        <v>3886</v>
      </c>
      <c r="H2009" s="2">
        <v>54838</v>
      </c>
      <c r="I2009" s="2">
        <v>544738</v>
      </c>
      <c r="J2009" s="2" t="s">
        <v>3889</v>
      </c>
      <c r="K2009" s="2" t="s">
        <v>3894</v>
      </c>
      <c r="L2009" s="2">
        <v>2024</v>
      </c>
      <c r="M2009" s="2">
        <v>-489900</v>
      </c>
      <c r="N2009" s="2">
        <f xml:space="preserve"> (Table1[[#This Row],[Variance (USD)]] / Table1[[#This Row],[Actual Spending (USD)]]) * 100</f>
        <v>-89.933142171098766</v>
      </c>
      <c r="O2009" s="5" t="s">
        <v>3899</v>
      </c>
    </row>
    <row r="2010" spans="1:15" x14ac:dyDescent="0.25">
      <c r="A2010" s="4" t="s">
        <v>2023</v>
      </c>
      <c r="B2010" s="2" t="s">
        <v>3806</v>
      </c>
      <c r="C2010" s="2" t="s">
        <v>3873</v>
      </c>
      <c r="D2010" s="2" t="s">
        <v>3877</v>
      </c>
      <c r="E2010" s="3">
        <v>45161</v>
      </c>
      <c r="F2010" s="3">
        <v>45547</v>
      </c>
      <c r="G2010" s="2" t="s">
        <v>3886</v>
      </c>
      <c r="H2010" s="2">
        <v>164479</v>
      </c>
      <c r="I2010" s="2">
        <v>445335</v>
      </c>
      <c r="J2010" s="2" t="s">
        <v>3890</v>
      </c>
      <c r="K2010" s="2" t="s">
        <v>3893</v>
      </c>
      <c r="L2010" s="2">
        <v>2025</v>
      </c>
      <c r="M2010" s="2">
        <v>-280856</v>
      </c>
      <c r="N2010" s="2">
        <f xml:space="preserve"> (Table1[[#This Row],[Variance (USD)]] / Table1[[#This Row],[Actual Spending (USD)]]) * 100</f>
        <v>-63.066231039554488</v>
      </c>
      <c r="O2010" s="5" t="s">
        <v>3899</v>
      </c>
    </row>
    <row r="2011" spans="1:15" x14ac:dyDescent="0.25">
      <c r="A2011" s="4" t="s">
        <v>2024</v>
      </c>
      <c r="B2011" s="2" t="s">
        <v>3778</v>
      </c>
      <c r="C2011" s="2" t="s">
        <v>3871</v>
      </c>
      <c r="D2011" s="2" t="s">
        <v>3877</v>
      </c>
      <c r="E2011" s="3">
        <v>45359</v>
      </c>
      <c r="F2011" s="3">
        <v>45600</v>
      </c>
      <c r="G2011" s="2" t="s">
        <v>3884</v>
      </c>
      <c r="H2011" s="2">
        <v>107429</v>
      </c>
      <c r="I2011" s="2">
        <v>368663</v>
      </c>
      <c r="J2011" s="2" t="s">
        <v>3890</v>
      </c>
      <c r="K2011" s="2" t="s">
        <v>3896</v>
      </c>
      <c r="L2011" s="2">
        <v>2025</v>
      </c>
      <c r="M2011" s="2">
        <v>-261234</v>
      </c>
      <c r="N2011" s="2">
        <f xml:space="preserve"> (Table1[[#This Row],[Variance (USD)]] / Table1[[#This Row],[Actual Spending (USD)]]) * 100</f>
        <v>-70.85983676148679</v>
      </c>
      <c r="O2011" s="5" t="s">
        <v>3897</v>
      </c>
    </row>
    <row r="2012" spans="1:15" x14ac:dyDescent="0.25">
      <c r="A2012" s="4" t="s">
        <v>2025</v>
      </c>
      <c r="B2012" s="2" t="s">
        <v>3778</v>
      </c>
      <c r="C2012" s="2" t="s">
        <v>3873</v>
      </c>
      <c r="D2012" s="2" t="s">
        <v>3883</v>
      </c>
      <c r="E2012" s="3">
        <v>45422</v>
      </c>
      <c r="F2012" s="3">
        <v>45350</v>
      </c>
      <c r="G2012" s="2" t="s">
        <v>3884</v>
      </c>
      <c r="H2012" s="2">
        <v>970638</v>
      </c>
      <c r="I2012" s="2">
        <v>715359</v>
      </c>
      <c r="J2012" s="2" t="s">
        <v>3889</v>
      </c>
      <c r="K2012" s="2" t="s">
        <v>3896</v>
      </c>
      <c r="L2012" s="2">
        <v>2024</v>
      </c>
      <c r="M2012" s="2">
        <v>255279</v>
      </c>
      <c r="N2012" s="2">
        <f xml:space="preserve"> (Table1[[#This Row],[Variance (USD)]] / Table1[[#This Row],[Actual Spending (USD)]]) * 100</f>
        <v>35.685439059269541</v>
      </c>
      <c r="O2012" s="5" t="s">
        <v>3897</v>
      </c>
    </row>
    <row r="2013" spans="1:15" x14ac:dyDescent="0.25">
      <c r="A2013" s="4" t="s">
        <v>2026</v>
      </c>
      <c r="B2013" s="2" t="s">
        <v>3109</v>
      </c>
      <c r="C2013" s="2" t="s">
        <v>3874</v>
      </c>
      <c r="D2013" s="2" t="s">
        <v>3883</v>
      </c>
      <c r="E2013" s="3">
        <v>45026</v>
      </c>
      <c r="F2013" s="3">
        <v>45360</v>
      </c>
      <c r="G2013" s="2" t="s">
        <v>3886</v>
      </c>
      <c r="H2013" s="2">
        <v>816355</v>
      </c>
      <c r="I2013" s="2">
        <v>987262</v>
      </c>
      <c r="J2013" s="2" t="s">
        <v>3888</v>
      </c>
      <c r="K2013" s="2" t="s">
        <v>3895</v>
      </c>
      <c r="L2013" s="2">
        <v>2024</v>
      </c>
      <c r="M2013" s="2">
        <v>-170907</v>
      </c>
      <c r="N2013" s="2">
        <f xml:space="preserve"> (Table1[[#This Row],[Variance (USD)]] / Table1[[#This Row],[Actual Spending (USD)]]) * 100</f>
        <v>-17.311210195469894</v>
      </c>
      <c r="O2013" s="5" t="s">
        <v>3899</v>
      </c>
    </row>
    <row r="2014" spans="1:15" x14ac:dyDescent="0.25">
      <c r="A2014" s="4" t="s">
        <v>2027</v>
      </c>
      <c r="B2014" s="2" t="s">
        <v>3312</v>
      </c>
      <c r="C2014" s="2" t="s">
        <v>3868</v>
      </c>
      <c r="D2014" s="2" t="s">
        <v>3880</v>
      </c>
      <c r="E2014" s="3">
        <v>45525</v>
      </c>
      <c r="F2014" s="3">
        <v>45737</v>
      </c>
      <c r="G2014" s="2" t="s">
        <v>3884</v>
      </c>
      <c r="H2014" s="2">
        <v>617487</v>
      </c>
      <c r="I2014" s="2">
        <v>910756</v>
      </c>
      <c r="J2014" s="2" t="s">
        <v>3891</v>
      </c>
      <c r="K2014" s="2" t="s">
        <v>3895</v>
      </c>
      <c r="L2014" s="2">
        <v>2023</v>
      </c>
      <c r="M2014" s="2">
        <v>-293269</v>
      </c>
      <c r="N2014" s="2">
        <f xml:space="preserve"> (Table1[[#This Row],[Variance (USD)]] / Table1[[#This Row],[Actual Spending (USD)]]) * 100</f>
        <v>-32.2006113602326</v>
      </c>
      <c r="O2014" s="5" t="s">
        <v>3897</v>
      </c>
    </row>
    <row r="2015" spans="1:15" x14ac:dyDescent="0.25">
      <c r="A2015" s="4" t="s">
        <v>2028</v>
      </c>
      <c r="B2015" s="2" t="s">
        <v>3785</v>
      </c>
      <c r="C2015" s="2" t="s">
        <v>3870</v>
      </c>
      <c r="D2015" s="2" t="s">
        <v>3883</v>
      </c>
      <c r="E2015" s="3">
        <v>45329</v>
      </c>
      <c r="F2015" s="3">
        <v>45679</v>
      </c>
      <c r="G2015" s="2" t="s">
        <v>3885</v>
      </c>
      <c r="H2015" s="2">
        <v>651380</v>
      </c>
      <c r="I2015" s="2">
        <v>492735</v>
      </c>
      <c r="J2015" s="2" t="s">
        <v>3891</v>
      </c>
      <c r="K2015" s="2" t="s">
        <v>3894</v>
      </c>
      <c r="L2015" s="2">
        <v>2023</v>
      </c>
      <c r="M2015" s="2">
        <v>158645</v>
      </c>
      <c r="N2015" s="2">
        <f xml:space="preserve"> (Table1[[#This Row],[Variance (USD)]] / Table1[[#This Row],[Actual Spending (USD)]]) * 100</f>
        <v>32.196819791571535</v>
      </c>
      <c r="O2015" s="5" t="s">
        <v>3898</v>
      </c>
    </row>
    <row r="2016" spans="1:15" x14ac:dyDescent="0.25">
      <c r="A2016" s="4" t="s">
        <v>2029</v>
      </c>
      <c r="B2016" s="2" t="s">
        <v>3641</v>
      </c>
      <c r="C2016" s="2" t="s">
        <v>3869</v>
      </c>
      <c r="D2016" s="2" t="s">
        <v>3882</v>
      </c>
      <c r="E2016" s="3">
        <v>45322</v>
      </c>
      <c r="F2016" s="3">
        <v>45377</v>
      </c>
      <c r="G2016" s="2" t="s">
        <v>3884</v>
      </c>
      <c r="H2016" s="2">
        <v>437069</v>
      </c>
      <c r="I2016" s="2">
        <v>293648</v>
      </c>
      <c r="J2016" s="2" t="s">
        <v>3891</v>
      </c>
      <c r="K2016" s="2" t="s">
        <v>3896</v>
      </c>
      <c r="L2016" s="2">
        <v>2025</v>
      </c>
      <c r="M2016" s="2">
        <v>143421</v>
      </c>
      <c r="N2016" s="2">
        <f xml:space="preserve"> (Table1[[#This Row],[Variance (USD)]] / Table1[[#This Row],[Actual Spending (USD)]]) * 100</f>
        <v>48.841129515610525</v>
      </c>
      <c r="O2016" s="5" t="s">
        <v>3897</v>
      </c>
    </row>
    <row r="2017" spans="1:15" x14ac:dyDescent="0.25">
      <c r="A2017" s="4" t="s">
        <v>2030</v>
      </c>
      <c r="B2017" s="2" t="s">
        <v>3201</v>
      </c>
      <c r="C2017" s="2" t="s">
        <v>3874</v>
      </c>
      <c r="D2017" s="2" t="s">
        <v>3882</v>
      </c>
      <c r="E2017" s="3">
        <v>45453</v>
      </c>
      <c r="F2017" s="3">
        <v>45518</v>
      </c>
      <c r="G2017" s="2" t="s">
        <v>3886</v>
      </c>
      <c r="H2017" s="2">
        <v>739182</v>
      </c>
      <c r="I2017" s="2">
        <v>1068985</v>
      </c>
      <c r="J2017" s="2" t="s">
        <v>3890</v>
      </c>
      <c r="K2017" s="2" t="s">
        <v>3894</v>
      </c>
      <c r="L2017" s="2">
        <v>2023</v>
      </c>
      <c r="M2017" s="2">
        <v>-329803</v>
      </c>
      <c r="N2017" s="2">
        <f xml:space="preserve"> (Table1[[#This Row],[Variance (USD)]] / Table1[[#This Row],[Actual Spending (USD)]]) * 100</f>
        <v>-30.851976407526767</v>
      </c>
      <c r="O2017" s="5" t="s">
        <v>3899</v>
      </c>
    </row>
    <row r="2018" spans="1:15" x14ac:dyDescent="0.25">
      <c r="A2018" s="4" t="s">
        <v>2031</v>
      </c>
      <c r="B2018" s="2" t="s">
        <v>3807</v>
      </c>
      <c r="C2018" s="2" t="s">
        <v>3874</v>
      </c>
      <c r="D2018" s="2" t="s">
        <v>3879</v>
      </c>
      <c r="E2018" s="3">
        <v>45341</v>
      </c>
      <c r="F2018" s="3">
        <v>45884</v>
      </c>
      <c r="G2018" s="2" t="s">
        <v>3885</v>
      </c>
      <c r="H2018" s="2">
        <v>798873</v>
      </c>
      <c r="I2018" s="2">
        <v>360130</v>
      </c>
      <c r="J2018" s="2" t="s">
        <v>3888</v>
      </c>
      <c r="K2018" s="2" t="s">
        <v>3895</v>
      </c>
      <c r="L2018" s="2">
        <v>2024</v>
      </c>
      <c r="M2018" s="2">
        <v>438743</v>
      </c>
      <c r="N2018" s="2">
        <f xml:space="preserve"> (Table1[[#This Row],[Variance (USD)]] / Table1[[#This Row],[Actual Spending (USD)]]) * 100</f>
        <v>121.82906172770944</v>
      </c>
      <c r="O2018" s="5" t="s">
        <v>3898</v>
      </c>
    </row>
    <row r="2019" spans="1:15" x14ac:dyDescent="0.25">
      <c r="A2019" s="4" t="s">
        <v>2032</v>
      </c>
      <c r="B2019" s="2" t="s">
        <v>3502</v>
      </c>
      <c r="C2019" s="2" t="s">
        <v>3871</v>
      </c>
      <c r="D2019" s="2" t="s">
        <v>3883</v>
      </c>
      <c r="E2019" s="3">
        <v>45539</v>
      </c>
      <c r="F2019" s="3">
        <v>45917</v>
      </c>
      <c r="G2019" s="2" t="s">
        <v>3885</v>
      </c>
      <c r="H2019" s="2">
        <v>856545</v>
      </c>
      <c r="I2019" s="2">
        <v>499988</v>
      </c>
      <c r="J2019" s="2" t="s">
        <v>3891</v>
      </c>
      <c r="K2019" s="2" t="s">
        <v>3893</v>
      </c>
      <c r="L2019" s="2">
        <v>2024</v>
      </c>
      <c r="M2019" s="2">
        <v>356557</v>
      </c>
      <c r="N2019" s="2">
        <f xml:space="preserve"> (Table1[[#This Row],[Variance (USD)]] / Table1[[#This Row],[Actual Spending (USD)]]) * 100</f>
        <v>71.313111514676351</v>
      </c>
      <c r="O2019" s="5" t="s">
        <v>3898</v>
      </c>
    </row>
    <row r="2020" spans="1:15" x14ac:dyDescent="0.25">
      <c r="A2020" s="4" t="s">
        <v>2033</v>
      </c>
      <c r="B2020" s="2" t="s">
        <v>3515</v>
      </c>
      <c r="C2020" s="2" t="s">
        <v>3873</v>
      </c>
      <c r="D2020" s="2" t="s">
        <v>3879</v>
      </c>
      <c r="E2020" s="3">
        <v>45603</v>
      </c>
      <c r="F2020" s="3">
        <v>45475</v>
      </c>
      <c r="G2020" s="2" t="s">
        <v>3884</v>
      </c>
      <c r="H2020" s="2">
        <v>768954</v>
      </c>
      <c r="I2020" s="2">
        <v>933153</v>
      </c>
      <c r="J2020" s="2" t="s">
        <v>3889</v>
      </c>
      <c r="K2020" s="2" t="s">
        <v>3893</v>
      </c>
      <c r="L2020" s="2">
        <v>2023</v>
      </c>
      <c r="M2020" s="2">
        <v>-164199</v>
      </c>
      <c r="N2020" s="2">
        <f xml:space="preserve"> (Table1[[#This Row],[Variance (USD)]] / Table1[[#This Row],[Actual Spending (USD)]]) * 100</f>
        <v>-17.596149827520247</v>
      </c>
      <c r="O2020" s="5" t="s">
        <v>3897</v>
      </c>
    </row>
    <row r="2021" spans="1:15" x14ac:dyDescent="0.25">
      <c r="A2021" s="4" t="s">
        <v>2034</v>
      </c>
      <c r="B2021" s="2" t="s">
        <v>3707</v>
      </c>
      <c r="C2021" s="2" t="s">
        <v>3875</v>
      </c>
      <c r="D2021" s="2" t="s">
        <v>3883</v>
      </c>
      <c r="E2021" s="3">
        <v>45389</v>
      </c>
      <c r="F2021" s="3">
        <v>45613</v>
      </c>
      <c r="G2021" s="2" t="s">
        <v>3884</v>
      </c>
      <c r="H2021" s="2">
        <v>670390</v>
      </c>
      <c r="I2021" s="2">
        <v>105427</v>
      </c>
      <c r="J2021" s="2" t="s">
        <v>3891</v>
      </c>
      <c r="K2021" s="2" t="s">
        <v>3893</v>
      </c>
      <c r="L2021" s="2">
        <v>2023</v>
      </c>
      <c r="M2021" s="2">
        <v>564963</v>
      </c>
      <c r="N2021" s="2">
        <f xml:space="preserve"> (Table1[[#This Row],[Variance (USD)]] / Table1[[#This Row],[Actual Spending (USD)]]) * 100</f>
        <v>535.88075161011886</v>
      </c>
      <c r="O2021" s="5" t="s">
        <v>3897</v>
      </c>
    </row>
    <row r="2022" spans="1:15" x14ac:dyDescent="0.25">
      <c r="A2022" s="4" t="s">
        <v>2035</v>
      </c>
      <c r="B2022" s="2" t="s">
        <v>3344</v>
      </c>
      <c r="C2022" s="2" t="s">
        <v>3870</v>
      </c>
      <c r="D2022" s="2" t="s">
        <v>3880</v>
      </c>
      <c r="E2022" s="3">
        <v>45467</v>
      </c>
      <c r="F2022" s="3">
        <v>45609</v>
      </c>
      <c r="G2022" s="2" t="s">
        <v>3886</v>
      </c>
      <c r="H2022" s="2">
        <v>314813</v>
      </c>
      <c r="I2022" s="2">
        <v>43898</v>
      </c>
      <c r="J2022" s="2" t="s">
        <v>3892</v>
      </c>
      <c r="K2022" s="2" t="s">
        <v>3895</v>
      </c>
      <c r="L2022" s="2">
        <v>2025</v>
      </c>
      <c r="M2022" s="2">
        <v>270915</v>
      </c>
      <c r="N2022" s="2">
        <f xml:space="preserve"> (Table1[[#This Row],[Variance (USD)]] / Table1[[#This Row],[Actual Spending (USD)]]) * 100</f>
        <v>617.14656704177867</v>
      </c>
      <c r="O2022" s="5" t="s">
        <v>3899</v>
      </c>
    </row>
    <row r="2023" spans="1:15" x14ac:dyDescent="0.25">
      <c r="A2023" s="4" t="s">
        <v>2036</v>
      </c>
      <c r="B2023" s="2" t="s">
        <v>3618</v>
      </c>
      <c r="C2023" s="2" t="s">
        <v>3874</v>
      </c>
      <c r="D2023" s="2" t="s">
        <v>3880</v>
      </c>
      <c r="E2023" s="3">
        <v>45552</v>
      </c>
      <c r="F2023" s="3">
        <v>45857</v>
      </c>
      <c r="G2023" s="2" t="s">
        <v>3884</v>
      </c>
      <c r="H2023" s="2">
        <v>230499</v>
      </c>
      <c r="I2023" s="2">
        <v>957976</v>
      </c>
      <c r="J2023" s="2" t="s">
        <v>3888</v>
      </c>
      <c r="K2023" s="2" t="s">
        <v>3894</v>
      </c>
      <c r="L2023" s="2">
        <v>2023</v>
      </c>
      <c r="M2023" s="2">
        <v>-727477</v>
      </c>
      <c r="N2023" s="2">
        <f xml:space="preserve"> (Table1[[#This Row],[Variance (USD)]] / Table1[[#This Row],[Actual Spending (USD)]]) * 100</f>
        <v>-75.938958804813481</v>
      </c>
      <c r="O2023" s="5" t="s">
        <v>3897</v>
      </c>
    </row>
    <row r="2024" spans="1:15" x14ac:dyDescent="0.25">
      <c r="A2024" s="4" t="s">
        <v>2037</v>
      </c>
      <c r="B2024" s="2" t="s">
        <v>3302</v>
      </c>
      <c r="C2024" s="2" t="s">
        <v>3871</v>
      </c>
      <c r="D2024" s="2" t="s">
        <v>3879</v>
      </c>
      <c r="E2024" s="3">
        <v>45545</v>
      </c>
      <c r="F2024" s="3">
        <v>45690</v>
      </c>
      <c r="G2024" s="2" t="s">
        <v>3884</v>
      </c>
      <c r="H2024" s="2">
        <v>524833</v>
      </c>
      <c r="I2024" s="2">
        <v>1159376</v>
      </c>
      <c r="J2024" s="2" t="s">
        <v>3892</v>
      </c>
      <c r="K2024" s="2" t="s">
        <v>3893</v>
      </c>
      <c r="L2024" s="2">
        <v>2025</v>
      </c>
      <c r="M2024" s="2">
        <v>-634543</v>
      </c>
      <c r="N2024" s="2">
        <f xml:space="preserve"> (Table1[[#This Row],[Variance (USD)]] / Table1[[#This Row],[Actual Spending (USD)]]) * 100</f>
        <v>-54.731424490415534</v>
      </c>
      <c r="O2024" s="5" t="s">
        <v>3897</v>
      </c>
    </row>
    <row r="2025" spans="1:15" x14ac:dyDescent="0.25">
      <c r="A2025" s="4" t="s">
        <v>2038</v>
      </c>
      <c r="B2025" s="2" t="s">
        <v>3058</v>
      </c>
      <c r="C2025" s="2" t="s">
        <v>3872</v>
      </c>
      <c r="D2025" s="2" t="s">
        <v>3876</v>
      </c>
      <c r="E2025" s="3">
        <v>45290</v>
      </c>
      <c r="F2025" s="3">
        <v>46000</v>
      </c>
      <c r="G2025" s="2" t="s">
        <v>3885</v>
      </c>
      <c r="H2025" s="2">
        <v>718298</v>
      </c>
      <c r="I2025" s="2">
        <v>401167</v>
      </c>
      <c r="J2025" s="2" t="s">
        <v>3888</v>
      </c>
      <c r="K2025" s="2" t="s">
        <v>3896</v>
      </c>
      <c r="L2025" s="2">
        <v>2023</v>
      </c>
      <c r="M2025" s="2">
        <v>317131</v>
      </c>
      <c r="N2025" s="2">
        <f xml:space="preserve"> (Table1[[#This Row],[Variance (USD)]] / Table1[[#This Row],[Actual Spending (USD)]]) * 100</f>
        <v>79.052115453165399</v>
      </c>
      <c r="O2025" s="5" t="s">
        <v>3898</v>
      </c>
    </row>
    <row r="2026" spans="1:15" x14ac:dyDescent="0.25">
      <c r="A2026" s="4" t="s">
        <v>2039</v>
      </c>
      <c r="B2026" s="2" t="s">
        <v>3638</v>
      </c>
      <c r="C2026" s="2" t="s">
        <v>3868</v>
      </c>
      <c r="D2026" s="2" t="s">
        <v>3880</v>
      </c>
      <c r="E2026" s="3">
        <v>45056</v>
      </c>
      <c r="F2026" s="3">
        <v>45584</v>
      </c>
      <c r="G2026" s="2" t="s">
        <v>3884</v>
      </c>
      <c r="H2026" s="2">
        <v>448933</v>
      </c>
      <c r="I2026" s="2">
        <v>980136</v>
      </c>
      <c r="J2026" s="2" t="s">
        <v>3889</v>
      </c>
      <c r="K2026" s="2" t="s">
        <v>3896</v>
      </c>
      <c r="L2026" s="2">
        <v>2023</v>
      </c>
      <c r="M2026" s="2">
        <v>-531203</v>
      </c>
      <c r="N2026" s="2">
        <f xml:space="preserve"> (Table1[[#This Row],[Variance (USD)]] / Table1[[#This Row],[Actual Spending (USD)]]) * 100</f>
        <v>-54.196866557294086</v>
      </c>
      <c r="O2026" s="5" t="s">
        <v>3897</v>
      </c>
    </row>
    <row r="2027" spans="1:15" x14ac:dyDescent="0.25">
      <c r="A2027" s="4" t="s">
        <v>2040</v>
      </c>
      <c r="B2027" s="2" t="s">
        <v>3505</v>
      </c>
      <c r="C2027" s="2" t="s">
        <v>3868</v>
      </c>
      <c r="D2027" s="2" t="s">
        <v>3876</v>
      </c>
      <c r="E2027" s="3">
        <v>45010</v>
      </c>
      <c r="F2027" s="3">
        <v>45584</v>
      </c>
      <c r="G2027" s="2" t="s">
        <v>3884</v>
      </c>
      <c r="H2027" s="2">
        <v>914250</v>
      </c>
      <c r="I2027" s="2">
        <v>588031</v>
      </c>
      <c r="J2027" s="2" t="s">
        <v>3890</v>
      </c>
      <c r="K2027" s="2" t="s">
        <v>3895</v>
      </c>
      <c r="L2027" s="2">
        <v>2023</v>
      </c>
      <c r="M2027" s="2">
        <v>326219</v>
      </c>
      <c r="N2027" s="2">
        <f xml:space="preserve"> (Table1[[#This Row],[Variance (USD)]] / Table1[[#This Row],[Actual Spending (USD)]]) * 100</f>
        <v>55.476496987403721</v>
      </c>
      <c r="O2027" s="5" t="s">
        <v>3897</v>
      </c>
    </row>
    <row r="2028" spans="1:15" x14ac:dyDescent="0.25">
      <c r="A2028" s="4" t="s">
        <v>2041</v>
      </c>
      <c r="B2028" s="2" t="s">
        <v>3610</v>
      </c>
      <c r="C2028" s="2" t="s">
        <v>3875</v>
      </c>
      <c r="D2028" s="2" t="s">
        <v>3877</v>
      </c>
      <c r="E2028" s="3">
        <v>45197</v>
      </c>
      <c r="F2028" s="3">
        <v>45776</v>
      </c>
      <c r="G2028" s="2" t="s">
        <v>3884</v>
      </c>
      <c r="H2028" s="2">
        <v>769935</v>
      </c>
      <c r="I2028" s="2">
        <v>797877</v>
      </c>
      <c r="J2028" s="2" t="s">
        <v>3890</v>
      </c>
      <c r="K2028" s="2" t="s">
        <v>3896</v>
      </c>
      <c r="L2028" s="2">
        <v>2023</v>
      </c>
      <c r="M2028" s="2">
        <v>-27942</v>
      </c>
      <c r="N2028" s="2">
        <f xml:space="preserve"> (Table1[[#This Row],[Variance (USD)]] / Table1[[#This Row],[Actual Spending (USD)]]) * 100</f>
        <v>-3.5020435480656795</v>
      </c>
      <c r="O2028" s="5" t="s">
        <v>3897</v>
      </c>
    </row>
    <row r="2029" spans="1:15" x14ac:dyDescent="0.25">
      <c r="A2029" s="4" t="s">
        <v>2042</v>
      </c>
      <c r="B2029" s="2" t="s">
        <v>3201</v>
      </c>
      <c r="C2029" s="2" t="s">
        <v>3873</v>
      </c>
      <c r="D2029" s="2" t="s">
        <v>3882</v>
      </c>
      <c r="E2029" s="3">
        <v>45170</v>
      </c>
      <c r="F2029" s="3">
        <v>45738</v>
      </c>
      <c r="G2029" s="2" t="s">
        <v>3886</v>
      </c>
      <c r="H2029" s="2">
        <v>654025</v>
      </c>
      <c r="I2029" s="2">
        <v>160864</v>
      </c>
      <c r="J2029" s="2" t="s">
        <v>3888</v>
      </c>
      <c r="K2029" s="2" t="s">
        <v>3896</v>
      </c>
      <c r="L2029" s="2">
        <v>2024</v>
      </c>
      <c r="M2029" s="2">
        <v>493161</v>
      </c>
      <c r="N2029" s="2">
        <f xml:space="preserve"> (Table1[[#This Row],[Variance (USD)]] / Table1[[#This Row],[Actual Spending (USD)]]) * 100</f>
        <v>306.57014621046346</v>
      </c>
      <c r="O2029" s="5" t="s">
        <v>3899</v>
      </c>
    </row>
    <row r="2030" spans="1:15" x14ac:dyDescent="0.25">
      <c r="A2030" s="4" t="s">
        <v>2043</v>
      </c>
      <c r="B2030" s="2" t="s">
        <v>3467</v>
      </c>
      <c r="C2030" s="2" t="s">
        <v>3871</v>
      </c>
      <c r="D2030" s="2" t="s">
        <v>3879</v>
      </c>
      <c r="E2030" s="3">
        <v>45314</v>
      </c>
      <c r="F2030" s="3">
        <v>45983</v>
      </c>
      <c r="G2030" s="2" t="s">
        <v>3886</v>
      </c>
      <c r="H2030" s="2">
        <v>983793</v>
      </c>
      <c r="I2030" s="2">
        <v>260804</v>
      </c>
      <c r="J2030" s="2" t="s">
        <v>3891</v>
      </c>
      <c r="K2030" s="2" t="s">
        <v>3895</v>
      </c>
      <c r="L2030" s="2">
        <v>2024</v>
      </c>
      <c r="M2030" s="2">
        <v>722989</v>
      </c>
      <c r="N2030" s="2">
        <f xml:space="preserve"> (Table1[[#This Row],[Variance (USD)]] / Table1[[#This Row],[Actual Spending (USD)]]) * 100</f>
        <v>277.21545681814695</v>
      </c>
      <c r="O2030" s="5" t="s">
        <v>3899</v>
      </c>
    </row>
    <row r="2031" spans="1:15" x14ac:dyDescent="0.25">
      <c r="A2031" s="4" t="s">
        <v>2044</v>
      </c>
      <c r="B2031" s="2" t="s">
        <v>3473</v>
      </c>
      <c r="C2031" s="2" t="s">
        <v>3870</v>
      </c>
      <c r="D2031" s="2" t="s">
        <v>3881</v>
      </c>
      <c r="E2031" s="3">
        <v>45140</v>
      </c>
      <c r="F2031" s="3">
        <v>45703</v>
      </c>
      <c r="G2031" s="2" t="s">
        <v>3884</v>
      </c>
      <c r="H2031" s="2">
        <v>74406</v>
      </c>
      <c r="I2031" s="2">
        <v>818512</v>
      </c>
      <c r="J2031" s="2" t="s">
        <v>3892</v>
      </c>
      <c r="K2031" s="2" t="s">
        <v>3894</v>
      </c>
      <c r="L2031" s="2">
        <v>2024</v>
      </c>
      <c r="M2031" s="2">
        <v>-744106</v>
      </c>
      <c r="N2031" s="2">
        <f xml:space="preserve"> (Table1[[#This Row],[Variance (USD)]] / Table1[[#This Row],[Actual Spending (USD)]]) * 100</f>
        <v>-90.909601814023503</v>
      </c>
      <c r="O2031" s="5" t="s">
        <v>3897</v>
      </c>
    </row>
    <row r="2032" spans="1:15" x14ac:dyDescent="0.25">
      <c r="A2032" s="4" t="s">
        <v>2045</v>
      </c>
      <c r="B2032" s="2" t="s">
        <v>3808</v>
      </c>
      <c r="C2032" s="2" t="s">
        <v>3873</v>
      </c>
      <c r="D2032" s="2" t="s">
        <v>3880</v>
      </c>
      <c r="E2032" s="3">
        <v>45092</v>
      </c>
      <c r="F2032" s="3">
        <v>45799</v>
      </c>
      <c r="G2032" s="2" t="s">
        <v>3884</v>
      </c>
      <c r="H2032" s="2">
        <v>565904</v>
      </c>
      <c r="I2032" s="2">
        <v>1156161</v>
      </c>
      <c r="J2032" s="2" t="s">
        <v>3889</v>
      </c>
      <c r="K2032" s="2" t="s">
        <v>3893</v>
      </c>
      <c r="L2032" s="2">
        <v>2023</v>
      </c>
      <c r="M2032" s="2">
        <v>-590257</v>
      </c>
      <c r="N2032" s="2">
        <f xml:space="preserve"> (Table1[[#This Row],[Variance (USD)]] / Table1[[#This Row],[Actual Spending (USD)]]) * 100</f>
        <v>-51.053183769388525</v>
      </c>
      <c r="O2032" s="5" t="s">
        <v>3897</v>
      </c>
    </row>
    <row r="2033" spans="1:15" x14ac:dyDescent="0.25">
      <c r="A2033" s="4" t="s">
        <v>2046</v>
      </c>
      <c r="B2033" s="2" t="s">
        <v>3809</v>
      </c>
      <c r="C2033" s="2" t="s">
        <v>3868</v>
      </c>
      <c r="D2033" s="2" t="s">
        <v>3878</v>
      </c>
      <c r="E2033" s="3">
        <v>44985</v>
      </c>
      <c r="F2033" s="3">
        <v>45535</v>
      </c>
      <c r="G2033" s="2" t="s">
        <v>3884</v>
      </c>
      <c r="H2033" s="2">
        <v>277894</v>
      </c>
      <c r="I2033" s="2">
        <v>1094204</v>
      </c>
      <c r="J2033" s="2" t="s">
        <v>3891</v>
      </c>
      <c r="K2033" s="2" t="s">
        <v>3895</v>
      </c>
      <c r="L2033" s="2">
        <v>2025</v>
      </c>
      <c r="M2033" s="2">
        <v>-816310</v>
      </c>
      <c r="N2033" s="2">
        <f xml:space="preserve"> (Table1[[#This Row],[Variance (USD)]] / Table1[[#This Row],[Actual Spending (USD)]]) * 100</f>
        <v>-74.603090465763245</v>
      </c>
      <c r="O2033" s="5" t="s">
        <v>3897</v>
      </c>
    </row>
    <row r="2034" spans="1:15" x14ac:dyDescent="0.25">
      <c r="A2034" s="4" t="s">
        <v>2047</v>
      </c>
      <c r="B2034" s="2" t="s">
        <v>3783</v>
      </c>
      <c r="C2034" s="2" t="s">
        <v>3873</v>
      </c>
      <c r="D2034" s="2" t="s">
        <v>3877</v>
      </c>
      <c r="E2034" s="3">
        <v>45528</v>
      </c>
      <c r="F2034" s="3">
        <v>45711</v>
      </c>
      <c r="G2034" s="2" t="s">
        <v>3886</v>
      </c>
      <c r="H2034" s="2">
        <v>62873</v>
      </c>
      <c r="I2034" s="2">
        <v>417994</v>
      </c>
      <c r="J2034" s="2" t="s">
        <v>3890</v>
      </c>
      <c r="K2034" s="2" t="s">
        <v>3896</v>
      </c>
      <c r="L2034" s="2">
        <v>2023</v>
      </c>
      <c r="M2034" s="2">
        <v>-355121</v>
      </c>
      <c r="N2034" s="2">
        <f xml:space="preserve"> (Table1[[#This Row],[Variance (USD)]] / Table1[[#This Row],[Actual Spending (USD)]]) * 100</f>
        <v>-84.95839653200764</v>
      </c>
      <c r="O2034" s="5" t="s">
        <v>3899</v>
      </c>
    </row>
    <row r="2035" spans="1:15" x14ac:dyDescent="0.25">
      <c r="A2035" s="4" t="s">
        <v>2048</v>
      </c>
      <c r="B2035" s="2" t="s">
        <v>3475</v>
      </c>
      <c r="C2035" s="2" t="s">
        <v>3868</v>
      </c>
      <c r="D2035" s="2" t="s">
        <v>3876</v>
      </c>
      <c r="E2035" s="3">
        <v>45430</v>
      </c>
      <c r="F2035" s="3">
        <v>45445</v>
      </c>
      <c r="G2035" s="2" t="s">
        <v>3884</v>
      </c>
      <c r="H2035" s="2">
        <v>175812</v>
      </c>
      <c r="I2035" s="2">
        <v>169337</v>
      </c>
      <c r="J2035" s="2" t="s">
        <v>3891</v>
      </c>
      <c r="K2035" s="2" t="s">
        <v>3893</v>
      </c>
      <c r="L2035" s="2">
        <v>2024</v>
      </c>
      <c r="M2035" s="2">
        <v>6475</v>
      </c>
      <c r="N2035" s="2">
        <f xml:space="preserve"> (Table1[[#This Row],[Variance (USD)]] / Table1[[#This Row],[Actual Spending (USD)]]) * 100</f>
        <v>3.8237361002025545</v>
      </c>
      <c r="O2035" s="5" t="s">
        <v>3897</v>
      </c>
    </row>
    <row r="2036" spans="1:15" x14ac:dyDescent="0.25">
      <c r="A2036" s="4" t="s">
        <v>2049</v>
      </c>
      <c r="B2036" s="2" t="s">
        <v>3226</v>
      </c>
      <c r="C2036" s="2" t="s">
        <v>3873</v>
      </c>
      <c r="D2036" s="2" t="s">
        <v>3880</v>
      </c>
      <c r="E2036" s="3">
        <v>45632</v>
      </c>
      <c r="F2036" s="3">
        <v>45715</v>
      </c>
      <c r="G2036" s="2" t="s">
        <v>3885</v>
      </c>
      <c r="H2036" s="2">
        <v>918480</v>
      </c>
      <c r="I2036" s="2">
        <v>828892</v>
      </c>
      <c r="J2036" s="2" t="s">
        <v>3892</v>
      </c>
      <c r="K2036" s="2" t="s">
        <v>3893</v>
      </c>
      <c r="L2036" s="2">
        <v>2025</v>
      </c>
      <c r="M2036" s="2">
        <v>89588</v>
      </c>
      <c r="N2036" s="2">
        <f xml:space="preserve"> (Table1[[#This Row],[Variance (USD)]] / Table1[[#This Row],[Actual Spending (USD)]]) * 100</f>
        <v>10.808163186518872</v>
      </c>
      <c r="O2036" s="5" t="s">
        <v>3898</v>
      </c>
    </row>
    <row r="2037" spans="1:15" x14ac:dyDescent="0.25">
      <c r="A2037" s="4" t="s">
        <v>2050</v>
      </c>
      <c r="B2037" s="2" t="s">
        <v>3641</v>
      </c>
      <c r="C2037" s="2" t="s">
        <v>3875</v>
      </c>
      <c r="D2037" s="2" t="s">
        <v>3879</v>
      </c>
      <c r="E2037" s="3">
        <v>45049</v>
      </c>
      <c r="F2037" s="3">
        <v>45564</v>
      </c>
      <c r="G2037" s="2" t="s">
        <v>3884</v>
      </c>
      <c r="H2037" s="2">
        <v>597749</v>
      </c>
      <c r="I2037" s="2">
        <v>289970</v>
      </c>
      <c r="J2037" s="2" t="s">
        <v>3890</v>
      </c>
      <c r="K2037" s="2" t="s">
        <v>3893</v>
      </c>
      <c r="L2037" s="2">
        <v>2025</v>
      </c>
      <c r="M2037" s="2">
        <v>307779</v>
      </c>
      <c r="N2037" s="2">
        <f xml:space="preserve"> (Table1[[#This Row],[Variance (USD)]] / Table1[[#This Row],[Actual Spending (USD)]]) * 100</f>
        <v>106.14166982791325</v>
      </c>
      <c r="O2037" s="5" t="s">
        <v>3897</v>
      </c>
    </row>
    <row r="2038" spans="1:15" x14ac:dyDescent="0.25">
      <c r="A2038" s="4" t="s">
        <v>2051</v>
      </c>
      <c r="B2038" s="2" t="s">
        <v>3580</v>
      </c>
      <c r="C2038" s="2" t="s">
        <v>3869</v>
      </c>
      <c r="D2038" s="2" t="s">
        <v>3881</v>
      </c>
      <c r="E2038" s="3">
        <v>45574</v>
      </c>
      <c r="F2038" s="3">
        <v>45938</v>
      </c>
      <c r="G2038" s="2" t="s">
        <v>3887</v>
      </c>
      <c r="H2038" s="2">
        <v>463926</v>
      </c>
      <c r="I2038" s="2">
        <v>818634</v>
      </c>
      <c r="J2038" s="2" t="s">
        <v>3888</v>
      </c>
      <c r="K2038" s="2" t="s">
        <v>3895</v>
      </c>
      <c r="L2038" s="2">
        <v>2024</v>
      </c>
      <c r="M2038" s="2">
        <v>-354708</v>
      </c>
      <c r="N2038" s="2">
        <f xml:space="preserve"> (Table1[[#This Row],[Variance (USD)]] / Table1[[#This Row],[Actual Spending (USD)]]) * 100</f>
        <v>-43.329253365973074</v>
      </c>
      <c r="O2038" s="5" t="s">
        <v>3900</v>
      </c>
    </row>
    <row r="2039" spans="1:15" x14ac:dyDescent="0.25">
      <c r="A2039" s="4" t="s">
        <v>2052</v>
      </c>
      <c r="B2039" s="2" t="s">
        <v>3322</v>
      </c>
      <c r="C2039" s="2" t="s">
        <v>3875</v>
      </c>
      <c r="D2039" s="2" t="s">
        <v>3883</v>
      </c>
      <c r="E2039" s="3">
        <v>45339</v>
      </c>
      <c r="F2039" s="3">
        <v>45811</v>
      </c>
      <c r="G2039" s="2" t="s">
        <v>3884</v>
      </c>
      <c r="H2039" s="2">
        <v>63448</v>
      </c>
      <c r="I2039" s="2">
        <v>1192422</v>
      </c>
      <c r="J2039" s="2" t="s">
        <v>3889</v>
      </c>
      <c r="K2039" s="2" t="s">
        <v>3893</v>
      </c>
      <c r="L2039" s="2">
        <v>2023</v>
      </c>
      <c r="M2039" s="2">
        <v>-1128974</v>
      </c>
      <c r="N2039" s="2">
        <f xml:space="preserve"> (Table1[[#This Row],[Variance (USD)]] / Table1[[#This Row],[Actual Spending (USD)]]) * 100</f>
        <v>-94.679064961901076</v>
      </c>
      <c r="O2039" s="5" t="s">
        <v>3897</v>
      </c>
    </row>
    <row r="2040" spans="1:15" x14ac:dyDescent="0.25">
      <c r="A2040" s="4" t="s">
        <v>2053</v>
      </c>
      <c r="B2040" s="2" t="s">
        <v>3275</v>
      </c>
      <c r="C2040" s="2" t="s">
        <v>3875</v>
      </c>
      <c r="D2040" s="2" t="s">
        <v>3881</v>
      </c>
      <c r="E2040" s="3">
        <v>45065</v>
      </c>
      <c r="F2040" s="3">
        <v>45419</v>
      </c>
      <c r="G2040" s="2" t="s">
        <v>3886</v>
      </c>
      <c r="H2040" s="2">
        <v>589486</v>
      </c>
      <c r="I2040" s="2">
        <v>905842</v>
      </c>
      <c r="J2040" s="2" t="s">
        <v>3889</v>
      </c>
      <c r="K2040" s="2" t="s">
        <v>3894</v>
      </c>
      <c r="L2040" s="2">
        <v>2025</v>
      </c>
      <c r="M2040" s="2">
        <v>-316356</v>
      </c>
      <c r="N2040" s="2">
        <f xml:space="preserve"> (Table1[[#This Row],[Variance (USD)]] / Table1[[#This Row],[Actual Spending (USD)]]) * 100</f>
        <v>-34.923971288591169</v>
      </c>
      <c r="O2040" s="5" t="s">
        <v>3899</v>
      </c>
    </row>
    <row r="2041" spans="1:15" x14ac:dyDescent="0.25">
      <c r="A2041" s="4" t="s">
        <v>2054</v>
      </c>
      <c r="B2041" s="2" t="s">
        <v>3745</v>
      </c>
      <c r="C2041" s="2" t="s">
        <v>3869</v>
      </c>
      <c r="D2041" s="2" t="s">
        <v>3878</v>
      </c>
      <c r="E2041" s="3">
        <v>45155</v>
      </c>
      <c r="F2041" s="3">
        <v>45664</v>
      </c>
      <c r="G2041" s="2" t="s">
        <v>3884</v>
      </c>
      <c r="H2041" s="2">
        <v>647446</v>
      </c>
      <c r="I2041" s="2">
        <v>274000</v>
      </c>
      <c r="J2041" s="2" t="s">
        <v>3890</v>
      </c>
      <c r="K2041" s="2" t="s">
        <v>3896</v>
      </c>
      <c r="L2041" s="2">
        <v>2025</v>
      </c>
      <c r="M2041" s="2">
        <v>373446</v>
      </c>
      <c r="N2041" s="2">
        <f xml:space="preserve"> (Table1[[#This Row],[Variance (USD)]] / Table1[[#This Row],[Actual Spending (USD)]]) * 100</f>
        <v>136.29416058394162</v>
      </c>
      <c r="O2041" s="5" t="s">
        <v>3897</v>
      </c>
    </row>
    <row r="2042" spans="1:15" x14ac:dyDescent="0.25">
      <c r="A2042" s="4" t="s">
        <v>2055</v>
      </c>
      <c r="B2042" s="2" t="s">
        <v>3707</v>
      </c>
      <c r="C2042" s="2" t="s">
        <v>3869</v>
      </c>
      <c r="D2042" s="2" t="s">
        <v>3876</v>
      </c>
      <c r="E2042" s="3">
        <v>45200</v>
      </c>
      <c r="F2042" s="3">
        <v>45859</v>
      </c>
      <c r="G2042" s="2" t="s">
        <v>3884</v>
      </c>
      <c r="H2042" s="2">
        <v>549600</v>
      </c>
      <c r="I2042" s="2">
        <v>303994</v>
      </c>
      <c r="J2042" s="2" t="s">
        <v>3888</v>
      </c>
      <c r="K2042" s="2" t="s">
        <v>3895</v>
      </c>
      <c r="L2042" s="2">
        <v>2024</v>
      </c>
      <c r="M2042" s="2">
        <v>245606</v>
      </c>
      <c r="N2042" s="2">
        <f xml:space="preserve"> (Table1[[#This Row],[Variance (USD)]] / Table1[[#This Row],[Actual Spending (USD)]]) * 100</f>
        <v>80.793041967933576</v>
      </c>
      <c r="O2042" s="5" t="s">
        <v>3897</v>
      </c>
    </row>
    <row r="2043" spans="1:15" x14ac:dyDescent="0.25">
      <c r="A2043" s="4" t="s">
        <v>2056</v>
      </c>
      <c r="B2043" s="2" t="s">
        <v>3447</v>
      </c>
      <c r="C2043" s="2" t="s">
        <v>3874</v>
      </c>
      <c r="D2043" s="2" t="s">
        <v>3877</v>
      </c>
      <c r="E2043" s="3">
        <v>45365</v>
      </c>
      <c r="F2043" s="3">
        <v>45929</v>
      </c>
      <c r="G2043" s="2" t="s">
        <v>3885</v>
      </c>
      <c r="H2043" s="2">
        <v>511154</v>
      </c>
      <c r="I2043" s="2">
        <v>688166</v>
      </c>
      <c r="J2043" s="2" t="s">
        <v>3892</v>
      </c>
      <c r="K2043" s="2" t="s">
        <v>3895</v>
      </c>
      <c r="L2043" s="2">
        <v>2025</v>
      </c>
      <c r="M2043" s="2">
        <v>-177012</v>
      </c>
      <c r="N2043" s="2">
        <f xml:space="preserve"> (Table1[[#This Row],[Variance (USD)]] / Table1[[#This Row],[Actual Spending (USD)]]) * 100</f>
        <v>-25.722282123789896</v>
      </c>
      <c r="O2043" s="5" t="s">
        <v>3898</v>
      </c>
    </row>
    <row r="2044" spans="1:15" x14ac:dyDescent="0.25">
      <c r="A2044" s="4" t="s">
        <v>2057</v>
      </c>
      <c r="B2044" s="2" t="s">
        <v>3493</v>
      </c>
      <c r="C2044" s="2" t="s">
        <v>3874</v>
      </c>
      <c r="D2044" s="2" t="s">
        <v>3881</v>
      </c>
      <c r="E2044" s="3">
        <v>45488</v>
      </c>
      <c r="F2044" s="3">
        <v>45450</v>
      </c>
      <c r="G2044" s="2" t="s">
        <v>3885</v>
      </c>
      <c r="H2044" s="2">
        <v>275075</v>
      </c>
      <c r="I2044" s="2">
        <v>954667</v>
      </c>
      <c r="J2044" s="2" t="s">
        <v>3889</v>
      </c>
      <c r="K2044" s="2" t="s">
        <v>3893</v>
      </c>
      <c r="L2044" s="2">
        <v>2025</v>
      </c>
      <c r="M2044" s="2">
        <v>-679592</v>
      </c>
      <c r="N2044" s="2">
        <f xml:space="preserve"> (Table1[[#This Row],[Variance (USD)]] / Table1[[#This Row],[Actual Spending (USD)]]) * 100</f>
        <v>-71.186287993614528</v>
      </c>
      <c r="O2044" s="5" t="s">
        <v>3898</v>
      </c>
    </row>
    <row r="2045" spans="1:15" x14ac:dyDescent="0.25">
      <c r="A2045" s="4" t="s">
        <v>2058</v>
      </c>
      <c r="B2045" s="2" t="s">
        <v>3810</v>
      </c>
      <c r="C2045" s="2" t="s">
        <v>3871</v>
      </c>
      <c r="D2045" s="2" t="s">
        <v>3879</v>
      </c>
      <c r="E2045" s="3">
        <v>45044</v>
      </c>
      <c r="F2045" s="3">
        <v>45862</v>
      </c>
      <c r="G2045" s="2" t="s">
        <v>3884</v>
      </c>
      <c r="H2045" s="2">
        <v>216033</v>
      </c>
      <c r="I2045" s="2">
        <v>386512</v>
      </c>
      <c r="J2045" s="2" t="s">
        <v>3890</v>
      </c>
      <c r="K2045" s="2" t="s">
        <v>3896</v>
      </c>
      <c r="L2045" s="2">
        <v>2025</v>
      </c>
      <c r="M2045" s="2">
        <v>-170479</v>
      </c>
      <c r="N2045" s="2">
        <f xml:space="preserve"> (Table1[[#This Row],[Variance (USD)]] / Table1[[#This Row],[Actual Spending (USD)]]) * 100</f>
        <v>-44.107039367471124</v>
      </c>
      <c r="O2045" s="5" t="s">
        <v>3897</v>
      </c>
    </row>
    <row r="2046" spans="1:15" x14ac:dyDescent="0.25">
      <c r="A2046" s="4" t="s">
        <v>2059</v>
      </c>
      <c r="B2046" s="2" t="s">
        <v>3624</v>
      </c>
      <c r="C2046" s="2" t="s">
        <v>3870</v>
      </c>
      <c r="D2046" s="2" t="s">
        <v>3878</v>
      </c>
      <c r="E2046" s="3">
        <v>45640</v>
      </c>
      <c r="F2046" s="3">
        <v>45861</v>
      </c>
      <c r="G2046" s="2" t="s">
        <v>3886</v>
      </c>
      <c r="H2046" s="2">
        <v>748367</v>
      </c>
      <c r="I2046" s="2">
        <v>816617</v>
      </c>
      <c r="J2046" s="2" t="s">
        <v>3889</v>
      </c>
      <c r="K2046" s="2" t="s">
        <v>3893</v>
      </c>
      <c r="L2046" s="2">
        <v>2023</v>
      </c>
      <c r="M2046" s="2">
        <v>-68250</v>
      </c>
      <c r="N2046" s="2">
        <f xml:space="preserve"> (Table1[[#This Row],[Variance (USD)]] / Table1[[#This Row],[Actual Spending (USD)]]) * 100</f>
        <v>-8.3576511387835417</v>
      </c>
      <c r="O2046" s="5" t="s">
        <v>3899</v>
      </c>
    </row>
    <row r="2047" spans="1:15" x14ac:dyDescent="0.25">
      <c r="A2047" s="4" t="s">
        <v>2060</v>
      </c>
      <c r="B2047" s="2" t="s">
        <v>3682</v>
      </c>
      <c r="C2047" s="2" t="s">
        <v>3870</v>
      </c>
      <c r="D2047" s="2" t="s">
        <v>3879</v>
      </c>
      <c r="E2047" s="3">
        <v>45409</v>
      </c>
      <c r="F2047" s="3">
        <v>45943</v>
      </c>
      <c r="G2047" s="2" t="s">
        <v>3886</v>
      </c>
      <c r="H2047" s="2">
        <v>115470</v>
      </c>
      <c r="I2047" s="2">
        <v>1103294</v>
      </c>
      <c r="J2047" s="2" t="s">
        <v>3888</v>
      </c>
      <c r="K2047" s="2" t="s">
        <v>3893</v>
      </c>
      <c r="L2047" s="2">
        <v>2023</v>
      </c>
      <c r="M2047" s="2">
        <v>-987824</v>
      </c>
      <c r="N2047" s="2">
        <f xml:space="preserve"> (Table1[[#This Row],[Variance (USD)]] / Table1[[#This Row],[Actual Spending (USD)]]) * 100</f>
        <v>-89.534067981879716</v>
      </c>
      <c r="O2047" s="5" t="s">
        <v>3899</v>
      </c>
    </row>
    <row r="2048" spans="1:15" x14ac:dyDescent="0.25">
      <c r="A2048" s="4" t="s">
        <v>2061</v>
      </c>
      <c r="B2048" s="2" t="s">
        <v>3572</v>
      </c>
      <c r="C2048" s="2" t="s">
        <v>3871</v>
      </c>
      <c r="D2048" s="2" t="s">
        <v>3880</v>
      </c>
      <c r="E2048" s="3">
        <v>45321</v>
      </c>
      <c r="F2048" s="3">
        <v>45467</v>
      </c>
      <c r="G2048" s="2" t="s">
        <v>3885</v>
      </c>
      <c r="H2048" s="2">
        <v>233328</v>
      </c>
      <c r="I2048" s="2">
        <v>701366</v>
      </c>
      <c r="J2048" s="2" t="s">
        <v>3892</v>
      </c>
      <c r="K2048" s="2" t="s">
        <v>3895</v>
      </c>
      <c r="L2048" s="2">
        <v>2024</v>
      </c>
      <c r="M2048" s="2">
        <v>-468038</v>
      </c>
      <c r="N2048" s="2">
        <f xml:space="preserve"> (Table1[[#This Row],[Variance (USD)]] / Table1[[#This Row],[Actual Spending (USD)]]) * 100</f>
        <v>-66.732348018010569</v>
      </c>
      <c r="O2048" s="5" t="s">
        <v>3898</v>
      </c>
    </row>
    <row r="2049" spans="1:15" x14ac:dyDescent="0.25">
      <c r="A2049" s="4" t="s">
        <v>2062</v>
      </c>
      <c r="B2049" s="2" t="s">
        <v>3194</v>
      </c>
      <c r="C2049" s="2" t="s">
        <v>3875</v>
      </c>
      <c r="D2049" s="2" t="s">
        <v>3883</v>
      </c>
      <c r="E2049" s="3">
        <v>45629</v>
      </c>
      <c r="F2049" s="3">
        <v>45911</v>
      </c>
      <c r="G2049" s="2" t="s">
        <v>3884</v>
      </c>
      <c r="H2049" s="2">
        <v>595027</v>
      </c>
      <c r="I2049" s="2">
        <v>779440</v>
      </c>
      <c r="J2049" s="2" t="s">
        <v>3888</v>
      </c>
      <c r="K2049" s="2" t="s">
        <v>3894</v>
      </c>
      <c r="L2049" s="2">
        <v>2023</v>
      </c>
      <c r="M2049" s="2">
        <v>-184413</v>
      </c>
      <c r="N2049" s="2">
        <f xml:space="preserve"> (Table1[[#This Row],[Variance (USD)]] / Table1[[#This Row],[Actual Spending (USD)]]) * 100</f>
        <v>-23.659678743713435</v>
      </c>
      <c r="O2049" s="5" t="s">
        <v>3897</v>
      </c>
    </row>
    <row r="2050" spans="1:15" x14ac:dyDescent="0.25">
      <c r="A2050" s="4" t="s">
        <v>2063</v>
      </c>
      <c r="B2050" s="2" t="s">
        <v>3338</v>
      </c>
      <c r="C2050" s="2" t="s">
        <v>3875</v>
      </c>
      <c r="D2050" s="2" t="s">
        <v>3877</v>
      </c>
      <c r="E2050" s="3">
        <v>45386</v>
      </c>
      <c r="F2050" s="3">
        <v>45502</v>
      </c>
      <c r="G2050" s="2" t="s">
        <v>3884</v>
      </c>
      <c r="H2050" s="2">
        <v>920486</v>
      </c>
      <c r="I2050" s="2">
        <v>456185</v>
      </c>
      <c r="J2050" s="2" t="s">
        <v>3891</v>
      </c>
      <c r="K2050" s="2" t="s">
        <v>3896</v>
      </c>
      <c r="L2050" s="2">
        <v>2025</v>
      </c>
      <c r="M2050" s="2">
        <v>464301</v>
      </c>
      <c r="N2050" s="2">
        <f xml:space="preserve"> (Table1[[#This Row],[Variance (USD)]] / Table1[[#This Row],[Actual Spending (USD)]]) * 100</f>
        <v>101.77910277628595</v>
      </c>
      <c r="O2050" s="5" t="s">
        <v>3897</v>
      </c>
    </row>
    <row r="2051" spans="1:15" x14ac:dyDescent="0.25">
      <c r="A2051" s="4" t="s">
        <v>2064</v>
      </c>
      <c r="B2051" s="2" t="s">
        <v>3618</v>
      </c>
      <c r="C2051" s="2" t="s">
        <v>3868</v>
      </c>
      <c r="D2051" s="2" t="s">
        <v>3879</v>
      </c>
      <c r="E2051" s="3">
        <v>45619</v>
      </c>
      <c r="F2051" s="3">
        <v>45738</v>
      </c>
      <c r="G2051" s="2" t="s">
        <v>3884</v>
      </c>
      <c r="H2051" s="2">
        <v>370330</v>
      </c>
      <c r="I2051" s="2">
        <v>631108</v>
      </c>
      <c r="J2051" s="2" t="s">
        <v>3888</v>
      </c>
      <c r="K2051" s="2" t="s">
        <v>3896</v>
      </c>
      <c r="L2051" s="2">
        <v>2023</v>
      </c>
      <c r="M2051" s="2">
        <v>-260778</v>
      </c>
      <c r="N2051" s="2">
        <f xml:space="preserve"> (Table1[[#This Row],[Variance (USD)]] / Table1[[#This Row],[Actual Spending (USD)]]) * 100</f>
        <v>-41.320661439880332</v>
      </c>
      <c r="O2051" s="5" t="s">
        <v>3897</v>
      </c>
    </row>
    <row r="2052" spans="1:15" x14ac:dyDescent="0.25">
      <c r="A2052" s="4" t="s">
        <v>2065</v>
      </c>
      <c r="B2052" s="2" t="s">
        <v>3230</v>
      </c>
      <c r="C2052" s="2" t="s">
        <v>3868</v>
      </c>
      <c r="D2052" s="2" t="s">
        <v>3876</v>
      </c>
      <c r="E2052" s="3">
        <v>45004</v>
      </c>
      <c r="F2052" s="3">
        <v>45877</v>
      </c>
      <c r="G2052" s="2" t="s">
        <v>3884</v>
      </c>
      <c r="H2052" s="2">
        <v>76547</v>
      </c>
      <c r="I2052" s="2">
        <v>920446</v>
      </c>
      <c r="J2052" s="2" t="s">
        <v>3888</v>
      </c>
      <c r="K2052" s="2" t="s">
        <v>3896</v>
      </c>
      <c r="L2052" s="2">
        <v>2025</v>
      </c>
      <c r="M2052" s="2">
        <v>-843899</v>
      </c>
      <c r="N2052" s="2">
        <f xml:space="preserve"> (Table1[[#This Row],[Variance (USD)]] / Table1[[#This Row],[Actual Spending (USD)]]) * 100</f>
        <v>-91.683705507982012</v>
      </c>
      <c r="O2052" s="5" t="s">
        <v>3897</v>
      </c>
    </row>
    <row r="2053" spans="1:15" x14ac:dyDescent="0.25">
      <c r="A2053" s="4" t="s">
        <v>2066</v>
      </c>
      <c r="B2053" s="2" t="s">
        <v>3228</v>
      </c>
      <c r="C2053" s="2" t="s">
        <v>3870</v>
      </c>
      <c r="D2053" s="2" t="s">
        <v>3880</v>
      </c>
      <c r="E2053" s="3">
        <v>45338</v>
      </c>
      <c r="F2053" s="3">
        <v>45458</v>
      </c>
      <c r="G2053" s="2" t="s">
        <v>3885</v>
      </c>
      <c r="H2053" s="2">
        <v>144472</v>
      </c>
      <c r="I2053" s="2">
        <v>1077197</v>
      </c>
      <c r="J2053" s="2" t="s">
        <v>3889</v>
      </c>
      <c r="K2053" s="2" t="s">
        <v>3896</v>
      </c>
      <c r="L2053" s="2">
        <v>2025</v>
      </c>
      <c r="M2053" s="2">
        <v>-932725</v>
      </c>
      <c r="N2053" s="2">
        <f xml:space="preserve"> (Table1[[#This Row],[Variance (USD)]] / Table1[[#This Row],[Actual Spending (USD)]]) * 100</f>
        <v>-86.588154255906773</v>
      </c>
      <c r="O2053" s="5" t="s">
        <v>3898</v>
      </c>
    </row>
    <row r="2054" spans="1:15" x14ac:dyDescent="0.25">
      <c r="A2054" s="4" t="s">
        <v>2067</v>
      </c>
      <c r="B2054" s="2" t="s">
        <v>3335</v>
      </c>
      <c r="C2054" s="2" t="s">
        <v>3871</v>
      </c>
      <c r="D2054" s="2" t="s">
        <v>3880</v>
      </c>
      <c r="E2054" s="3">
        <v>45001</v>
      </c>
      <c r="F2054" s="3">
        <v>45751</v>
      </c>
      <c r="G2054" s="2" t="s">
        <v>3884</v>
      </c>
      <c r="H2054" s="2">
        <v>922255</v>
      </c>
      <c r="I2054" s="2">
        <v>1065357</v>
      </c>
      <c r="J2054" s="2" t="s">
        <v>3888</v>
      </c>
      <c r="K2054" s="2" t="s">
        <v>3894</v>
      </c>
      <c r="L2054" s="2">
        <v>2023</v>
      </c>
      <c r="M2054" s="2">
        <v>-143102</v>
      </c>
      <c r="N2054" s="2">
        <f xml:space="preserve"> (Table1[[#This Row],[Variance (USD)]] / Table1[[#This Row],[Actual Spending (USD)]]) * 100</f>
        <v>-13.432304851800852</v>
      </c>
      <c r="O2054" s="5" t="s">
        <v>3897</v>
      </c>
    </row>
    <row r="2055" spans="1:15" x14ac:dyDescent="0.25">
      <c r="A2055" s="4" t="s">
        <v>2068</v>
      </c>
      <c r="B2055" s="2" t="s">
        <v>3615</v>
      </c>
      <c r="C2055" s="2" t="s">
        <v>3872</v>
      </c>
      <c r="D2055" s="2" t="s">
        <v>3877</v>
      </c>
      <c r="E2055" s="3">
        <v>45221</v>
      </c>
      <c r="F2055" s="3">
        <v>45648</v>
      </c>
      <c r="G2055" s="2" t="s">
        <v>3884</v>
      </c>
      <c r="H2055" s="2">
        <v>561517</v>
      </c>
      <c r="I2055" s="2">
        <v>450871</v>
      </c>
      <c r="J2055" s="2" t="s">
        <v>3890</v>
      </c>
      <c r="K2055" s="2" t="s">
        <v>3895</v>
      </c>
      <c r="L2055" s="2">
        <v>2023</v>
      </c>
      <c r="M2055" s="2">
        <v>110646</v>
      </c>
      <c r="N2055" s="2">
        <f xml:space="preserve"> (Table1[[#This Row],[Variance (USD)]] / Table1[[#This Row],[Actual Spending (USD)]]) * 100</f>
        <v>24.540500497925127</v>
      </c>
      <c r="O2055" s="5" t="s">
        <v>3897</v>
      </c>
    </row>
    <row r="2056" spans="1:15" x14ac:dyDescent="0.25">
      <c r="A2056" s="4" t="s">
        <v>2069</v>
      </c>
      <c r="B2056" s="2" t="s">
        <v>3443</v>
      </c>
      <c r="C2056" s="2" t="s">
        <v>3874</v>
      </c>
      <c r="D2056" s="2" t="s">
        <v>3880</v>
      </c>
      <c r="E2056" s="3">
        <v>44947</v>
      </c>
      <c r="F2056" s="3">
        <v>45595</v>
      </c>
      <c r="G2056" s="2" t="s">
        <v>3886</v>
      </c>
      <c r="H2056" s="2">
        <v>156887</v>
      </c>
      <c r="I2056" s="2">
        <v>111234</v>
      </c>
      <c r="J2056" s="2" t="s">
        <v>3889</v>
      </c>
      <c r="K2056" s="2" t="s">
        <v>3894</v>
      </c>
      <c r="L2056" s="2">
        <v>2023</v>
      </c>
      <c r="M2056" s="2">
        <v>45653</v>
      </c>
      <c r="N2056" s="2">
        <f xml:space="preserve"> (Table1[[#This Row],[Variance (USD)]] / Table1[[#This Row],[Actual Spending (USD)]]) * 100</f>
        <v>41.042307208227705</v>
      </c>
      <c r="O2056" s="5" t="s">
        <v>3899</v>
      </c>
    </row>
    <row r="2057" spans="1:15" x14ac:dyDescent="0.25">
      <c r="A2057" s="4" t="s">
        <v>2070</v>
      </c>
      <c r="B2057" s="2" t="s">
        <v>3773</v>
      </c>
      <c r="C2057" s="2" t="s">
        <v>3872</v>
      </c>
      <c r="D2057" s="2" t="s">
        <v>3876</v>
      </c>
      <c r="E2057" s="3">
        <v>45097</v>
      </c>
      <c r="F2057" s="3">
        <v>45524</v>
      </c>
      <c r="G2057" s="2" t="s">
        <v>3886</v>
      </c>
      <c r="H2057" s="2">
        <v>756791</v>
      </c>
      <c r="I2057" s="2">
        <v>523622</v>
      </c>
      <c r="J2057" s="2" t="s">
        <v>3889</v>
      </c>
      <c r="K2057" s="2" t="s">
        <v>3893</v>
      </c>
      <c r="L2057" s="2">
        <v>2023</v>
      </c>
      <c r="M2057" s="2">
        <v>233169</v>
      </c>
      <c r="N2057" s="2">
        <f xml:space="preserve"> (Table1[[#This Row],[Variance (USD)]] / Table1[[#This Row],[Actual Spending (USD)]]) * 100</f>
        <v>44.530023566618667</v>
      </c>
      <c r="O2057" s="5" t="s">
        <v>3899</v>
      </c>
    </row>
    <row r="2058" spans="1:15" x14ac:dyDescent="0.25">
      <c r="A2058" s="4" t="s">
        <v>2071</v>
      </c>
      <c r="B2058" s="2" t="s">
        <v>3058</v>
      </c>
      <c r="C2058" s="2" t="s">
        <v>3871</v>
      </c>
      <c r="D2058" s="2" t="s">
        <v>3879</v>
      </c>
      <c r="E2058" s="3">
        <v>44941</v>
      </c>
      <c r="F2058" s="3">
        <v>45618</v>
      </c>
      <c r="G2058" s="2" t="s">
        <v>3884</v>
      </c>
      <c r="H2058" s="2">
        <v>992980</v>
      </c>
      <c r="I2058" s="2">
        <v>301246</v>
      </c>
      <c r="J2058" s="2" t="s">
        <v>3891</v>
      </c>
      <c r="K2058" s="2" t="s">
        <v>3895</v>
      </c>
      <c r="L2058" s="2">
        <v>2024</v>
      </c>
      <c r="M2058" s="2">
        <v>691734</v>
      </c>
      <c r="N2058" s="2">
        <f xml:space="preserve"> (Table1[[#This Row],[Variance (USD)]] / Table1[[#This Row],[Actual Spending (USD)]]) * 100</f>
        <v>229.62429376655624</v>
      </c>
      <c r="O2058" s="5" t="s">
        <v>3897</v>
      </c>
    </row>
    <row r="2059" spans="1:15" x14ac:dyDescent="0.25">
      <c r="A2059" s="4" t="s">
        <v>2072</v>
      </c>
      <c r="B2059" s="2" t="s">
        <v>3690</v>
      </c>
      <c r="C2059" s="2" t="s">
        <v>3868</v>
      </c>
      <c r="D2059" s="2" t="s">
        <v>3877</v>
      </c>
      <c r="E2059" s="3">
        <v>45137</v>
      </c>
      <c r="F2059" s="3">
        <v>45473</v>
      </c>
      <c r="G2059" s="2" t="s">
        <v>3884</v>
      </c>
      <c r="H2059" s="2">
        <v>783771</v>
      </c>
      <c r="I2059" s="2">
        <v>883539</v>
      </c>
      <c r="J2059" s="2" t="s">
        <v>3890</v>
      </c>
      <c r="K2059" s="2" t="s">
        <v>3894</v>
      </c>
      <c r="L2059" s="2">
        <v>2023</v>
      </c>
      <c r="M2059" s="2">
        <v>-99768</v>
      </c>
      <c r="N2059" s="2">
        <f xml:space="preserve"> (Table1[[#This Row],[Variance (USD)]] / Table1[[#This Row],[Actual Spending (USD)]]) * 100</f>
        <v>-11.291861479798856</v>
      </c>
      <c r="O2059" s="5" t="s">
        <v>3897</v>
      </c>
    </row>
    <row r="2060" spans="1:15" x14ac:dyDescent="0.25">
      <c r="A2060" s="4" t="s">
        <v>2073</v>
      </c>
      <c r="B2060" s="2" t="s">
        <v>3721</v>
      </c>
      <c r="C2060" s="2" t="s">
        <v>3870</v>
      </c>
      <c r="D2060" s="2" t="s">
        <v>3882</v>
      </c>
      <c r="E2060" s="3">
        <v>45486</v>
      </c>
      <c r="F2060" s="3">
        <v>45925</v>
      </c>
      <c r="G2060" s="2" t="s">
        <v>3885</v>
      </c>
      <c r="H2060" s="2">
        <v>847118</v>
      </c>
      <c r="I2060" s="2">
        <v>264501</v>
      </c>
      <c r="J2060" s="2" t="s">
        <v>3888</v>
      </c>
      <c r="K2060" s="2" t="s">
        <v>3896</v>
      </c>
      <c r="L2060" s="2">
        <v>2024</v>
      </c>
      <c r="M2060" s="2">
        <v>582617</v>
      </c>
      <c r="N2060" s="2">
        <f xml:space="preserve"> (Table1[[#This Row],[Variance (USD)]] / Table1[[#This Row],[Actual Spending (USD)]]) * 100</f>
        <v>220.27024472497268</v>
      </c>
      <c r="O2060" s="5" t="s">
        <v>3898</v>
      </c>
    </row>
    <row r="2061" spans="1:15" x14ac:dyDescent="0.25">
      <c r="A2061" s="4" t="s">
        <v>2074</v>
      </c>
      <c r="B2061" s="2" t="s">
        <v>3325</v>
      </c>
      <c r="C2061" s="2" t="s">
        <v>3870</v>
      </c>
      <c r="D2061" s="2" t="s">
        <v>3880</v>
      </c>
      <c r="E2061" s="3">
        <v>45012</v>
      </c>
      <c r="F2061" s="3">
        <v>45625</v>
      </c>
      <c r="G2061" s="2" t="s">
        <v>3884</v>
      </c>
      <c r="H2061" s="2">
        <v>198608</v>
      </c>
      <c r="I2061" s="2">
        <v>969057</v>
      </c>
      <c r="J2061" s="2" t="s">
        <v>3891</v>
      </c>
      <c r="K2061" s="2" t="s">
        <v>3896</v>
      </c>
      <c r="L2061" s="2">
        <v>2025</v>
      </c>
      <c r="M2061" s="2">
        <v>-770449</v>
      </c>
      <c r="N2061" s="2">
        <f xml:space="preserve"> (Table1[[#This Row],[Variance (USD)]] / Table1[[#This Row],[Actual Spending (USD)]]) * 100</f>
        <v>-79.505023956279146</v>
      </c>
      <c r="O2061" s="5" t="s">
        <v>3897</v>
      </c>
    </row>
    <row r="2062" spans="1:15" x14ac:dyDescent="0.25">
      <c r="A2062" s="4" t="s">
        <v>2075</v>
      </c>
      <c r="B2062" s="2" t="s">
        <v>3143</v>
      </c>
      <c r="C2062" s="2" t="s">
        <v>3868</v>
      </c>
      <c r="D2062" s="2" t="s">
        <v>3880</v>
      </c>
      <c r="E2062" s="3">
        <v>45075</v>
      </c>
      <c r="F2062" s="3">
        <v>46006</v>
      </c>
      <c r="G2062" s="2" t="s">
        <v>3886</v>
      </c>
      <c r="H2062" s="2">
        <v>346206</v>
      </c>
      <c r="I2062" s="2">
        <v>1162655</v>
      </c>
      <c r="J2062" s="2" t="s">
        <v>3890</v>
      </c>
      <c r="K2062" s="2" t="s">
        <v>3895</v>
      </c>
      <c r="L2062" s="2">
        <v>2024</v>
      </c>
      <c r="M2062" s="2">
        <v>-816449</v>
      </c>
      <c r="N2062" s="2">
        <f xml:space="preserve"> (Table1[[#This Row],[Variance (USD)]] / Table1[[#This Row],[Actual Spending (USD)]]) * 100</f>
        <v>-70.222809001810518</v>
      </c>
      <c r="O2062" s="5" t="s">
        <v>3899</v>
      </c>
    </row>
    <row r="2063" spans="1:15" x14ac:dyDescent="0.25">
      <c r="A2063" s="4" t="s">
        <v>2076</v>
      </c>
      <c r="B2063" s="2" t="s">
        <v>3265</v>
      </c>
      <c r="C2063" s="2" t="s">
        <v>3872</v>
      </c>
      <c r="D2063" s="2" t="s">
        <v>3876</v>
      </c>
      <c r="E2063" s="3">
        <v>45626</v>
      </c>
      <c r="F2063" s="3">
        <v>45320</v>
      </c>
      <c r="G2063" s="2" t="s">
        <v>3886</v>
      </c>
      <c r="H2063" s="2">
        <v>884648</v>
      </c>
      <c r="I2063" s="2">
        <v>648725</v>
      </c>
      <c r="J2063" s="2" t="s">
        <v>3891</v>
      </c>
      <c r="K2063" s="2" t="s">
        <v>3894</v>
      </c>
      <c r="L2063" s="2">
        <v>2025</v>
      </c>
      <c r="M2063" s="2">
        <v>235923</v>
      </c>
      <c r="N2063" s="2">
        <f xml:space="preserve"> (Table1[[#This Row],[Variance (USD)]] / Table1[[#This Row],[Actual Spending (USD)]]) * 100</f>
        <v>36.367181779644689</v>
      </c>
      <c r="O2063" s="5" t="s">
        <v>3899</v>
      </c>
    </row>
    <row r="2064" spans="1:15" x14ac:dyDescent="0.25">
      <c r="A2064" s="4" t="s">
        <v>2077</v>
      </c>
      <c r="B2064" s="2" t="s">
        <v>3025</v>
      </c>
      <c r="C2064" s="2" t="s">
        <v>3873</v>
      </c>
      <c r="D2064" s="2" t="s">
        <v>3883</v>
      </c>
      <c r="E2064" s="3">
        <v>45298</v>
      </c>
      <c r="F2064" s="3">
        <v>46005</v>
      </c>
      <c r="G2064" s="2" t="s">
        <v>3884</v>
      </c>
      <c r="H2064" s="2">
        <v>992545</v>
      </c>
      <c r="I2064" s="2">
        <v>227937</v>
      </c>
      <c r="J2064" s="2" t="s">
        <v>3892</v>
      </c>
      <c r="K2064" s="2" t="s">
        <v>3895</v>
      </c>
      <c r="L2064" s="2">
        <v>2024</v>
      </c>
      <c r="M2064" s="2">
        <v>764608</v>
      </c>
      <c r="N2064" s="2">
        <f xml:space="preserve"> (Table1[[#This Row],[Variance (USD)]] / Table1[[#This Row],[Actual Spending (USD)]]) * 100</f>
        <v>335.44707528834721</v>
      </c>
      <c r="O2064" s="5" t="s">
        <v>3897</v>
      </c>
    </row>
    <row r="2065" spans="1:15" x14ac:dyDescent="0.25">
      <c r="A2065" s="4" t="s">
        <v>2078</v>
      </c>
      <c r="B2065" s="2" t="s">
        <v>3040</v>
      </c>
      <c r="C2065" s="2" t="s">
        <v>3873</v>
      </c>
      <c r="D2065" s="2" t="s">
        <v>3883</v>
      </c>
      <c r="E2065" s="3">
        <v>45406</v>
      </c>
      <c r="F2065" s="3">
        <v>45384</v>
      </c>
      <c r="G2065" s="2" t="s">
        <v>3885</v>
      </c>
      <c r="H2065" s="2">
        <v>343797</v>
      </c>
      <c r="I2065" s="2">
        <v>410445</v>
      </c>
      <c r="J2065" s="2" t="s">
        <v>3888</v>
      </c>
      <c r="K2065" s="2" t="s">
        <v>3896</v>
      </c>
      <c r="L2065" s="2">
        <v>2024</v>
      </c>
      <c r="M2065" s="2">
        <v>-66648</v>
      </c>
      <c r="N2065" s="2">
        <f xml:space="preserve"> (Table1[[#This Row],[Variance (USD)]] / Table1[[#This Row],[Actual Spending (USD)]]) * 100</f>
        <v>-16.237985600994044</v>
      </c>
      <c r="O2065" s="5" t="s">
        <v>3898</v>
      </c>
    </row>
    <row r="2066" spans="1:15" x14ac:dyDescent="0.25">
      <c r="A2066" s="4" t="s">
        <v>2079</v>
      </c>
      <c r="B2066" s="2" t="s">
        <v>3086</v>
      </c>
      <c r="C2066" s="2" t="s">
        <v>3868</v>
      </c>
      <c r="D2066" s="2" t="s">
        <v>3881</v>
      </c>
      <c r="E2066" s="3">
        <v>45077</v>
      </c>
      <c r="F2066" s="3">
        <v>45979</v>
      </c>
      <c r="G2066" s="2" t="s">
        <v>3886</v>
      </c>
      <c r="H2066" s="2">
        <v>595961</v>
      </c>
      <c r="I2066" s="2">
        <v>186454</v>
      </c>
      <c r="J2066" s="2" t="s">
        <v>3891</v>
      </c>
      <c r="K2066" s="2" t="s">
        <v>3894</v>
      </c>
      <c r="L2066" s="2">
        <v>2025</v>
      </c>
      <c r="M2066" s="2">
        <v>409507</v>
      </c>
      <c r="N2066" s="2">
        <f xml:space="preserve"> (Table1[[#This Row],[Variance (USD)]] / Table1[[#This Row],[Actual Spending (USD)]]) * 100</f>
        <v>219.62897014813305</v>
      </c>
      <c r="O2066" s="5" t="s">
        <v>3899</v>
      </c>
    </row>
    <row r="2067" spans="1:15" x14ac:dyDescent="0.25">
      <c r="A2067" s="4" t="s">
        <v>2080</v>
      </c>
      <c r="B2067" s="2" t="s">
        <v>3811</v>
      </c>
      <c r="C2067" s="2" t="s">
        <v>3873</v>
      </c>
      <c r="D2067" s="2" t="s">
        <v>3880</v>
      </c>
      <c r="E2067" s="3">
        <v>45067</v>
      </c>
      <c r="F2067" s="3">
        <v>45621</v>
      </c>
      <c r="G2067" s="2" t="s">
        <v>3884</v>
      </c>
      <c r="H2067" s="2">
        <v>191439</v>
      </c>
      <c r="I2067" s="2">
        <v>68795</v>
      </c>
      <c r="J2067" s="2" t="s">
        <v>3892</v>
      </c>
      <c r="K2067" s="2" t="s">
        <v>3896</v>
      </c>
      <c r="L2067" s="2">
        <v>2024</v>
      </c>
      <c r="M2067" s="2">
        <v>122644</v>
      </c>
      <c r="N2067" s="2">
        <f xml:space="preserve"> (Table1[[#This Row],[Variance (USD)]] / Table1[[#This Row],[Actual Spending (USD)]]) * 100</f>
        <v>178.27458390871428</v>
      </c>
      <c r="O2067" s="5" t="s">
        <v>3897</v>
      </c>
    </row>
    <row r="2068" spans="1:15" x14ac:dyDescent="0.25">
      <c r="A2068" s="4" t="s">
        <v>2081</v>
      </c>
      <c r="B2068" s="2" t="s">
        <v>3228</v>
      </c>
      <c r="C2068" s="2" t="s">
        <v>3869</v>
      </c>
      <c r="D2068" s="2" t="s">
        <v>3882</v>
      </c>
      <c r="E2068" s="3">
        <v>44995</v>
      </c>
      <c r="F2068" s="3">
        <v>46014</v>
      </c>
      <c r="G2068" s="2" t="s">
        <v>3886</v>
      </c>
      <c r="H2068" s="2">
        <v>69629</v>
      </c>
      <c r="I2068" s="2">
        <v>1130001</v>
      </c>
      <c r="J2068" s="2" t="s">
        <v>3888</v>
      </c>
      <c r="K2068" s="2" t="s">
        <v>3895</v>
      </c>
      <c r="L2068" s="2">
        <v>2025</v>
      </c>
      <c r="M2068" s="2">
        <v>-1060372</v>
      </c>
      <c r="N2068" s="2">
        <f xml:space="preserve"> (Table1[[#This Row],[Variance (USD)]] / Table1[[#This Row],[Actual Spending (USD)]]) * 100</f>
        <v>-93.838147045887567</v>
      </c>
      <c r="O2068" s="5" t="s">
        <v>3899</v>
      </c>
    </row>
    <row r="2069" spans="1:15" x14ac:dyDescent="0.25">
      <c r="A2069" s="4" t="s">
        <v>2082</v>
      </c>
      <c r="B2069" s="2" t="s">
        <v>3572</v>
      </c>
      <c r="C2069" s="2" t="s">
        <v>3871</v>
      </c>
      <c r="D2069" s="2" t="s">
        <v>3879</v>
      </c>
      <c r="E2069" s="3">
        <v>45186</v>
      </c>
      <c r="F2069" s="3">
        <v>45475</v>
      </c>
      <c r="G2069" s="2" t="s">
        <v>3886</v>
      </c>
      <c r="H2069" s="2">
        <v>695044</v>
      </c>
      <c r="I2069" s="2">
        <v>611690</v>
      </c>
      <c r="J2069" s="2" t="s">
        <v>3891</v>
      </c>
      <c r="K2069" s="2" t="s">
        <v>3895</v>
      </c>
      <c r="L2069" s="2">
        <v>2023</v>
      </c>
      <c r="M2069" s="2">
        <v>83354</v>
      </c>
      <c r="N2069" s="2">
        <f xml:space="preserve"> (Table1[[#This Row],[Variance (USD)]] / Table1[[#This Row],[Actual Spending (USD)]]) * 100</f>
        <v>13.62683712337949</v>
      </c>
      <c r="O2069" s="5" t="s">
        <v>3899</v>
      </c>
    </row>
    <row r="2070" spans="1:15" x14ac:dyDescent="0.25">
      <c r="A2070" s="4" t="s">
        <v>2083</v>
      </c>
      <c r="B2070" s="2" t="s">
        <v>3402</v>
      </c>
      <c r="C2070" s="2" t="s">
        <v>3871</v>
      </c>
      <c r="D2070" s="2" t="s">
        <v>3877</v>
      </c>
      <c r="E2070" s="3">
        <v>45447</v>
      </c>
      <c r="F2070" s="3">
        <v>45386</v>
      </c>
      <c r="G2070" s="2" t="s">
        <v>3886</v>
      </c>
      <c r="H2070" s="2">
        <v>685929</v>
      </c>
      <c r="I2070" s="2">
        <v>485755</v>
      </c>
      <c r="J2070" s="2" t="s">
        <v>3891</v>
      </c>
      <c r="K2070" s="2" t="s">
        <v>3895</v>
      </c>
      <c r="L2070" s="2">
        <v>2025</v>
      </c>
      <c r="M2070" s="2">
        <v>200174</v>
      </c>
      <c r="N2070" s="2">
        <f xml:space="preserve"> (Table1[[#This Row],[Variance (USD)]] / Table1[[#This Row],[Actual Spending (USD)]]) * 100</f>
        <v>41.208839847248093</v>
      </c>
      <c r="O2070" s="5" t="s">
        <v>3899</v>
      </c>
    </row>
    <row r="2071" spans="1:15" x14ac:dyDescent="0.25">
      <c r="A2071" s="4" t="s">
        <v>2084</v>
      </c>
      <c r="B2071" s="2" t="s">
        <v>3812</v>
      </c>
      <c r="C2071" s="2" t="s">
        <v>3868</v>
      </c>
      <c r="D2071" s="2" t="s">
        <v>3880</v>
      </c>
      <c r="E2071" s="3">
        <v>45559</v>
      </c>
      <c r="F2071" s="3">
        <v>45940</v>
      </c>
      <c r="G2071" s="2" t="s">
        <v>3885</v>
      </c>
      <c r="H2071" s="2">
        <v>515406</v>
      </c>
      <c r="I2071" s="2">
        <v>395271</v>
      </c>
      <c r="J2071" s="2" t="s">
        <v>3891</v>
      </c>
      <c r="K2071" s="2" t="s">
        <v>3895</v>
      </c>
      <c r="L2071" s="2">
        <v>2024</v>
      </c>
      <c r="M2071" s="2">
        <v>120135</v>
      </c>
      <c r="N2071" s="2">
        <f xml:space="preserve"> (Table1[[#This Row],[Variance (USD)]] / Table1[[#This Row],[Actual Spending (USD)]]) * 100</f>
        <v>30.393072094841262</v>
      </c>
      <c r="O2071" s="5" t="s">
        <v>3898</v>
      </c>
    </row>
    <row r="2072" spans="1:15" x14ac:dyDescent="0.25">
      <c r="A2072" s="4" t="s">
        <v>2085</v>
      </c>
      <c r="B2072" s="2" t="s">
        <v>3284</v>
      </c>
      <c r="C2072" s="2" t="s">
        <v>3875</v>
      </c>
      <c r="D2072" s="2" t="s">
        <v>3878</v>
      </c>
      <c r="E2072" s="3">
        <v>45297</v>
      </c>
      <c r="F2072" s="3">
        <v>45644</v>
      </c>
      <c r="G2072" s="2" t="s">
        <v>3884</v>
      </c>
      <c r="H2072" s="2">
        <v>337207</v>
      </c>
      <c r="I2072" s="2">
        <v>970963</v>
      </c>
      <c r="J2072" s="2" t="s">
        <v>3891</v>
      </c>
      <c r="K2072" s="2" t="s">
        <v>3895</v>
      </c>
      <c r="L2072" s="2">
        <v>2023</v>
      </c>
      <c r="M2072" s="2">
        <v>-633756</v>
      </c>
      <c r="N2072" s="2">
        <f xml:space="preserve"> (Table1[[#This Row],[Variance (USD)]] / Table1[[#This Row],[Actual Spending (USD)]]) * 100</f>
        <v>-65.270870259731822</v>
      </c>
      <c r="O2072" s="5" t="s">
        <v>3897</v>
      </c>
    </row>
    <row r="2073" spans="1:15" x14ac:dyDescent="0.25">
      <c r="A2073" s="4" t="s">
        <v>2086</v>
      </c>
      <c r="B2073" s="2" t="s">
        <v>3600</v>
      </c>
      <c r="C2073" s="2" t="s">
        <v>3874</v>
      </c>
      <c r="D2073" s="2" t="s">
        <v>3877</v>
      </c>
      <c r="E2073" s="3">
        <v>45345</v>
      </c>
      <c r="F2073" s="3">
        <v>45556</v>
      </c>
      <c r="G2073" s="2" t="s">
        <v>3884</v>
      </c>
      <c r="H2073" s="2">
        <v>331466</v>
      </c>
      <c r="I2073" s="2">
        <v>649405</v>
      </c>
      <c r="J2073" s="2" t="s">
        <v>3889</v>
      </c>
      <c r="K2073" s="2" t="s">
        <v>3893</v>
      </c>
      <c r="L2073" s="2">
        <v>2024</v>
      </c>
      <c r="M2073" s="2">
        <v>-317939</v>
      </c>
      <c r="N2073" s="2">
        <f xml:space="preserve"> (Table1[[#This Row],[Variance (USD)]] / Table1[[#This Row],[Actual Spending (USD)]]) * 100</f>
        <v>-48.958508172865933</v>
      </c>
      <c r="O2073" s="5" t="s">
        <v>3897</v>
      </c>
    </row>
    <row r="2074" spans="1:15" x14ac:dyDescent="0.25">
      <c r="A2074" s="4" t="s">
        <v>2087</v>
      </c>
      <c r="B2074" s="2" t="s">
        <v>3734</v>
      </c>
      <c r="C2074" s="2" t="s">
        <v>3872</v>
      </c>
      <c r="D2074" s="2" t="s">
        <v>3881</v>
      </c>
      <c r="E2074" s="3">
        <v>45027</v>
      </c>
      <c r="F2074" s="3">
        <v>45938</v>
      </c>
      <c r="G2074" s="2" t="s">
        <v>3884</v>
      </c>
      <c r="H2074" s="2">
        <v>789906</v>
      </c>
      <c r="I2074" s="2">
        <v>494962</v>
      </c>
      <c r="J2074" s="2" t="s">
        <v>3891</v>
      </c>
      <c r="K2074" s="2" t="s">
        <v>3895</v>
      </c>
      <c r="L2074" s="2">
        <v>2023</v>
      </c>
      <c r="M2074" s="2">
        <v>294944</v>
      </c>
      <c r="N2074" s="2">
        <f xml:space="preserve"> (Table1[[#This Row],[Variance (USD)]] / Table1[[#This Row],[Actual Spending (USD)]]) * 100</f>
        <v>59.589220990702316</v>
      </c>
      <c r="O2074" s="5" t="s">
        <v>3897</v>
      </c>
    </row>
    <row r="2075" spans="1:15" x14ac:dyDescent="0.25">
      <c r="A2075" s="4" t="s">
        <v>2088</v>
      </c>
      <c r="B2075" s="2" t="s">
        <v>3291</v>
      </c>
      <c r="C2075" s="2" t="s">
        <v>3868</v>
      </c>
      <c r="D2075" s="2" t="s">
        <v>3883</v>
      </c>
      <c r="E2075" s="3">
        <v>45587</v>
      </c>
      <c r="F2075" s="3">
        <v>45947</v>
      </c>
      <c r="G2075" s="2" t="s">
        <v>3884</v>
      </c>
      <c r="H2075" s="2">
        <v>558853</v>
      </c>
      <c r="I2075" s="2">
        <v>370300</v>
      </c>
      <c r="J2075" s="2" t="s">
        <v>3889</v>
      </c>
      <c r="K2075" s="2" t="s">
        <v>3895</v>
      </c>
      <c r="L2075" s="2">
        <v>2025</v>
      </c>
      <c r="M2075" s="2">
        <v>188553</v>
      </c>
      <c r="N2075" s="2">
        <f xml:space="preserve"> (Table1[[#This Row],[Variance (USD)]] / Table1[[#This Row],[Actual Spending (USD)]]) * 100</f>
        <v>50.918984607075345</v>
      </c>
      <c r="O2075" s="5" t="s">
        <v>3897</v>
      </c>
    </row>
    <row r="2076" spans="1:15" x14ac:dyDescent="0.25">
      <c r="A2076" s="4" t="s">
        <v>2089</v>
      </c>
      <c r="B2076" s="2" t="s">
        <v>3755</v>
      </c>
      <c r="C2076" s="2" t="s">
        <v>3873</v>
      </c>
      <c r="D2076" s="2" t="s">
        <v>3882</v>
      </c>
      <c r="E2076" s="3">
        <v>45584</v>
      </c>
      <c r="F2076" s="3">
        <v>45310</v>
      </c>
      <c r="G2076" s="2" t="s">
        <v>3884</v>
      </c>
      <c r="H2076" s="2">
        <v>849125</v>
      </c>
      <c r="I2076" s="2">
        <v>459960</v>
      </c>
      <c r="J2076" s="2" t="s">
        <v>3889</v>
      </c>
      <c r="K2076" s="2" t="s">
        <v>3896</v>
      </c>
      <c r="L2076" s="2">
        <v>2023</v>
      </c>
      <c r="M2076" s="2">
        <v>389165</v>
      </c>
      <c r="N2076" s="2">
        <f xml:space="preserve"> (Table1[[#This Row],[Variance (USD)]] / Table1[[#This Row],[Actual Spending (USD)]]) * 100</f>
        <v>84.608444212540221</v>
      </c>
      <c r="O2076" s="5" t="s">
        <v>3897</v>
      </c>
    </row>
    <row r="2077" spans="1:15" x14ac:dyDescent="0.25">
      <c r="A2077" s="4" t="s">
        <v>2090</v>
      </c>
      <c r="B2077" s="2" t="s">
        <v>3391</v>
      </c>
      <c r="C2077" s="2" t="s">
        <v>3872</v>
      </c>
      <c r="D2077" s="2" t="s">
        <v>3880</v>
      </c>
      <c r="E2077" s="3">
        <v>45169</v>
      </c>
      <c r="F2077" s="3">
        <v>45937</v>
      </c>
      <c r="G2077" s="2" t="s">
        <v>3885</v>
      </c>
      <c r="H2077" s="2">
        <v>190313</v>
      </c>
      <c r="I2077" s="2">
        <v>60568</v>
      </c>
      <c r="J2077" s="2" t="s">
        <v>3892</v>
      </c>
      <c r="K2077" s="2" t="s">
        <v>3895</v>
      </c>
      <c r="L2077" s="2">
        <v>2023</v>
      </c>
      <c r="M2077" s="2">
        <v>129745</v>
      </c>
      <c r="N2077" s="2">
        <f xml:space="preserve"> (Table1[[#This Row],[Variance (USD)]] / Table1[[#This Row],[Actual Spending (USD)]]) * 100</f>
        <v>214.21377625148591</v>
      </c>
      <c r="O2077" s="5" t="s">
        <v>3898</v>
      </c>
    </row>
    <row r="2078" spans="1:15" x14ac:dyDescent="0.25">
      <c r="A2078" s="4" t="s">
        <v>2091</v>
      </c>
      <c r="B2078" s="2" t="s">
        <v>3184</v>
      </c>
      <c r="C2078" s="2" t="s">
        <v>3875</v>
      </c>
      <c r="D2078" s="2" t="s">
        <v>3876</v>
      </c>
      <c r="E2078" s="3">
        <v>45438</v>
      </c>
      <c r="F2078" s="3">
        <v>45917</v>
      </c>
      <c r="G2078" s="2" t="s">
        <v>3886</v>
      </c>
      <c r="H2078" s="2">
        <v>472994</v>
      </c>
      <c r="I2078" s="2">
        <v>965495</v>
      </c>
      <c r="J2078" s="2" t="s">
        <v>3888</v>
      </c>
      <c r="K2078" s="2" t="s">
        <v>3894</v>
      </c>
      <c r="L2078" s="2">
        <v>2023</v>
      </c>
      <c r="M2078" s="2">
        <v>-492501</v>
      </c>
      <c r="N2078" s="2">
        <f xml:space="preserve"> (Table1[[#This Row],[Variance (USD)]] / Table1[[#This Row],[Actual Spending (USD)]]) * 100</f>
        <v>-51.010207199415845</v>
      </c>
      <c r="O2078" s="5" t="s">
        <v>3899</v>
      </c>
    </row>
    <row r="2079" spans="1:15" x14ac:dyDescent="0.25">
      <c r="A2079" s="4" t="s">
        <v>2092</v>
      </c>
      <c r="B2079" s="2" t="s">
        <v>3499</v>
      </c>
      <c r="C2079" s="2" t="s">
        <v>3873</v>
      </c>
      <c r="D2079" s="2" t="s">
        <v>3878</v>
      </c>
      <c r="E2079" s="3">
        <v>45481</v>
      </c>
      <c r="F2079" s="3">
        <v>45790</v>
      </c>
      <c r="G2079" s="2" t="s">
        <v>3886</v>
      </c>
      <c r="H2079" s="2">
        <v>414523</v>
      </c>
      <c r="I2079" s="2">
        <v>717887</v>
      </c>
      <c r="J2079" s="2" t="s">
        <v>3889</v>
      </c>
      <c r="K2079" s="2" t="s">
        <v>3895</v>
      </c>
      <c r="L2079" s="2">
        <v>2024</v>
      </c>
      <c r="M2079" s="2">
        <v>-303364</v>
      </c>
      <c r="N2079" s="2">
        <f xml:space="preserve"> (Table1[[#This Row],[Variance (USD)]] / Table1[[#This Row],[Actual Spending (USD)]]) * 100</f>
        <v>-42.257904099113091</v>
      </c>
      <c r="O2079" s="5" t="s">
        <v>3899</v>
      </c>
    </row>
    <row r="2080" spans="1:15" x14ac:dyDescent="0.25">
      <c r="A2080" s="4" t="s">
        <v>2093</v>
      </c>
      <c r="B2080" s="2" t="s">
        <v>3078</v>
      </c>
      <c r="C2080" s="2" t="s">
        <v>3870</v>
      </c>
      <c r="D2080" s="2" t="s">
        <v>3880</v>
      </c>
      <c r="E2080" s="3">
        <v>45021</v>
      </c>
      <c r="F2080" s="3">
        <v>45430</v>
      </c>
      <c r="G2080" s="2" t="s">
        <v>3886</v>
      </c>
      <c r="H2080" s="2">
        <v>849083</v>
      </c>
      <c r="I2080" s="2">
        <v>1043903</v>
      </c>
      <c r="J2080" s="2" t="s">
        <v>3890</v>
      </c>
      <c r="K2080" s="2" t="s">
        <v>3893</v>
      </c>
      <c r="L2080" s="2">
        <v>2023</v>
      </c>
      <c r="M2080" s="2">
        <v>-194820</v>
      </c>
      <c r="N2080" s="2">
        <f xml:space="preserve"> (Table1[[#This Row],[Variance (USD)]] / Table1[[#This Row],[Actual Spending (USD)]]) * 100</f>
        <v>-18.662653522405819</v>
      </c>
      <c r="O2080" s="5" t="s">
        <v>3899</v>
      </c>
    </row>
    <row r="2081" spans="1:15" x14ac:dyDescent="0.25">
      <c r="A2081" s="4" t="s">
        <v>2094</v>
      </c>
      <c r="B2081" s="2" t="s">
        <v>3697</v>
      </c>
      <c r="C2081" s="2" t="s">
        <v>3874</v>
      </c>
      <c r="D2081" s="2" t="s">
        <v>3882</v>
      </c>
      <c r="E2081" s="3">
        <v>45152</v>
      </c>
      <c r="F2081" s="3">
        <v>45928</v>
      </c>
      <c r="G2081" s="2" t="s">
        <v>3885</v>
      </c>
      <c r="H2081" s="2">
        <v>731326</v>
      </c>
      <c r="I2081" s="2">
        <v>260066</v>
      </c>
      <c r="J2081" s="2" t="s">
        <v>3889</v>
      </c>
      <c r="K2081" s="2" t="s">
        <v>3895</v>
      </c>
      <c r="L2081" s="2">
        <v>2025</v>
      </c>
      <c r="M2081" s="2">
        <v>471260</v>
      </c>
      <c r="N2081" s="2">
        <f xml:space="preserve"> (Table1[[#This Row],[Variance (USD)]] / Table1[[#This Row],[Actual Spending (USD)]]) * 100</f>
        <v>181.20784723877784</v>
      </c>
      <c r="O2081" s="5" t="s">
        <v>3898</v>
      </c>
    </row>
    <row r="2082" spans="1:15" x14ac:dyDescent="0.25">
      <c r="A2082" s="4" t="s">
        <v>2095</v>
      </c>
      <c r="B2082" s="2" t="s">
        <v>3761</v>
      </c>
      <c r="C2082" s="2" t="s">
        <v>3869</v>
      </c>
      <c r="D2082" s="2" t="s">
        <v>3881</v>
      </c>
      <c r="E2082" s="3">
        <v>45444</v>
      </c>
      <c r="F2082" s="3">
        <v>46007</v>
      </c>
      <c r="G2082" s="2" t="s">
        <v>3884</v>
      </c>
      <c r="H2082" s="2">
        <v>845707</v>
      </c>
      <c r="I2082" s="2">
        <v>524957</v>
      </c>
      <c r="J2082" s="2" t="s">
        <v>3890</v>
      </c>
      <c r="K2082" s="2" t="s">
        <v>3896</v>
      </c>
      <c r="L2082" s="2">
        <v>2025</v>
      </c>
      <c r="M2082" s="2">
        <v>320750</v>
      </c>
      <c r="N2082" s="2">
        <f xml:space="preserve"> (Table1[[#This Row],[Variance (USD)]] / Table1[[#This Row],[Actual Spending (USD)]]) * 100</f>
        <v>61.100242496052061</v>
      </c>
      <c r="O2082" s="5" t="s">
        <v>3897</v>
      </c>
    </row>
    <row r="2083" spans="1:15" x14ac:dyDescent="0.25">
      <c r="A2083" s="4" t="s">
        <v>2096</v>
      </c>
      <c r="B2083" s="2" t="s">
        <v>3043</v>
      </c>
      <c r="C2083" s="2" t="s">
        <v>3873</v>
      </c>
      <c r="D2083" s="2" t="s">
        <v>3879</v>
      </c>
      <c r="E2083" s="3">
        <v>45140</v>
      </c>
      <c r="F2083" s="3">
        <v>45864</v>
      </c>
      <c r="G2083" s="2" t="s">
        <v>3885</v>
      </c>
      <c r="H2083" s="2">
        <v>95606</v>
      </c>
      <c r="I2083" s="2">
        <v>32355</v>
      </c>
      <c r="J2083" s="2" t="s">
        <v>3892</v>
      </c>
      <c r="K2083" s="2" t="s">
        <v>3894</v>
      </c>
      <c r="L2083" s="2">
        <v>2025</v>
      </c>
      <c r="M2083" s="2">
        <v>63251</v>
      </c>
      <c r="N2083" s="2">
        <f xml:space="preserve"> (Table1[[#This Row],[Variance (USD)]] / Table1[[#This Row],[Actual Spending (USD)]]) * 100</f>
        <v>195.49065059496215</v>
      </c>
      <c r="O2083" s="5" t="s">
        <v>3898</v>
      </c>
    </row>
    <row r="2084" spans="1:15" x14ac:dyDescent="0.25">
      <c r="A2084" s="4" t="s">
        <v>2097</v>
      </c>
      <c r="B2084" s="2" t="s">
        <v>3335</v>
      </c>
      <c r="C2084" s="2" t="s">
        <v>3869</v>
      </c>
      <c r="D2084" s="2" t="s">
        <v>3878</v>
      </c>
      <c r="E2084" s="3">
        <v>45644</v>
      </c>
      <c r="F2084" s="3">
        <v>45816</v>
      </c>
      <c r="G2084" s="2" t="s">
        <v>3884</v>
      </c>
      <c r="H2084" s="2">
        <v>51658</v>
      </c>
      <c r="I2084" s="2">
        <v>126429</v>
      </c>
      <c r="J2084" s="2" t="s">
        <v>3890</v>
      </c>
      <c r="K2084" s="2" t="s">
        <v>3894</v>
      </c>
      <c r="L2084" s="2">
        <v>2023</v>
      </c>
      <c r="M2084" s="2">
        <v>-74771</v>
      </c>
      <c r="N2084" s="2">
        <f xml:space="preserve"> (Table1[[#This Row],[Variance (USD)]] / Table1[[#This Row],[Actual Spending (USD)]]) * 100</f>
        <v>-59.140703477841313</v>
      </c>
      <c r="O2084" s="5" t="s">
        <v>3897</v>
      </c>
    </row>
    <row r="2085" spans="1:15" x14ac:dyDescent="0.25">
      <c r="A2085" s="4" t="s">
        <v>2098</v>
      </c>
      <c r="B2085" s="2" t="s">
        <v>3624</v>
      </c>
      <c r="C2085" s="2" t="s">
        <v>3872</v>
      </c>
      <c r="D2085" s="2" t="s">
        <v>3881</v>
      </c>
      <c r="E2085" s="3">
        <v>44993</v>
      </c>
      <c r="F2085" s="3">
        <v>45546</v>
      </c>
      <c r="G2085" s="2" t="s">
        <v>3885</v>
      </c>
      <c r="H2085" s="2">
        <v>275571</v>
      </c>
      <c r="I2085" s="2">
        <v>508187</v>
      </c>
      <c r="J2085" s="2" t="s">
        <v>3892</v>
      </c>
      <c r="K2085" s="2" t="s">
        <v>3895</v>
      </c>
      <c r="L2085" s="2">
        <v>2025</v>
      </c>
      <c r="M2085" s="2">
        <v>-232616</v>
      </c>
      <c r="N2085" s="2">
        <f xml:space="preserve"> (Table1[[#This Row],[Variance (USD)]] / Table1[[#This Row],[Actual Spending (USD)]]) * 100</f>
        <v>-45.773701413062511</v>
      </c>
      <c r="O2085" s="5" t="s">
        <v>3898</v>
      </c>
    </row>
    <row r="2086" spans="1:15" x14ac:dyDescent="0.25">
      <c r="A2086" s="4" t="s">
        <v>2099</v>
      </c>
      <c r="B2086" s="2" t="s">
        <v>3253</v>
      </c>
      <c r="C2086" s="2" t="s">
        <v>3869</v>
      </c>
      <c r="D2086" s="2" t="s">
        <v>3880</v>
      </c>
      <c r="E2086" s="3">
        <v>45322</v>
      </c>
      <c r="F2086" s="3">
        <v>45376</v>
      </c>
      <c r="G2086" s="2" t="s">
        <v>3886</v>
      </c>
      <c r="H2086" s="2">
        <v>122468</v>
      </c>
      <c r="I2086" s="2">
        <v>468949</v>
      </c>
      <c r="J2086" s="2" t="s">
        <v>3892</v>
      </c>
      <c r="K2086" s="2" t="s">
        <v>3895</v>
      </c>
      <c r="L2086" s="2">
        <v>2024</v>
      </c>
      <c r="M2086" s="2">
        <v>-346481</v>
      </c>
      <c r="N2086" s="2">
        <f xml:space="preserve"> (Table1[[#This Row],[Variance (USD)]] / Table1[[#This Row],[Actual Spending (USD)]]) * 100</f>
        <v>-73.884580199552616</v>
      </c>
      <c r="O2086" s="5" t="s">
        <v>3899</v>
      </c>
    </row>
    <row r="2087" spans="1:15" x14ac:dyDescent="0.25">
      <c r="A2087" s="4" t="s">
        <v>2100</v>
      </c>
      <c r="B2087" s="2" t="s">
        <v>3546</v>
      </c>
      <c r="C2087" s="2" t="s">
        <v>3872</v>
      </c>
      <c r="D2087" s="2" t="s">
        <v>3879</v>
      </c>
      <c r="E2087" s="3">
        <v>45538</v>
      </c>
      <c r="F2087" s="3">
        <v>45749</v>
      </c>
      <c r="G2087" s="2" t="s">
        <v>3884</v>
      </c>
      <c r="H2087" s="2">
        <v>457464</v>
      </c>
      <c r="I2087" s="2">
        <v>1000220</v>
      </c>
      <c r="J2087" s="2" t="s">
        <v>3892</v>
      </c>
      <c r="K2087" s="2" t="s">
        <v>3895</v>
      </c>
      <c r="L2087" s="2">
        <v>2025</v>
      </c>
      <c r="M2087" s="2">
        <v>-542756</v>
      </c>
      <c r="N2087" s="2">
        <f xml:space="preserve"> (Table1[[#This Row],[Variance (USD)]] / Table1[[#This Row],[Actual Spending (USD)]]) * 100</f>
        <v>-54.263661994361243</v>
      </c>
      <c r="O2087" s="5" t="s">
        <v>3897</v>
      </c>
    </row>
    <row r="2088" spans="1:15" x14ac:dyDescent="0.25">
      <c r="A2088" s="4" t="s">
        <v>2101</v>
      </c>
      <c r="B2088" s="2" t="s">
        <v>3763</v>
      </c>
      <c r="C2088" s="2" t="s">
        <v>3872</v>
      </c>
      <c r="D2088" s="2" t="s">
        <v>3878</v>
      </c>
      <c r="E2088" s="3">
        <v>44938</v>
      </c>
      <c r="F2088" s="3">
        <v>45823</v>
      </c>
      <c r="G2088" s="2" t="s">
        <v>3886</v>
      </c>
      <c r="H2088" s="2">
        <v>467653</v>
      </c>
      <c r="I2088" s="2">
        <v>141151</v>
      </c>
      <c r="J2088" s="2" t="s">
        <v>3890</v>
      </c>
      <c r="K2088" s="2" t="s">
        <v>3895</v>
      </c>
      <c r="L2088" s="2">
        <v>2023</v>
      </c>
      <c r="M2088" s="2">
        <v>326502</v>
      </c>
      <c r="N2088" s="2">
        <f xml:space="preserve"> (Table1[[#This Row],[Variance (USD)]] / Table1[[#This Row],[Actual Spending (USD)]]) * 100</f>
        <v>231.31398289774779</v>
      </c>
      <c r="O2088" s="5" t="s">
        <v>3899</v>
      </c>
    </row>
    <row r="2089" spans="1:15" x14ac:dyDescent="0.25">
      <c r="A2089" s="4" t="s">
        <v>2102</v>
      </c>
      <c r="B2089" s="2" t="s">
        <v>3048</v>
      </c>
      <c r="C2089" s="2" t="s">
        <v>3872</v>
      </c>
      <c r="D2089" s="2" t="s">
        <v>3879</v>
      </c>
      <c r="E2089" s="3">
        <v>45163</v>
      </c>
      <c r="F2089" s="3">
        <v>45853</v>
      </c>
      <c r="G2089" s="2" t="s">
        <v>3884</v>
      </c>
      <c r="H2089" s="2">
        <v>745087</v>
      </c>
      <c r="I2089" s="2">
        <v>357521</v>
      </c>
      <c r="J2089" s="2" t="s">
        <v>3890</v>
      </c>
      <c r="K2089" s="2" t="s">
        <v>3896</v>
      </c>
      <c r="L2089" s="2">
        <v>2025</v>
      </c>
      <c r="M2089" s="2">
        <v>387566</v>
      </c>
      <c r="N2089" s="2">
        <f xml:space="preserve"> (Table1[[#This Row],[Variance (USD)]] / Table1[[#This Row],[Actual Spending (USD)]]) * 100</f>
        <v>108.40370216015283</v>
      </c>
      <c r="O2089" s="5" t="s">
        <v>3897</v>
      </c>
    </row>
    <row r="2090" spans="1:15" x14ac:dyDescent="0.25">
      <c r="A2090" s="4" t="s">
        <v>2103</v>
      </c>
      <c r="B2090" s="2" t="s">
        <v>3407</v>
      </c>
      <c r="C2090" s="2" t="s">
        <v>3872</v>
      </c>
      <c r="D2090" s="2" t="s">
        <v>3879</v>
      </c>
      <c r="E2090" s="3">
        <v>45325</v>
      </c>
      <c r="F2090" s="3">
        <v>45967</v>
      </c>
      <c r="G2090" s="2" t="s">
        <v>3884</v>
      </c>
      <c r="H2090" s="2">
        <v>199273</v>
      </c>
      <c r="I2090" s="2">
        <v>205477</v>
      </c>
      <c r="J2090" s="2" t="s">
        <v>3892</v>
      </c>
      <c r="K2090" s="2" t="s">
        <v>3896</v>
      </c>
      <c r="L2090" s="2">
        <v>2023</v>
      </c>
      <c r="M2090" s="2">
        <v>-6204</v>
      </c>
      <c r="N2090" s="2">
        <f xml:space="preserve"> (Table1[[#This Row],[Variance (USD)]] / Table1[[#This Row],[Actual Spending (USD)]]) * 100</f>
        <v>-3.0193160305046307</v>
      </c>
      <c r="O2090" s="5" t="s">
        <v>3897</v>
      </c>
    </row>
    <row r="2091" spans="1:15" x14ac:dyDescent="0.25">
      <c r="A2091" s="4" t="s">
        <v>2104</v>
      </c>
      <c r="B2091" s="2" t="s">
        <v>3298</v>
      </c>
      <c r="C2091" s="2" t="s">
        <v>3872</v>
      </c>
      <c r="D2091" s="2" t="s">
        <v>3878</v>
      </c>
      <c r="E2091" s="3">
        <v>45333</v>
      </c>
      <c r="F2091" s="3">
        <v>45383</v>
      </c>
      <c r="G2091" s="2" t="s">
        <v>3886</v>
      </c>
      <c r="H2091" s="2">
        <v>615438</v>
      </c>
      <c r="I2091" s="2">
        <v>534898</v>
      </c>
      <c r="J2091" s="2" t="s">
        <v>3892</v>
      </c>
      <c r="K2091" s="2" t="s">
        <v>3894</v>
      </c>
      <c r="L2091" s="2">
        <v>2023</v>
      </c>
      <c r="M2091" s="2">
        <v>80540</v>
      </c>
      <c r="N2091" s="2">
        <f xml:space="preserve"> (Table1[[#This Row],[Variance (USD)]] / Table1[[#This Row],[Actual Spending (USD)]]) * 100</f>
        <v>15.05707630239784</v>
      </c>
      <c r="O2091" s="5" t="s">
        <v>3899</v>
      </c>
    </row>
    <row r="2092" spans="1:15" x14ac:dyDescent="0.25">
      <c r="A2092" s="4" t="s">
        <v>2105</v>
      </c>
      <c r="B2092" s="2" t="s">
        <v>3705</v>
      </c>
      <c r="C2092" s="2" t="s">
        <v>3873</v>
      </c>
      <c r="D2092" s="2" t="s">
        <v>3878</v>
      </c>
      <c r="E2092" s="3">
        <v>45406</v>
      </c>
      <c r="F2092" s="3">
        <v>45891</v>
      </c>
      <c r="G2092" s="2" t="s">
        <v>3884</v>
      </c>
      <c r="H2092" s="2">
        <v>820508</v>
      </c>
      <c r="I2092" s="2">
        <v>605817</v>
      </c>
      <c r="J2092" s="2" t="s">
        <v>3888</v>
      </c>
      <c r="K2092" s="2" t="s">
        <v>3895</v>
      </c>
      <c r="L2092" s="2">
        <v>2025</v>
      </c>
      <c r="M2092" s="2">
        <v>214691</v>
      </c>
      <c r="N2092" s="2">
        <f xml:space="preserve"> (Table1[[#This Row],[Variance (USD)]] / Table1[[#This Row],[Actual Spending (USD)]]) * 100</f>
        <v>35.438259408369191</v>
      </c>
      <c r="O2092" s="5" t="s">
        <v>3897</v>
      </c>
    </row>
    <row r="2093" spans="1:15" x14ac:dyDescent="0.25">
      <c r="A2093" s="4" t="s">
        <v>2106</v>
      </c>
      <c r="B2093" s="2" t="s">
        <v>3592</v>
      </c>
      <c r="C2093" s="2" t="s">
        <v>3872</v>
      </c>
      <c r="D2093" s="2" t="s">
        <v>3879</v>
      </c>
      <c r="E2093" s="3">
        <v>45573</v>
      </c>
      <c r="F2093" s="3">
        <v>45360</v>
      </c>
      <c r="G2093" s="2" t="s">
        <v>3884</v>
      </c>
      <c r="H2093" s="2">
        <v>851431</v>
      </c>
      <c r="I2093" s="2">
        <v>142833</v>
      </c>
      <c r="J2093" s="2" t="s">
        <v>3892</v>
      </c>
      <c r="K2093" s="2" t="s">
        <v>3896</v>
      </c>
      <c r="L2093" s="2">
        <v>2024</v>
      </c>
      <c r="M2093" s="2">
        <v>708598</v>
      </c>
      <c r="N2093" s="2">
        <f xml:space="preserve"> (Table1[[#This Row],[Variance (USD)]] / Table1[[#This Row],[Actual Spending (USD)]]) * 100</f>
        <v>496.10244131258179</v>
      </c>
      <c r="O2093" s="5" t="s">
        <v>3897</v>
      </c>
    </row>
    <row r="2094" spans="1:15" x14ac:dyDescent="0.25">
      <c r="A2094" s="4" t="s">
        <v>2107</v>
      </c>
      <c r="B2094" s="2" t="s">
        <v>3107</v>
      </c>
      <c r="C2094" s="2" t="s">
        <v>3873</v>
      </c>
      <c r="D2094" s="2" t="s">
        <v>3881</v>
      </c>
      <c r="E2094" s="3">
        <v>45148</v>
      </c>
      <c r="F2094" s="3">
        <v>45328</v>
      </c>
      <c r="G2094" s="2" t="s">
        <v>3885</v>
      </c>
      <c r="H2094" s="2">
        <v>301775</v>
      </c>
      <c r="I2094" s="2">
        <v>1182154</v>
      </c>
      <c r="J2094" s="2" t="s">
        <v>3891</v>
      </c>
      <c r="K2094" s="2" t="s">
        <v>3896</v>
      </c>
      <c r="L2094" s="2">
        <v>2024</v>
      </c>
      <c r="M2094" s="2">
        <v>-880379</v>
      </c>
      <c r="N2094" s="2">
        <f xml:space="preserve"> (Table1[[#This Row],[Variance (USD)]] / Table1[[#This Row],[Actual Spending (USD)]]) * 100</f>
        <v>-74.472446060327172</v>
      </c>
      <c r="O2094" s="5" t="s">
        <v>3898</v>
      </c>
    </row>
    <row r="2095" spans="1:15" x14ac:dyDescent="0.25">
      <c r="A2095" s="4" t="s">
        <v>2108</v>
      </c>
      <c r="B2095" s="2" t="s">
        <v>3422</v>
      </c>
      <c r="C2095" s="2" t="s">
        <v>3872</v>
      </c>
      <c r="D2095" s="2" t="s">
        <v>3882</v>
      </c>
      <c r="E2095" s="3">
        <v>45082</v>
      </c>
      <c r="F2095" s="3">
        <v>45431</v>
      </c>
      <c r="G2095" s="2" t="s">
        <v>3886</v>
      </c>
      <c r="H2095" s="2">
        <v>318520</v>
      </c>
      <c r="I2095" s="2">
        <v>535527</v>
      </c>
      <c r="J2095" s="2" t="s">
        <v>3888</v>
      </c>
      <c r="K2095" s="2" t="s">
        <v>3894</v>
      </c>
      <c r="L2095" s="2">
        <v>2025</v>
      </c>
      <c r="M2095" s="2">
        <v>-217007</v>
      </c>
      <c r="N2095" s="2">
        <f xml:space="preserve"> (Table1[[#This Row],[Variance (USD)]] / Table1[[#This Row],[Actual Spending (USD)]]) * 100</f>
        <v>-40.522139873433083</v>
      </c>
      <c r="O2095" s="5" t="s">
        <v>3899</v>
      </c>
    </row>
    <row r="2096" spans="1:15" x14ac:dyDescent="0.25">
      <c r="A2096" s="4" t="s">
        <v>2109</v>
      </c>
      <c r="B2096" s="2" t="s">
        <v>3061</v>
      </c>
      <c r="C2096" s="2" t="s">
        <v>3869</v>
      </c>
      <c r="D2096" s="2" t="s">
        <v>3883</v>
      </c>
      <c r="E2096" s="3">
        <v>45580</v>
      </c>
      <c r="F2096" s="3">
        <v>45971</v>
      </c>
      <c r="G2096" s="2" t="s">
        <v>3885</v>
      </c>
      <c r="H2096" s="2">
        <v>363817</v>
      </c>
      <c r="I2096" s="2">
        <v>593465</v>
      </c>
      <c r="J2096" s="2" t="s">
        <v>3888</v>
      </c>
      <c r="K2096" s="2" t="s">
        <v>3894</v>
      </c>
      <c r="L2096" s="2">
        <v>2023</v>
      </c>
      <c r="M2096" s="2">
        <v>-229648</v>
      </c>
      <c r="N2096" s="2">
        <f xml:space="preserve"> (Table1[[#This Row],[Variance (USD)]] / Table1[[#This Row],[Actual Spending (USD)]]) * 100</f>
        <v>-38.696132038115138</v>
      </c>
      <c r="O2096" s="5" t="s">
        <v>3898</v>
      </c>
    </row>
    <row r="2097" spans="1:15" x14ac:dyDescent="0.25">
      <c r="A2097" s="4" t="s">
        <v>2110</v>
      </c>
      <c r="B2097" s="2" t="s">
        <v>3430</v>
      </c>
      <c r="C2097" s="2" t="s">
        <v>3870</v>
      </c>
      <c r="D2097" s="2" t="s">
        <v>3878</v>
      </c>
      <c r="E2097" s="3">
        <v>45354</v>
      </c>
      <c r="F2097" s="3">
        <v>45857</v>
      </c>
      <c r="G2097" s="2" t="s">
        <v>3886</v>
      </c>
      <c r="H2097" s="2">
        <v>839908</v>
      </c>
      <c r="I2097" s="2">
        <v>671191</v>
      </c>
      <c r="J2097" s="2" t="s">
        <v>3888</v>
      </c>
      <c r="K2097" s="2" t="s">
        <v>3893</v>
      </c>
      <c r="L2097" s="2">
        <v>2025</v>
      </c>
      <c r="M2097" s="2">
        <v>168717</v>
      </c>
      <c r="N2097" s="2">
        <f xml:space="preserve"> (Table1[[#This Row],[Variance (USD)]] / Table1[[#This Row],[Actual Spending (USD)]]) * 100</f>
        <v>25.136958034300221</v>
      </c>
      <c r="O2097" s="5" t="s">
        <v>3899</v>
      </c>
    </row>
    <row r="2098" spans="1:15" x14ac:dyDescent="0.25">
      <c r="A2098" s="4" t="s">
        <v>2111</v>
      </c>
      <c r="B2098" s="2" t="s">
        <v>3813</v>
      </c>
      <c r="C2098" s="2" t="s">
        <v>3872</v>
      </c>
      <c r="D2098" s="2" t="s">
        <v>3880</v>
      </c>
      <c r="E2098" s="3">
        <v>45084</v>
      </c>
      <c r="F2098" s="3">
        <v>45469</v>
      </c>
      <c r="G2098" s="2" t="s">
        <v>3884</v>
      </c>
      <c r="H2098" s="2">
        <v>298465</v>
      </c>
      <c r="I2098" s="2">
        <v>511465</v>
      </c>
      <c r="J2098" s="2" t="s">
        <v>3891</v>
      </c>
      <c r="K2098" s="2" t="s">
        <v>3896</v>
      </c>
      <c r="L2098" s="2">
        <v>2023</v>
      </c>
      <c r="M2098" s="2">
        <v>-213000</v>
      </c>
      <c r="N2098" s="2">
        <f xml:space="preserve"> (Table1[[#This Row],[Variance (USD)]] / Table1[[#This Row],[Actual Spending (USD)]]) * 100</f>
        <v>-41.645078353357512</v>
      </c>
      <c r="O2098" s="5" t="s">
        <v>3897</v>
      </c>
    </row>
    <row r="2099" spans="1:15" x14ac:dyDescent="0.25">
      <c r="A2099" s="4" t="s">
        <v>2112</v>
      </c>
      <c r="B2099" s="2" t="s">
        <v>3474</v>
      </c>
      <c r="C2099" s="2" t="s">
        <v>3875</v>
      </c>
      <c r="D2099" s="2" t="s">
        <v>3877</v>
      </c>
      <c r="E2099" s="3">
        <v>45342</v>
      </c>
      <c r="F2099" s="3">
        <v>45909</v>
      </c>
      <c r="G2099" s="2" t="s">
        <v>3884</v>
      </c>
      <c r="H2099" s="2">
        <v>906334</v>
      </c>
      <c r="I2099" s="2">
        <v>98590</v>
      </c>
      <c r="J2099" s="2" t="s">
        <v>3888</v>
      </c>
      <c r="K2099" s="2" t="s">
        <v>3894</v>
      </c>
      <c r="L2099" s="2">
        <v>2023</v>
      </c>
      <c r="M2099" s="2">
        <v>807744</v>
      </c>
      <c r="N2099" s="2">
        <f xml:space="preserve"> (Table1[[#This Row],[Variance (USD)]] / Table1[[#This Row],[Actual Spending (USD)]]) * 100</f>
        <v>819.29607465260176</v>
      </c>
      <c r="O2099" s="5" t="s">
        <v>3897</v>
      </c>
    </row>
    <row r="2100" spans="1:15" x14ac:dyDescent="0.25">
      <c r="A2100" s="4" t="s">
        <v>2113</v>
      </c>
      <c r="B2100" s="2" t="s">
        <v>3595</v>
      </c>
      <c r="C2100" s="2" t="s">
        <v>3872</v>
      </c>
      <c r="D2100" s="2" t="s">
        <v>3876</v>
      </c>
      <c r="E2100" s="3">
        <v>45252</v>
      </c>
      <c r="F2100" s="3">
        <v>45428</v>
      </c>
      <c r="G2100" s="2" t="s">
        <v>3886</v>
      </c>
      <c r="H2100" s="2">
        <v>557726</v>
      </c>
      <c r="I2100" s="2">
        <v>907000</v>
      </c>
      <c r="J2100" s="2" t="s">
        <v>3888</v>
      </c>
      <c r="K2100" s="2" t="s">
        <v>3896</v>
      </c>
      <c r="L2100" s="2">
        <v>2023</v>
      </c>
      <c r="M2100" s="2">
        <v>-349274</v>
      </c>
      <c r="N2100" s="2">
        <f xml:space="preserve"> (Table1[[#This Row],[Variance (USD)]] / Table1[[#This Row],[Actual Spending (USD)]]) * 100</f>
        <v>-38.508710033076078</v>
      </c>
      <c r="O2100" s="5" t="s">
        <v>3899</v>
      </c>
    </row>
    <row r="2101" spans="1:15" x14ac:dyDescent="0.25">
      <c r="A2101" s="4" t="s">
        <v>2114</v>
      </c>
      <c r="B2101" s="2" t="s">
        <v>3305</v>
      </c>
      <c r="C2101" s="2" t="s">
        <v>3872</v>
      </c>
      <c r="D2101" s="2" t="s">
        <v>3879</v>
      </c>
      <c r="E2101" s="3">
        <v>45297</v>
      </c>
      <c r="F2101" s="3">
        <v>45481</v>
      </c>
      <c r="G2101" s="2" t="s">
        <v>3887</v>
      </c>
      <c r="H2101" s="2">
        <v>927701</v>
      </c>
      <c r="I2101" s="2">
        <v>865399</v>
      </c>
      <c r="J2101" s="2" t="s">
        <v>3890</v>
      </c>
      <c r="K2101" s="2" t="s">
        <v>3896</v>
      </c>
      <c r="L2101" s="2">
        <v>2024</v>
      </c>
      <c r="M2101" s="2">
        <v>62302</v>
      </c>
      <c r="N2101" s="2">
        <f xml:space="preserve"> (Table1[[#This Row],[Variance (USD)]] / Table1[[#This Row],[Actual Spending (USD)]]) * 100</f>
        <v>7.1992225551450835</v>
      </c>
      <c r="O2101" s="5" t="s">
        <v>3900</v>
      </c>
    </row>
    <row r="2102" spans="1:15" x14ac:dyDescent="0.25">
      <c r="A2102" s="4" t="s">
        <v>2115</v>
      </c>
      <c r="B2102" s="2" t="s">
        <v>3744</v>
      </c>
      <c r="C2102" s="2" t="s">
        <v>3869</v>
      </c>
      <c r="D2102" s="2" t="s">
        <v>3879</v>
      </c>
      <c r="E2102" s="3">
        <v>45270</v>
      </c>
      <c r="F2102" s="3">
        <v>45931</v>
      </c>
      <c r="G2102" s="2" t="s">
        <v>3884</v>
      </c>
      <c r="H2102" s="2">
        <v>783354</v>
      </c>
      <c r="I2102" s="2">
        <v>438286</v>
      </c>
      <c r="J2102" s="2" t="s">
        <v>3890</v>
      </c>
      <c r="K2102" s="2" t="s">
        <v>3895</v>
      </c>
      <c r="L2102" s="2">
        <v>2024</v>
      </c>
      <c r="M2102" s="2">
        <v>345068</v>
      </c>
      <c r="N2102" s="2">
        <f xml:space="preserve"> (Table1[[#This Row],[Variance (USD)]] / Table1[[#This Row],[Actual Spending (USD)]]) * 100</f>
        <v>78.731239419009498</v>
      </c>
      <c r="O2102" s="5" t="s">
        <v>3897</v>
      </c>
    </row>
    <row r="2103" spans="1:15" x14ac:dyDescent="0.25">
      <c r="A2103" s="4" t="s">
        <v>2116</v>
      </c>
      <c r="B2103" s="2" t="s">
        <v>3046</v>
      </c>
      <c r="C2103" s="2" t="s">
        <v>3874</v>
      </c>
      <c r="D2103" s="2" t="s">
        <v>3876</v>
      </c>
      <c r="E2103" s="3">
        <v>45188</v>
      </c>
      <c r="F2103" s="3">
        <v>45633</v>
      </c>
      <c r="G2103" s="2" t="s">
        <v>3885</v>
      </c>
      <c r="H2103" s="2">
        <v>672619</v>
      </c>
      <c r="I2103" s="2">
        <v>837932</v>
      </c>
      <c r="J2103" s="2" t="s">
        <v>3892</v>
      </c>
      <c r="K2103" s="2" t="s">
        <v>3895</v>
      </c>
      <c r="L2103" s="2">
        <v>2025</v>
      </c>
      <c r="M2103" s="2">
        <v>-165313</v>
      </c>
      <c r="N2103" s="2">
        <f xml:space="preserve"> (Table1[[#This Row],[Variance (USD)]] / Table1[[#This Row],[Actual Spending (USD)]]) * 100</f>
        <v>-19.728689201510385</v>
      </c>
      <c r="O2103" s="5" t="s">
        <v>3898</v>
      </c>
    </row>
    <row r="2104" spans="1:15" x14ac:dyDescent="0.25">
      <c r="A2104" s="4" t="s">
        <v>2117</v>
      </c>
      <c r="B2104" s="2" t="s">
        <v>3638</v>
      </c>
      <c r="C2104" s="2" t="s">
        <v>3871</v>
      </c>
      <c r="D2104" s="2" t="s">
        <v>3883</v>
      </c>
      <c r="E2104" s="3">
        <v>45209</v>
      </c>
      <c r="F2104" s="3">
        <v>45850</v>
      </c>
      <c r="G2104" s="2" t="s">
        <v>3885</v>
      </c>
      <c r="H2104" s="2">
        <v>463831</v>
      </c>
      <c r="I2104" s="2">
        <v>529203</v>
      </c>
      <c r="J2104" s="2" t="s">
        <v>3892</v>
      </c>
      <c r="K2104" s="2" t="s">
        <v>3895</v>
      </c>
      <c r="L2104" s="2">
        <v>2024</v>
      </c>
      <c r="M2104" s="2">
        <v>-65372</v>
      </c>
      <c r="N2104" s="2">
        <f xml:space="preserve"> (Table1[[#This Row],[Variance (USD)]] / Table1[[#This Row],[Actual Spending (USD)]]) * 100</f>
        <v>-12.35291561083365</v>
      </c>
      <c r="O2104" s="5" t="s">
        <v>3898</v>
      </c>
    </row>
    <row r="2105" spans="1:15" x14ac:dyDescent="0.25">
      <c r="A2105" s="4" t="s">
        <v>2118</v>
      </c>
      <c r="B2105" s="2" t="s">
        <v>3518</v>
      </c>
      <c r="C2105" s="2" t="s">
        <v>3869</v>
      </c>
      <c r="D2105" s="2" t="s">
        <v>3876</v>
      </c>
      <c r="E2105" s="3">
        <v>45155</v>
      </c>
      <c r="F2105" s="3">
        <v>45296</v>
      </c>
      <c r="G2105" s="2" t="s">
        <v>3886</v>
      </c>
      <c r="H2105" s="2">
        <v>585452</v>
      </c>
      <c r="I2105" s="2">
        <v>931907</v>
      </c>
      <c r="J2105" s="2" t="s">
        <v>3889</v>
      </c>
      <c r="K2105" s="2" t="s">
        <v>3895</v>
      </c>
      <c r="L2105" s="2">
        <v>2023</v>
      </c>
      <c r="M2105" s="2">
        <v>-346455</v>
      </c>
      <c r="N2105" s="2">
        <f xml:space="preserve"> (Table1[[#This Row],[Variance (USD)]] / Table1[[#This Row],[Actual Spending (USD)]]) * 100</f>
        <v>-37.176992983205402</v>
      </c>
      <c r="O2105" s="5" t="s">
        <v>3899</v>
      </c>
    </row>
    <row r="2106" spans="1:15" x14ac:dyDescent="0.25">
      <c r="A2106" s="4" t="s">
        <v>2119</v>
      </c>
      <c r="B2106" s="2" t="s">
        <v>3155</v>
      </c>
      <c r="C2106" s="2" t="s">
        <v>3875</v>
      </c>
      <c r="D2106" s="2" t="s">
        <v>3878</v>
      </c>
      <c r="E2106" s="3">
        <v>45206</v>
      </c>
      <c r="F2106" s="3">
        <v>45548</v>
      </c>
      <c r="G2106" s="2" t="s">
        <v>3885</v>
      </c>
      <c r="H2106" s="2">
        <v>875748</v>
      </c>
      <c r="I2106" s="2">
        <v>564299</v>
      </c>
      <c r="J2106" s="2" t="s">
        <v>3891</v>
      </c>
      <c r="K2106" s="2" t="s">
        <v>3896</v>
      </c>
      <c r="L2106" s="2">
        <v>2023</v>
      </c>
      <c r="M2106" s="2">
        <v>311449</v>
      </c>
      <c r="N2106" s="2">
        <f xml:space="preserve"> (Table1[[#This Row],[Variance (USD)]] / Table1[[#This Row],[Actual Spending (USD)]]) * 100</f>
        <v>55.192194209098368</v>
      </c>
      <c r="O2106" s="5" t="s">
        <v>3898</v>
      </c>
    </row>
    <row r="2107" spans="1:15" x14ac:dyDescent="0.25">
      <c r="A2107" s="4" t="s">
        <v>2120</v>
      </c>
      <c r="B2107" s="2" t="s">
        <v>3202</v>
      </c>
      <c r="C2107" s="2" t="s">
        <v>3871</v>
      </c>
      <c r="D2107" s="2" t="s">
        <v>3876</v>
      </c>
      <c r="E2107" s="3">
        <v>45216</v>
      </c>
      <c r="F2107" s="3">
        <v>45953</v>
      </c>
      <c r="G2107" s="2" t="s">
        <v>3884</v>
      </c>
      <c r="H2107" s="2">
        <v>773920</v>
      </c>
      <c r="I2107" s="2">
        <v>209111</v>
      </c>
      <c r="J2107" s="2" t="s">
        <v>3890</v>
      </c>
      <c r="K2107" s="2" t="s">
        <v>3893</v>
      </c>
      <c r="L2107" s="2">
        <v>2025</v>
      </c>
      <c r="M2107" s="2">
        <v>564809</v>
      </c>
      <c r="N2107" s="2">
        <f xml:space="preserve"> (Table1[[#This Row],[Variance (USD)]] / Table1[[#This Row],[Actual Spending (USD)]]) * 100</f>
        <v>270.10009038261973</v>
      </c>
      <c r="O2107" s="5" t="s">
        <v>3897</v>
      </c>
    </row>
    <row r="2108" spans="1:15" x14ac:dyDescent="0.25">
      <c r="A2108" s="4" t="s">
        <v>2121</v>
      </c>
      <c r="B2108" s="2" t="s">
        <v>3120</v>
      </c>
      <c r="C2108" s="2" t="s">
        <v>3868</v>
      </c>
      <c r="D2108" s="2" t="s">
        <v>3879</v>
      </c>
      <c r="E2108" s="3">
        <v>45606</v>
      </c>
      <c r="F2108" s="3">
        <v>45534</v>
      </c>
      <c r="G2108" s="2" t="s">
        <v>3887</v>
      </c>
      <c r="H2108" s="2">
        <v>210631</v>
      </c>
      <c r="I2108" s="2">
        <v>432112</v>
      </c>
      <c r="J2108" s="2" t="s">
        <v>3892</v>
      </c>
      <c r="K2108" s="2" t="s">
        <v>3893</v>
      </c>
      <c r="L2108" s="2">
        <v>2023</v>
      </c>
      <c r="M2108" s="2">
        <v>-221481</v>
      </c>
      <c r="N2108" s="2">
        <f xml:space="preserve"> (Table1[[#This Row],[Variance (USD)]] / Table1[[#This Row],[Actual Spending (USD)]]) * 100</f>
        <v>-51.255461547006334</v>
      </c>
      <c r="O2108" s="5" t="s">
        <v>3900</v>
      </c>
    </row>
    <row r="2109" spans="1:15" x14ac:dyDescent="0.25">
      <c r="A2109" s="4" t="s">
        <v>2122</v>
      </c>
      <c r="B2109" s="2" t="s">
        <v>3814</v>
      </c>
      <c r="C2109" s="2" t="s">
        <v>3868</v>
      </c>
      <c r="D2109" s="2" t="s">
        <v>3876</v>
      </c>
      <c r="E2109" s="3">
        <v>44973</v>
      </c>
      <c r="F2109" s="3">
        <v>46011</v>
      </c>
      <c r="G2109" s="2" t="s">
        <v>3886</v>
      </c>
      <c r="H2109" s="2">
        <v>375112</v>
      </c>
      <c r="I2109" s="2">
        <v>387479</v>
      </c>
      <c r="J2109" s="2" t="s">
        <v>3891</v>
      </c>
      <c r="K2109" s="2" t="s">
        <v>3893</v>
      </c>
      <c r="L2109" s="2">
        <v>2025</v>
      </c>
      <c r="M2109" s="2">
        <v>-12367</v>
      </c>
      <c r="N2109" s="2">
        <f xml:space="preserve"> (Table1[[#This Row],[Variance (USD)]] / Table1[[#This Row],[Actual Spending (USD)]]) * 100</f>
        <v>-3.1916568381770363</v>
      </c>
      <c r="O2109" s="5" t="s">
        <v>3899</v>
      </c>
    </row>
    <row r="2110" spans="1:15" x14ac:dyDescent="0.25">
      <c r="A2110" s="4" t="s">
        <v>2123</v>
      </c>
      <c r="B2110" s="2" t="s">
        <v>3028</v>
      </c>
      <c r="C2110" s="2" t="s">
        <v>3874</v>
      </c>
      <c r="D2110" s="2" t="s">
        <v>3877</v>
      </c>
      <c r="E2110" s="3">
        <v>45641</v>
      </c>
      <c r="F2110" s="3">
        <v>45706</v>
      </c>
      <c r="G2110" s="2" t="s">
        <v>3884</v>
      </c>
      <c r="H2110" s="2">
        <v>247872</v>
      </c>
      <c r="I2110" s="2">
        <v>1027622</v>
      </c>
      <c r="J2110" s="2" t="s">
        <v>3888</v>
      </c>
      <c r="K2110" s="2" t="s">
        <v>3896</v>
      </c>
      <c r="L2110" s="2">
        <v>2025</v>
      </c>
      <c r="M2110" s="2">
        <v>-779750</v>
      </c>
      <c r="N2110" s="2">
        <f xml:space="preserve"> (Table1[[#This Row],[Variance (USD)]] / Table1[[#This Row],[Actual Spending (USD)]]) * 100</f>
        <v>-75.879068373390211</v>
      </c>
      <c r="O2110" s="5" t="s">
        <v>3897</v>
      </c>
    </row>
    <row r="2111" spans="1:15" x14ac:dyDescent="0.25">
      <c r="A2111" s="4" t="s">
        <v>2124</v>
      </c>
      <c r="B2111" s="2" t="s">
        <v>3351</v>
      </c>
      <c r="C2111" s="2" t="s">
        <v>3875</v>
      </c>
      <c r="D2111" s="2" t="s">
        <v>3880</v>
      </c>
      <c r="E2111" s="3">
        <v>45140</v>
      </c>
      <c r="F2111" s="3">
        <v>45918</v>
      </c>
      <c r="G2111" s="2" t="s">
        <v>3885</v>
      </c>
      <c r="H2111" s="2">
        <v>714407</v>
      </c>
      <c r="I2111" s="2">
        <v>30814</v>
      </c>
      <c r="J2111" s="2" t="s">
        <v>3891</v>
      </c>
      <c r="K2111" s="2" t="s">
        <v>3893</v>
      </c>
      <c r="L2111" s="2">
        <v>2023</v>
      </c>
      <c r="M2111" s="2">
        <v>683593</v>
      </c>
      <c r="N2111" s="2">
        <f xml:space="preserve"> (Table1[[#This Row],[Variance (USD)]] / Table1[[#This Row],[Actual Spending (USD)]]) * 100</f>
        <v>2218.449406114104</v>
      </c>
      <c r="O2111" s="5" t="s">
        <v>3898</v>
      </c>
    </row>
    <row r="2112" spans="1:15" x14ac:dyDescent="0.25">
      <c r="A2112" s="4" t="s">
        <v>2125</v>
      </c>
      <c r="B2112" s="2" t="s">
        <v>3365</v>
      </c>
      <c r="C2112" s="2" t="s">
        <v>3869</v>
      </c>
      <c r="D2112" s="2" t="s">
        <v>3878</v>
      </c>
      <c r="E2112" s="3">
        <v>44950</v>
      </c>
      <c r="F2112" s="3">
        <v>45998</v>
      </c>
      <c r="G2112" s="2" t="s">
        <v>3884</v>
      </c>
      <c r="H2112" s="2">
        <v>488201</v>
      </c>
      <c r="I2112" s="2">
        <v>498492</v>
      </c>
      <c r="J2112" s="2" t="s">
        <v>3890</v>
      </c>
      <c r="K2112" s="2" t="s">
        <v>3896</v>
      </c>
      <c r="L2112" s="2">
        <v>2024</v>
      </c>
      <c r="M2112" s="2">
        <v>-10291</v>
      </c>
      <c r="N2112" s="2">
        <f xml:space="preserve"> (Table1[[#This Row],[Variance (USD)]] / Table1[[#This Row],[Actual Spending (USD)]]) * 100</f>
        <v>-2.0644263097502065</v>
      </c>
      <c r="O2112" s="5" t="s">
        <v>3897</v>
      </c>
    </row>
    <row r="2113" spans="1:15" x14ac:dyDescent="0.25">
      <c r="A2113" s="4" t="s">
        <v>2126</v>
      </c>
      <c r="B2113" s="2" t="s">
        <v>3768</v>
      </c>
      <c r="C2113" s="2" t="s">
        <v>3873</v>
      </c>
      <c r="D2113" s="2" t="s">
        <v>3876</v>
      </c>
      <c r="E2113" s="3">
        <v>45247</v>
      </c>
      <c r="F2113" s="3">
        <v>45634</v>
      </c>
      <c r="G2113" s="2" t="s">
        <v>3884</v>
      </c>
      <c r="H2113" s="2">
        <v>253195</v>
      </c>
      <c r="I2113" s="2">
        <v>1048585</v>
      </c>
      <c r="J2113" s="2" t="s">
        <v>3889</v>
      </c>
      <c r="K2113" s="2" t="s">
        <v>3894</v>
      </c>
      <c r="L2113" s="2">
        <v>2023</v>
      </c>
      <c r="M2113" s="2">
        <v>-795390</v>
      </c>
      <c r="N2113" s="2">
        <f xml:space="preserve"> (Table1[[#This Row],[Variance (USD)]] / Table1[[#This Row],[Actual Spending (USD)]]) * 100</f>
        <v>-75.853650395533023</v>
      </c>
      <c r="O2113" s="5" t="s">
        <v>3897</v>
      </c>
    </row>
    <row r="2114" spans="1:15" x14ac:dyDescent="0.25">
      <c r="A2114" s="4" t="s">
        <v>2127</v>
      </c>
      <c r="B2114" s="2" t="s">
        <v>3815</v>
      </c>
      <c r="C2114" s="2" t="s">
        <v>3875</v>
      </c>
      <c r="D2114" s="2" t="s">
        <v>3879</v>
      </c>
      <c r="E2114" s="3">
        <v>45200</v>
      </c>
      <c r="F2114" s="3">
        <v>45973</v>
      </c>
      <c r="G2114" s="2" t="s">
        <v>3886</v>
      </c>
      <c r="H2114" s="2">
        <v>974081</v>
      </c>
      <c r="I2114" s="2">
        <v>33825</v>
      </c>
      <c r="J2114" s="2" t="s">
        <v>3890</v>
      </c>
      <c r="K2114" s="2" t="s">
        <v>3893</v>
      </c>
      <c r="L2114" s="2">
        <v>2023</v>
      </c>
      <c r="M2114" s="2">
        <v>940256</v>
      </c>
      <c r="N2114" s="2">
        <f xml:space="preserve"> (Table1[[#This Row],[Variance (USD)]] / Table1[[#This Row],[Actual Spending (USD)]]) * 100</f>
        <v>2779.7664449371764</v>
      </c>
      <c r="O2114" s="5" t="s">
        <v>3899</v>
      </c>
    </row>
    <row r="2115" spans="1:15" x14ac:dyDescent="0.25">
      <c r="A2115" s="4" t="s">
        <v>2128</v>
      </c>
      <c r="B2115" s="2" t="s">
        <v>3597</v>
      </c>
      <c r="C2115" s="2" t="s">
        <v>3870</v>
      </c>
      <c r="D2115" s="2" t="s">
        <v>3881</v>
      </c>
      <c r="E2115" s="3">
        <v>45482</v>
      </c>
      <c r="F2115" s="3">
        <v>45670</v>
      </c>
      <c r="G2115" s="2" t="s">
        <v>3884</v>
      </c>
      <c r="H2115" s="2">
        <v>526387</v>
      </c>
      <c r="I2115" s="2">
        <v>604656</v>
      </c>
      <c r="J2115" s="2" t="s">
        <v>3892</v>
      </c>
      <c r="K2115" s="2" t="s">
        <v>3896</v>
      </c>
      <c r="L2115" s="2">
        <v>2025</v>
      </c>
      <c r="M2115" s="2">
        <v>-78269</v>
      </c>
      <c r="N2115" s="2">
        <f xml:space="preserve"> (Table1[[#This Row],[Variance (USD)]] / Table1[[#This Row],[Actual Spending (USD)]]) * 100</f>
        <v>-12.944384906459211</v>
      </c>
      <c r="O2115" s="5" t="s">
        <v>3897</v>
      </c>
    </row>
    <row r="2116" spans="1:15" x14ac:dyDescent="0.25">
      <c r="A2116" s="4" t="s">
        <v>2129</v>
      </c>
      <c r="B2116" s="2" t="s">
        <v>3430</v>
      </c>
      <c r="C2116" s="2" t="s">
        <v>3871</v>
      </c>
      <c r="D2116" s="2" t="s">
        <v>3880</v>
      </c>
      <c r="E2116" s="3">
        <v>45239</v>
      </c>
      <c r="F2116" s="3">
        <v>45885</v>
      </c>
      <c r="G2116" s="2" t="s">
        <v>3884</v>
      </c>
      <c r="H2116" s="2">
        <v>554316</v>
      </c>
      <c r="I2116" s="2">
        <v>438016</v>
      </c>
      <c r="J2116" s="2" t="s">
        <v>3892</v>
      </c>
      <c r="K2116" s="2" t="s">
        <v>3894</v>
      </c>
      <c r="L2116" s="2">
        <v>2024</v>
      </c>
      <c r="M2116" s="2">
        <v>116300</v>
      </c>
      <c r="N2116" s="2">
        <f xml:space="preserve"> (Table1[[#This Row],[Variance (USD)]] / Table1[[#This Row],[Actual Spending (USD)]]) * 100</f>
        <v>26.551541496201054</v>
      </c>
      <c r="O2116" s="5" t="s">
        <v>3897</v>
      </c>
    </row>
    <row r="2117" spans="1:15" x14ac:dyDescent="0.25">
      <c r="A2117" s="4" t="s">
        <v>2130</v>
      </c>
      <c r="B2117" s="2" t="s">
        <v>3332</v>
      </c>
      <c r="C2117" s="2" t="s">
        <v>3871</v>
      </c>
      <c r="D2117" s="2" t="s">
        <v>3878</v>
      </c>
      <c r="E2117" s="3">
        <v>45289</v>
      </c>
      <c r="F2117" s="3">
        <v>45957</v>
      </c>
      <c r="G2117" s="2" t="s">
        <v>3885</v>
      </c>
      <c r="H2117" s="2">
        <v>709230</v>
      </c>
      <c r="I2117" s="2">
        <v>1154111</v>
      </c>
      <c r="J2117" s="2" t="s">
        <v>3891</v>
      </c>
      <c r="K2117" s="2" t="s">
        <v>3895</v>
      </c>
      <c r="L2117" s="2">
        <v>2025</v>
      </c>
      <c r="M2117" s="2">
        <v>-444881</v>
      </c>
      <c r="N2117" s="2">
        <f xml:space="preserve"> (Table1[[#This Row],[Variance (USD)]] / Table1[[#This Row],[Actual Spending (USD)]]) * 100</f>
        <v>-38.54750539592812</v>
      </c>
      <c r="O2117" s="5" t="s">
        <v>3898</v>
      </c>
    </row>
    <row r="2118" spans="1:15" x14ac:dyDescent="0.25">
      <c r="A2118" s="4" t="s">
        <v>2131</v>
      </c>
      <c r="B2118" s="2" t="s">
        <v>3162</v>
      </c>
      <c r="C2118" s="2" t="s">
        <v>3872</v>
      </c>
      <c r="D2118" s="2" t="s">
        <v>3879</v>
      </c>
      <c r="E2118" s="3">
        <v>45594</v>
      </c>
      <c r="F2118" s="3">
        <v>45944</v>
      </c>
      <c r="G2118" s="2" t="s">
        <v>3884</v>
      </c>
      <c r="H2118" s="2">
        <v>608382</v>
      </c>
      <c r="I2118" s="2">
        <v>116390</v>
      </c>
      <c r="J2118" s="2" t="s">
        <v>3890</v>
      </c>
      <c r="K2118" s="2" t="s">
        <v>3894</v>
      </c>
      <c r="L2118" s="2">
        <v>2023</v>
      </c>
      <c r="M2118" s="2">
        <v>491992</v>
      </c>
      <c r="N2118" s="2">
        <f xml:space="preserve"> (Table1[[#This Row],[Variance (USD)]] / Table1[[#This Row],[Actual Spending (USD)]]) * 100</f>
        <v>422.70985479852226</v>
      </c>
      <c r="O2118" s="5" t="s">
        <v>3897</v>
      </c>
    </row>
    <row r="2119" spans="1:15" x14ac:dyDescent="0.25">
      <c r="A2119" s="4" t="s">
        <v>2132</v>
      </c>
      <c r="B2119" s="2" t="s">
        <v>3457</v>
      </c>
      <c r="C2119" s="2" t="s">
        <v>3868</v>
      </c>
      <c r="D2119" s="2" t="s">
        <v>3883</v>
      </c>
      <c r="E2119" s="3">
        <v>45306</v>
      </c>
      <c r="F2119" s="3">
        <v>45437</v>
      </c>
      <c r="G2119" s="2" t="s">
        <v>3884</v>
      </c>
      <c r="H2119" s="2">
        <v>367473</v>
      </c>
      <c r="I2119" s="2">
        <v>253923</v>
      </c>
      <c r="J2119" s="2" t="s">
        <v>3892</v>
      </c>
      <c r="K2119" s="2" t="s">
        <v>3894</v>
      </c>
      <c r="L2119" s="2">
        <v>2025</v>
      </c>
      <c r="M2119" s="2">
        <v>113550</v>
      </c>
      <c r="N2119" s="2">
        <f xml:space="preserve"> (Table1[[#This Row],[Variance (USD)]] / Table1[[#This Row],[Actual Spending (USD)]]) * 100</f>
        <v>44.718280738649121</v>
      </c>
      <c r="O2119" s="5" t="s">
        <v>3897</v>
      </c>
    </row>
    <row r="2120" spans="1:15" x14ac:dyDescent="0.25">
      <c r="A2120" s="4" t="s">
        <v>2133</v>
      </c>
      <c r="B2120" s="2" t="s">
        <v>3274</v>
      </c>
      <c r="C2120" s="2" t="s">
        <v>3874</v>
      </c>
      <c r="D2120" s="2" t="s">
        <v>3877</v>
      </c>
      <c r="E2120" s="3">
        <v>45637</v>
      </c>
      <c r="F2120" s="3">
        <v>45614</v>
      </c>
      <c r="G2120" s="2" t="s">
        <v>3884</v>
      </c>
      <c r="H2120" s="2">
        <v>714577</v>
      </c>
      <c r="I2120" s="2">
        <v>760377</v>
      </c>
      <c r="J2120" s="2" t="s">
        <v>3888</v>
      </c>
      <c r="K2120" s="2" t="s">
        <v>3893</v>
      </c>
      <c r="L2120" s="2">
        <v>2025</v>
      </c>
      <c r="M2120" s="2">
        <v>-45800</v>
      </c>
      <c r="N2120" s="2">
        <f xml:space="preserve"> (Table1[[#This Row],[Variance (USD)]] / Table1[[#This Row],[Actual Spending (USD)]]) * 100</f>
        <v>-6.0233279018171251</v>
      </c>
      <c r="O2120" s="5" t="s">
        <v>3897</v>
      </c>
    </row>
    <row r="2121" spans="1:15" x14ac:dyDescent="0.25">
      <c r="A2121" s="4" t="s">
        <v>2134</v>
      </c>
      <c r="B2121" s="2" t="s">
        <v>3363</v>
      </c>
      <c r="C2121" s="2" t="s">
        <v>3871</v>
      </c>
      <c r="D2121" s="2" t="s">
        <v>3882</v>
      </c>
      <c r="E2121" s="3">
        <v>45600</v>
      </c>
      <c r="F2121" s="3">
        <v>45413</v>
      </c>
      <c r="G2121" s="2" t="s">
        <v>3884</v>
      </c>
      <c r="H2121" s="2">
        <v>395282</v>
      </c>
      <c r="I2121" s="2">
        <v>209577</v>
      </c>
      <c r="J2121" s="2" t="s">
        <v>3888</v>
      </c>
      <c r="K2121" s="2" t="s">
        <v>3895</v>
      </c>
      <c r="L2121" s="2">
        <v>2023</v>
      </c>
      <c r="M2121" s="2">
        <v>185705</v>
      </c>
      <c r="N2121" s="2">
        <f xml:space="preserve"> (Table1[[#This Row],[Variance (USD)]] / Table1[[#This Row],[Actual Spending (USD)]]) * 100</f>
        <v>88.609437104262398</v>
      </c>
      <c r="O2121" s="5" t="s">
        <v>3897</v>
      </c>
    </row>
    <row r="2122" spans="1:15" x14ac:dyDescent="0.25">
      <c r="A2122" s="4" t="s">
        <v>2135</v>
      </c>
      <c r="B2122" s="2" t="s">
        <v>3018</v>
      </c>
      <c r="C2122" s="2" t="s">
        <v>3875</v>
      </c>
      <c r="D2122" s="2" t="s">
        <v>3883</v>
      </c>
      <c r="E2122" s="3">
        <v>45396</v>
      </c>
      <c r="F2122" s="3">
        <v>45543</v>
      </c>
      <c r="G2122" s="2" t="s">
        <v>3886</v>
      </c>
      <c r="H2122" s="2">
        <v>116141</v>
      </c>
      <c r="I2122" s="2">
        <v>768142</v>
      </c>
      <c r="J2122" s="2" t="s">
        <v>3889</v>
      </c>
      <c r="K2122" s="2" t="s">
        <v>3895</v>
      </c>
      <c r="L2122" s="2">
        <v>2025</v>
      </c>
      <c r="M2122" s="2">
        <v>-652001</v>
      </c>
      <c r="N2122" s="2">
        <f xml:space="preserve"> (Table1[[#This Row],[Variance (USD)]] / Table1[[#This Row],[Actual Spending (USD)]]) * 100</f>
        <v>-84.88026953349771</v>
      </c>
      <c r="O2122" s="5" t="s">
        <v>3899</v>
      </c>
    </row>
    <row r="2123" spans="1:15" x14ac:dyDescent="0.25">
      <c r="A2123" s="4" t="s">
        <v>2136</v>
      </c>
      <c r="B2123" s="2" t="s">
        <v>3816</v>
      </c>
      <c r="C2123" s="2" t="s">
        <v>3871</v>
      </c>
      <c r="D2123" s="2" t="s">
        <v>3882</v>
      </c>
      <c r="E2123" s="3">
        <v>45601</v>
      </c>
      <c r="F2123" s="3">
        <v>45602</v>
      </c>
      <c r="G2123" s="2" t="s">
        <v>3886</v>
      </c>
      <c r="H2123" s="2">
        <v>203415</v>
      </c>
      <c r="I2123" s="2">
        <v>839033</v>
      </c>
      <c r="J2123" s="2" t="s">
        <v>3891</v>
      </c>
      <c r="K2123" s="2" t="s">
        <v>3893</v>
      </c>
      <c r="L2123" s="2">
        <v>2023</v>
      </c>
      <c r="M2123" s="2">
        <v>-635618</v>
      </c>
      <c r="N2123" s="2">
        <f xml:space="preserve"> (Table1[[#This Row],[Variance (USD)]] / Table1[[#This Row],[Actual Spending (USD)]]) * 100</f>
        <v>-75.756019131547873</v>
      </c>
      <c r="O2123" s="5" t="s">
        <v>3899</v>
      </c>
    </row>
    <row r="2124" spans="1:15" x14ac:dyDescent="0.25">
      <c r="A2124" s="4" t="s">
        <v>2137</v>
      </c>
      <c r="B2124" s="2" t="s">
        <v>3606</v>
      </c>
      <c r="C2124" s="2" t="s">
        <v>3874</v>
      </c>
      <c r="D2124" s="2" t="s">
        <v>3877</v>
      </c>
      <c r="E2124" s="3">
        <v>45042</v>
      </c>
      <c r="F2124" s="3">
        <v>45892</v>
      </c>
      <c r="G2124" s="2" t="s">
        <v>3885</v>
      </c>
      <c r="H2124" s="2">
        <v>702595</v>
      </c>
      <c r="I2124" s="2">
        <v>452768</v>
      </c>
      <c r="J2124" s="2" t="s">
        <v>3892</v>
      </c>
      <c r="K2124" s="2" t="s">
        <v>3894</v>
      </c>
      <c r="L2124" s="2">
        <v>2025</v>
      </c>
      <c r="M2124" s="2">
        <v>249827</v>
      </c>
      <c r="N2124" s="2">
        <f xml:space="preserve"> (Table1[[#This Row],[Variance (USD)]] / Table1[[#This Row],[Actual Spending (USD)]]) * 100</f>
        <v>55.177706905081635</v>
      </c>
      <c r="O2124" s="5" t="s">
        <v>3898</v>
      </c>
    </row>
    <row r="2125" spans="1:15" x14ac:dyDescent="0.25">
      <c r="A2125" s="4" t="s">
        <v>2138</v>
      </c>
      <c r="B2125" s="2" t="s">
        <v>3129</v>
      </c>
      <c r="C2125" s="2" t="s">
        <v>3874</v>
      </c>
      <c r="D2125" s="2" t="s">
        <v>3876</v>
      </c>
      <c r="E2125" s="3">
        <v>45531</v>
      </c>
      <c r="F2125" s="3">
        <v>45766</v>
      </c>
      <c r="G2125" s="2" t="s">
        <v>3886</v>
      </c>
      <c r="H2125" s="2">
        <v>756182</v>
      </c>
      <c r="I2125" s="2">
        <v>491107</v>
      </c>
      <c r="J2125" s="2" t="s">
        <v>3889</v>
      </c>
      <c r="K2125" s="2" t="s">
        <v>3896</v>
      </c>
      <c r="L2125" s="2">
        <v>2024</v>
      </c>
      <c r="M2125" s="2">
        <v>265075</v>
      </c>
      <c r="N2125" s="2">
        <f xml:space="preserve"> (Table1[[#This Row],[Variance (USD)]] / Table1[[#This Row],[Actual Spending (USD)]]) * 100</f>
        <v>53.974999338229757</v>
      </c>
      <c r="O2125" s="5" t="s">
        <v>3899</v>
      </c>
    </row>
    <row r="2126" spans="1:15" x14ac:dyDescent="0.25">
      <c r="A2126" s="4" t="s">
        <v>2139</v>
      </c>
      <c r="B2126" s="2" t="s">
        <v>3469</v>
      </c>
      <c r="C2126" s="2" t="s">
        <v>3874</v>
      </c>
      <c r="D2126" s="2" t="s">
        <v>3878</v>
      </c>
      <c r="E2126" s="3">
        <v>44968</v>
      </c>
      <c r="F2126" s="3">
        <v>45861</v>
      </c>
      <c r="G2126" s="2" t="s">
        <v>3884</v>
      </c>
      <c r="H2126" s="2">
        <v>980507</v>
      </c>
      <c r="I2126" s="2">
        <v>523915</v>
      </c>
      <c r="J2126" s="2" t="s">
        <v>3888</v>
      </c>
      <c r="K2126" s="2" t="s">
        <v>3893</v>
      </c>
      <c r="L2126" s="2">
        <v>2023</v>
      </c>
      <c r="M2126" s="2">
        <v>456592</v>
      </c>
      <c r="N2126" s="2">
        <f xml:space="preserve"> (Table1[[#This Row],[Variance (USD)]] / Table1[[#This Row],[Actual Spending (USD)]]) * 100</f>
        <v>87.150014792475886</v>
      </c>
      <c r="O2126" s="5" t="s">
        <v>3897</v>
      </c>
    </row>
    <row r="2127" spans="1:15" x14ac:dyDescent="0.25">
      <c r="A2127" s="4" t="s">
        <v>2140</v>
      </c>
      <c r="B2127" s="2" t="s">
        <v>3257</v>
      </c>
      <c r="C2127" s="2" t="s">
        <v>3875</v>
      </c>
      <c r="D2127" s="2" t="s">
        <v>3876</v>
      </c>
      <c r="E2127" s="3">
        <v>45305</v>
      </c>
      <c r="F2127" s="3">
        <v>45783</v>
      </c>
      <c r="G2127" s="2" t="s">
        <v>3885</v>
      </c>
      <c r="H2127" s="2">
        <v>552009</v>
      </c>
      <c r="I2127" s="2">
        <v>194364</v>
      </c>
      <c r="J2127" s="2" t="s">
        <v>3889</v>
      </c>
      <c r="K2127" s="2" t="s">
        <v>3894</v>
      </c>
      <c r="L2127" s="2">
        <v>2024</v>
      </c>
      <c r="M2127" s="2">
        <v>357645</v>
      </c>
      <c r="N2127" s="2">
        <f xml:space="preserve"> (Table1[[#This Row],[Variance (USD)]] / Table1[[#This Row],[Actual Spending (USD)]]) * 100</f>
        <v>184.00784095820214</v>
      </c>
      <c r="O2127" s="5" t="s">
        <v>3898</v>
      </c>
    </row>
    <row r="2128" spans="1:15" x14ac:dyDescent="0.25">
      <c r="A2128" s="4" t="s">
        <v>2141</v>
      </c>
      <c r="B2128" s="2" t="s">
        <v>3380</v>
      </c>
      <c r="C2128" s="2" t="s">
        <v>3873</v>
      </c>
      <c r="D2128" s="2" t="s">
        <v>3877</v>
      </c>
      <c r="E2128" s="3">
        <v>45648</v>
      </c>
      <c r="F2128" s="3">
        <v>45866</v>
      </c>
      <c r="G2128" s="2" t="s">
        <v>3886</v>
      </c>
      <c r="H2128" s="2">
        <v>475305</v>
      </c>
      <c r="I2128" s="2">
        <v>158424</v>
      </c>
      <c r="J2128" s="2" t="s">
        <v>3889</v>
      </c>
      <c r="K2128" s="2" t="s">
        <v>3896</v>
      </c>
      <c r="L2128" s="2">
        <v>2025</v>
      </c>
      <c r="M2128" s="2">
        <v>316881</v>
      </c>
      <c r="N2128" s="2">
        <f xml:space="preserve"> (Table1[[#This Row],[Variance (USD)]] / Table1[[#This Row],[Actual Spending (USD)]]) * 100</f>
        <v>200.02083017724587</v>
      </c>
      <c r="O2128" s="5" t="s">
        <v>3899</v>
      </c>
    </row>
    <row r="2129" spans="1:15" x14ac:dyDescent="0.25">
      <c r="A2129" s="4" t="s">
        <v>2142</v>
      </c>
      <c r="B2129" s="2" t="s">
        <v>3245</v>
      </c>
      <c r="C2129" s="2" t="s">
        <v>3872</v>
      </c>
      <c r="D2129" s="2" t="s">
        <v>3877</v>
      </c>
      <c r="E2129" s="3">
        <v>45132</v>
      </c>
      <c r="F2129" s="3">
        <v>45638</v>
      </c>
      <c r="G2129" s="2" t="s">
        <v>3886</v>
      </c>
      <c r="H2129" s="2">
        <v>496811</v>
      </c>
      <c r="I2129" s="2">
        <v>155451</v>
      </c>
      <c r="J2129" s="2" t="s">
        <v>3892</v>
      </c>
      <c r="K2129" s="2" t="s">
        <v>3893</v>
      </c>
      <c r="L2129" s="2">
        <v>2024</v>
      </c>
      <c r="M2129" s="2">
        <v>341360</v>
      </c>
      <c r="N2129" s="2">
        <f xml:space="preserve"> (Table1[[#This Row],[Variance (USD)]] / Table1[[#This Row],[Actual Spending (USD)]]) * 100</f>
        <v>219.59331236209482</v>
      </c>
      <c r="O2129" s="5" t="s">
        <v>3899</v>
      </c>
    </row>
    <row r="2130" spans="1:15" x14ac:dyDescent="0.25">
      <c r="A2130" s="4" t="s">
        <v>2143</v>
      </c>
      <c r="B2130" s="2" t="s">
        <v>3061</v>
      </c>
      <c r="C2130" s="2" t="s">
        <v>3868</v>
      </c>
      <c r="D2130" s="2" t="s">
        <v>3877</v>
      </c>
      <c r="E2130" s="3">
        <v>45392</v>
      </c>
      <c r="F2130" s="3">
        <v>45778</v>
      </c>
      <c r="G2130" s="2" t="s">
        <v>3886</v>
      </c>
      <c r="H2130" s="2">
        <v>395341</v>
      </c>
      <c r="I2130" s="2">
        <v>358241</v>
      </c>
      <c r="J2130" s="2" t="s">
        <v>3892</v>
      </c>
      <c r="K2130" s="2" t="s">
        <v>3893</v>
      </c>
      <c r="L2130" s="2">
        <v>2024</v>
      </c>
      <c r="M2130" s="2">
        <v>37100</v>
      </c>
      <c r="N2130" s="2">
        <f xml:space="preserve"> (Table1[[#This Row],[Variance (USD)]] / Table1[[#This Row],[Actual Spending (USD)]]) * 100</f>
        <v>10.356156888798324</v>
      </c>
      <c r="O2130" s="5" t="s">
        <v>3899</v>
      </c>
    </row>
    <row r="2131" spans="1:15" x14ac:dyDescent="0.25">
      <c r="A2131" s="4" t="s">
        <v>2144</v>
      </c>
      <c r="B2131" s="2" t="s">
        <v>3724</v>
      </c>
      <c r="C2131" s="2" t="s">
        <v>3871</v>
      </c>
      <c r="D2131" s="2" t="s">
        <v>3882</v>
      </c>
      <c r="E2131" s="3">
        <v>45206</v>
      </c>
      <c r="F2131" s="3">
        <v>45764</v>
      </c>
      <c r="G2131" s="2" t="s">
        <v>3885</v>
      </c>
      <c r="H2131" s="2">
        <v>918750</v>
      </c>
      <c r="I2131" s="2">
        <v>701544</v>
      </c>
      <c r="J2131" s="2" t="s">
        <v>3892</v>
      </c>
      <c r="K2131" s="2" t="s">
        <v>3895</v>
      </c>
      <c r="L2131" s="2">
        <v>2024</v>
      </c>
      <c r="M2131" s="2">
        <v>217206</v>
      </c>
      <c r="N2131" s="2">
        <f xml:space="preserve"> (Table1[[#This Row],[Variance (USD)]] / Table1[[#This Row],[Actual Spending (USD)]]) * 100</f>
        <v>30.961137148917246</v>
      </c>
      <c r="O2131" s="5" t="s">
        <v>3898</v>
      </c>
    </row>
    <row r="2132" spans="1:15" x14ac:dyDescent="0.25">
      <c r="A2132" s="4" t="s">
        <v>2145</v>
      </c>
      <c r="B2132" s="2" t="s">
        <v>3048</v>
      </c>
      <c r="C2132" s="2" t="s">
        <v>3875</v>
      </c>
      <c r="D2132" s="2" t="s">
        <v>3880</v>
      </c>
      <c r="E2132" s="3">
        <v>45574</v>
      </c>
      <c r="F2132" s="3">
        <v>45673</v>
      </c>
      <c r="G2132" s="2" t="s">
        <v>3886</v>
      </c>
      <c r="H2132" s="2">
        <v>211101</v>
      </c>
      <c r="I2132" s="2">
        <v>1037537</v>
      </c>
      <c r="J2132" s="2" t="s">
        <v>3891</v>
      </c>
      <c r="K2132" s="2" t="s">
        <v>3895</v>
      </c>
      <c r="L2132" s="2">
        <v>2025</v>
      </c>
      <c r="M2132" s="2">
        <v>-826436</v>
      </c>
      <c r="N2132" s="2">
        <f xml:space="preserve"> (Table1[[#This Row],[Variance (USD)]] / Table1[[#This Row],[Actual Spending (USD)]]) * 100</f>
        <v>-79.653641267733093</v>
      </c>
      <c r="O2132" s="5" t="s">
        <v>3899</v>
      </c>
    </row>
    <row r="2133" spans="1:15" x14ac:dyDescent="0.25">
      <c r="A2133" s="4" t="s">
        <v>2146</v>
      </c>
      <c r="B2133" s="2" t="s">
        <v>3028</v>
      </c>
      <c r="C2133" s="2" t="s">
        <v>3869</v>
      </c>
      <c r="D2133" s="2" t="s">
        <v>3879</v>
      </c>
      <c r="E2133" s="3">
        <v>45544</v>
      </c>
      <c r="F2133" s="3">
        <v>45571</v>
      </c>
      <c r="G2133" s="2" t="s">
        <v>3884</v>
      </c>
      <c r="H2133" s="2">
        <v>653311</v>
      </c>
      <c r="I2133" s="2">
        <v>1008550</v>
      </c>
      <c r="J2133" s="2" t="s">
        <v>3889</v>
      </c>
      <c r="K2133" s="2" t="s">
        <v>3895</v>
      </c>
      <c r="L2133" s="2">
        <v>2023</v>
      </c>
      <c r="M2133" s="2">
        <v>-355239</v>
      </c>
      <c r="N2133" s="2">
        <f xml:space="preserve"> (Table1[[#This Row],[Variance (USD)]] / Table1[[#This Row],[Actual Spending (USD)]]) * 100</f>
        <v>-35.222745525754796</v>
      </c>
      <c r="O2133" s="5" t="s">
        <v>3897</v>
      </c>
    </row>
    <row r="2134" spans="1:15" x14ac:dyDescent="0.25">
      <c r="A2134" s="4" t="s">
        <v>2147</v>
      </c>
      <c r="B2134" s="2" t="s">
        <v>3817</v>
      </c>
      <c r="C2134" s="2" t="s">
        <v>3868</v>
      </c>
      <c r="D2134" s="2" t="s">
        <v>3878</v>
      </c>
      <c r="E2134" s="3">
        <v>45044</v>
      </c>
      <c r="F2134" s="3">
        <v>45363</v>
      </c>
      <c r="G2134" s="2" t="s">
        <v>3886</v>
      </c>
      <c r="H2134" s="2">
        <v>494540</v>
      </c>
      <c r="I2134" s="2">
        <v>615665</v>
      </c>
      <c r="J2134" s="2" t="s">
        <v>3889</v>
      </c>
      <c r="K2134" s="2" t="s">
        <v>3896</v>
      </c>
      <c r="L2134" s="2">
        <v>2025</v>
      </c>
      <c r="M2134" s="2">
        <v>-121125</v>
      </c>
      <c r="N2134" s="2">
        <f xml:space="preserve"> (Table1[[#This Row],[Variance (USD)]] / Table1[[#This Row],[Actual Spending (USD)]]) * 100</f>
        <v>-19.673848602730381</v>
      </c>
      <c r="O2134" s="5" t="s">
        <v>3899</v>
      </c>
    </row>
    <row r="2135" spans="1:15" x14ac:dyDescent="0.25">
      <c r="A2135" s="4" t="s">
        <v>2148</v>
      </c>
      <c r="B2135" s="2" t="s">
        <v>3749</v>
      </c>
      <c r="C2135" s="2" t="s">
        <v>3873</v>
      </c>
      <c r="D2135" s="2" t="s">
        <v>3876</v>
      </c>
      <c r="E2135" s="3">
        <v>45163</v>
      </c>
      <c r="F2135" s="3">
        <v>45812</v>
      </c>
      <c r="G2135" s="2" t="s">
        <v>3884</v>
      </c>
      <c r="H2135" s="2">
        <v>888394</v>
      </c>
      <c r="I2135" s="2">
        <v>599449</v>
      </c>
      <c r="J2135" s="2" t="s">
        <v>3891</v>
      </c>
      <c r="K2135" s="2" t="s">
        <v>3893</v>
      </c>
      <c r="L2135" s="2">
        <v>2025</v>
      </c>
      <c r="M2135" s="2">
        <v>288945</v>
      </c>
      <c r="N2135" s="2">
        <f xml:space="preserve"> (Table1[[#This Row],[Variance (USD)]] / Table1[[#This Row],[Actual Spending (USD)]]) * 100</f>
        <v>48.201765287789286</v>
      </c>
      <c r="O2135" s="5" t="s">
        <v>3897</v>
      </c>
    </row>
    <row r="2136" spans="1:15" x14ac:dyDescent="0.25">
      <c r="A2136" s="4" t="s">
        <v>2149</v>
      </c>
      <c r="B2136" s="2" t="s">
        <v>3460</v>
      </c>
      <c r="C2136" s="2" t="s">
        <v>3875</v>
      </c>
      <c r="D2136" s="2" t="s">
        <v>3876</v>
      </c>
      <c r="E2136" s="3">
        <v>45235</v>
      </c>
      <c r="F2136" s="3">
        <v>45657</v>
      </c>
      <c r="G2136" s="2" t="s">
        <v>3884</v>
      </c>
      <c r="H2136" s="2">
        <v>425181</v>
      </c>
      <c r="I2136" s="2">
        <v>720366</v>
      </c>
      <c r="J2136" s="2" t="s">
        <v>3888</v>
      </c>
      <c r="K2136" s="2" t="s">
        <v>3895</v>
      </c>
      <c r="L2136" s="2">
        <v>2025</v>
      </c>
      <c r="M2136" s="2">
        <v>-295185</v>
      </c>
      <c r="N2136" s="2">
        <f xml:space="preserve"> (Table1[[#This Row],[Variance (USD)]] / Table1[[#This Row],[Actual Spending (USD)]]) * 100</f>
        <v>-40.977086647620794</v>
      </c>
      <c r="O2136" s="5" t="s">
        <v>3897</v>
      </c>
    </row>
    <row r="2137" spans="1:15" x14ac:dyDescent="0.25">
      <c r="A2137" s="4" t="s">
        <v>2150</v>
      </c>
      <c r="B2137" s="2" t="s">
        <v>3818</v>
      </c>
      <c r="C2137" s="2" t="s">
        <v>3870</v>
      </c>
      <c r="D2137" s="2" t="s">
        <v>3883</v>
      </c>
      <c r="E2137" s="3">
        <v>45382</v>
      </c>
      <c r="F2137" s="3">
        <v>45385</v>
      </c>
      <c r="G2137" s="2" t="s">
        <v>3884</v>
      </c>
      <c r="H2137" s="2">
        <v>744402</v>
      </c>
      <c r="I2137" s="2">
        <v>178616</v>
      </c>
      <c r="J2137" s="2" t="s">
        <v>3890</v>
      </c>
      <c r="K2137" s="2" t="s">
        <v>3895</v>
      </c>
      <c r="L2137" s="2">
        <v>2023</v>
      </c>
      <c r="M2137" s="2">
        <v>565786</v>
      </c>
      <c r="N2137" s="2">
        <f xml:space="preserve"> (Table1[[#This Row],[Variance (USD)]] / Table1[[#This Row],[Actual Spending (USD)]]) * 100</f>
        <v>316.76109643033101</v>
      </c>
      <c r="O2137" s="5" t="s">
        <v>3897</v>
      </c>
    </row>
    <row r="2138" spans="1:15" x14ac:dyDescent="0.25">
      <c r="A2138" s="4" t="s">
        <v>2151</v>
      </c>
      <c r="B2138" s="2" t="s">
        <v>3050</v>
      </c>
      <c r="C2138" s="2" t="s">
        <v>3870</v>
      </c>
      <c r="D2138" s="2" t="s">
        <v>3882</v>
      </c>
      <c r="E2138" s="3">
        <v>45401</v>
      </c>
      <c r="F2138" s="3">
        <v>45664</v>
      </c>
      <c r="G2138" s="2" t="s">
        <v>3884</v>
      </c>
      <c r="H2138" s="2">
        <v>661889</v>
      </c>
      <c r="I2138" s="2">
        <v>559527</v>
      </c>
      <c r="J2138" s="2" t="s">
        <v>3888</v>
      </c>
      <c r="K2138" s="2" t="s">
        <v>3893</v>
      </c>
      <c r="L2138" s="2">
        <v>2025</v>
      </c>
      <c r="M2138" s="2">
        <v>102362</v>
      </c>
      <c r="N2138" s="2">
        <f xml:space="preserve"> (Table1[[#This Row],[Variance (USD)]] / Table1[[#This Row],[Actual Spending (USD)]]) * 100</f>
        <v>18.294380789488265</v>
      </c>
      <c r="O2138" s="5" t="s">
        <v>3897</v>
      </c>
    </row>
    <row r="2139" spans="1:15" x14ac:dyDescent="0.25">
      <c r="A2139" s="4" t="s">
        <v>2152</v>
      </c>
      <c r="B2139" s="2" t="s">
        <v>3787</v>
      </c>
      <c r="C2139" s="2" t="s">
        <v>3872</v>
      </c>
      <c r="D2139" s="2" t="s">
        <v>3877</v>
      </c>
      <c r="E2139" s="3">
        <v>45026</v>
      </c>
      <c r="F2139" s="3">
        <v>45630</v>
      </c>
      <c r="G2139" s="2" t="s">
        <v>3884</v>
      </c>
      <c r="H2139" s="2">
        <v>519596</v>
      </c>
      <c r="I2139" s="2">
        <v>599073</v>
      </c>
      <c r="J2139" s="2" t="s">
        <v>3891</v>
      </c>
      <c r="K2139" s="2" t="s">
        <v>3896</v>
      </c>
      <c r="L2139" s="2">
        <v>2025</v>
      </c>
      <c r="M2139" s="2">
        <v>-79477</v>
      </c>
      <c r="N2139" s="2">
        <f xml:space="preserve"> (Table1[[#This Row],[Variance (USD)]] / Table1[[#This Row],[Actual Spending (USD)]]) * 100</f>
        <v>-13.266663662024495</v>
      </c>
      <c r="O2139" s="5" t="s">
        <v>3897</v>
      </c>
    </row>
    <row r="2140" spans="1:15" x14ac:dyDescent="0.25">
      <c r="A2140" s="4" t="s">
        <v>2153</v>
      </c>
      <c r="B2140" s="2" t="s">
        <v>3404</v>
      </c>
      <c r="C2140" s="2" t="s">
        <v>3872</v>
      </c>
      <c r="D2140" s="2" t="s">
        <v>3881</v>
      </c>
      <c r="E2140" s="3">
        <v>45187</v>
      </c>
      <c r="F2140" s="3">
        <v>45728</v>
      </c>
      <c r="G2140" s="2" t="s">
        <v>3884</v>
      </c>
      <c r="H2140" s="2">
        <v>134859</v>
      </c>
      <c r="I2140" s="2">
        <v>53358</v>
      </c>
      <c r="J2140" s="2" t="s">
        <v>3889</v>
      </c>
      <c r="K2140" s="2" t="s">
        <v>3895</v>
      </c>
      <c r="L2140" s="2">
        <v>2023</v>
      </c>
      <c r="M2140" s="2">
        <v>81501</v>
      </c>
      <c r="N2140" s="2">
        <f xml:space="preserve"> (Table1[[#This Row],[Variance (USD)]] / Table1[[#This Row],[Actual Spending (USD)]]) * 100</f>
        <v>152.74373102440123</v>
      </c>
      <c r="O2140" s="5" t="s">
        <v>3897</v>
      </c>
    </row>
    <row r="2141" spans="1:15" x14ac:dyDescent="0.25">
      <c r="A2141" s="4" t="s">
        <v>2154</v>
      </c>
      <c r="B2141" s="2" t="s">
        <v>3022</v>
      </c>
      <c r="C2141" s="2" t="s">
        <v>3873</v>
      </c>
      <c r="D2141" s="2" t="s">
        <v>3877</v>
      </c>
      <c r="E2141" s="3">
        <v>45231</v>
      </c>
      <c r="F2141" s="3">
        <v>45627</v>
      </c>
      <c r="G2141" s="2" t="s">
        <v>3886</v>
      </c>
      <c r="H2141" s="2">
        <v>665221</v>
      </c>
      <c r="I2141" s="2">
        <v>505890</v>
      </c>
      <c r="J2141" s="2" t="s">
        <v>3889</v>
      </c>
      <c r="K2141" s="2" t="s">
        <v>3894</v>
      </c>
      <c r="L2141" s="2">
        <v>2023</v>
      </c>
      <c r="M2141" s="2">
        <v>159331</v>
      </c>
      <c r="N2141" s="2">
        <f xml:space="preserve"> (Table1[[#This Row],[Variance (USD)]] / Table1[[#This Row],[Actual Spending (USD)]]) * 100</f>
        <v>31.495186700666149</v>
      </c>
      <c r="O2141" s="5" t="s">
        <v>3899</v>
      </c>
    </row>
    <row r="2142" spans="1:15" x14ac:dyDescent="0.25">
      <c r="A2142" s="4" t="s">
        <v>2155</v>
      </c>
      <c r="B2142" s="2" t="s">
        <v>3596</v>
      </c>
      <c r="C2142" s="2" t="s">
        <v>3873</v>
      </c>
      <c r="D2142" s="2" t="s">
        <v>3877</v>
      </c>
      <c r="E2142" s="3">
        <v>45280</v>
      </c>
      <c r="F2142" s="3">
        <v>45955</v>
      </c>
      <c r="G2142" s="2" t="s">
        <v>3885</v>
      </c>
      <c r="H2142" s="2">
        <v>95957</v>
      </c>
      <c r="I2142" s="2">
        <v>249592</v>
      </c>
      <c r="J2142" s="2" t="s">
        <v>3892</v>
      </c>
      <c r="K2142" s="2" t="s">
        <v>3896</v>
      </c>
      <c r="L2142" s="2">
        <v>2023</v>
      </c>
      <c r="M2142" s="2">
        <v>-153635</v>
      </c>
      <c r="N2142" s="2">
        <f xml:space="preserve"> (Table1[[#This Row],[Variance (USD)]] / Table1[[#This Row],[Actual Spending (USD)]]) * 100</f>
        <v>-61.554456873617745</v>
      </c>
      <c r="O2142" s="5" t="s">
        <v>3898</v>
      </c>
    </row>
    <row r="2143" spans="1:15" x14ac:dyDescent="0.25">
      <c r="A2143" s="4" t="s">
        <v>2156</v>
      </c>
      <c r="B2143" s="2" t="s">
        <v>3476</v>
      </c>
      <c r="C2143" s="2" t="s">
        <v>3872</v>
      </c>
      <c r="D2143" s="2" t="s">
        <v>3881</v>
      </c>
      <c r="E2143" s="3">
        <v>45212</v>
      </c>
      <c r="F2143" s="3">
        <v>45783</v>
      </c>
      <c r="G2143" s="2" t="s">
        <v>3887</v>
      </c>
      <c r="H2143" s="2">
        <v>919296</v>
      </c>
      <c r="I2143" s="2">
        <v>189500</v>
      </c>
      <c r="J2143" s="2" t="s">
        <v>3892</v>
      </c>
      <c r="K2143" s="2" t="s">
        <v>3895</v>
      </c>
      <c r="L2143" s="2">
        <v>2024</v>
      </c>
      <c r="M2143" s="2">
        <v>729796</v>
      </c>
      <c r="N2143" s="2">
        <f xml:space="preserve"> (Table1[[#This Row],[Variance (USD)]] / Table1[[#This Row],[Actual Spending (USD)]]) * 100</f>
        <v>385.11662269129289</v>
      </c>
      <c r="O2143" s="5" t="s">
        <v>3900</v>
      </c>
    </row>
    <row r="2144" spans="1:15" x14ac:dyDescent="0.25">
      <c r="A2144" s="4" t="s">
        <v>2157</v>
      </c>
      <c r="B2144" s="2" t="s">
        <v>3724</v>
      </c>
      <c r="C2144" s="2" t="s">
        <v>3871</v>
      </c>
      <c r="D2144" s="2" t="s">
        <v>3876</v>
      </c>
      <c r="E2144" s="3">
        <v>45254</v>
      </c>
      <c r="F2144" s="3">
        <v>45331</v>
      </c>
      <c r="G2144" s="2" t="s">
        <v>3884</v>
      </c>
      <c r="H2144" s="2">
        <v>962790</v>
      </c>
      <c r="I2144" s="2">
        <v>1087672</v>
      </c>
      <c r="J2144" s="2" t="s">
        <v>3889</v>
      </c>
      <c r="K2144" s="2" t="s">
        <v>3894</v>
      </c>
      <c r="L2144" s="2">
        <v>2023</v>
      </c>
      <c r="M2144" s="2">
        <v>-124882</v>
      </c>
      <c r="N2144" s="2">
        <f xml:space="preserve"> (Table1[[#This Row],[Variance (USD)]] / Table1[[#This Row],[Actual Spending (USD)]]) * 100</f>
        <v>-11.481586360594003</v>
      </c>
      <c r="O2144" s="5" t="s">
        <v>3897</v>
      </c>
    </row>
    <row r="2145" spans="1:15" x14ac:dyDescent="0.25">
      <c r="A2145" s="4" t="s">
        <v>2158</v>
      </c>
      <c r="B2145" s="2" t="s">
        <v>3392</v>
      </c>
      <c r="C2145" s="2" t="s">
        <v>3871</v>
      </c>
      <c r="D2145" s="2" t="s">
        <v>3883</v>
      </c>
      <c r="E2145" s="3">
        <v>45029</v>
      </c>
      <c r="F2145" s="3">
        <v>45650</v>
      </c>
      <c r="G2145" s="2" t="s">
        <v>3886</v>
      </c>
      <c r="H2145" s="2">
        <v>880171</v>
      </c>
      <c r="I2145" s="2">
        <v>1126158</v>
      </c>
      <c r="J2145" s="2" t="s">
        <v>3889</v>
      </c>
      <c r="K2145" s="2" t="s">
        <v>3895</v>
      </c>
      <c r="L2145" s="2">
        <v>2024</v>
      </c>
      <c r="M2145" s="2">
        <v>-245987</v>
      </c>
      <c r="N2145" s="2">
        <f xml:space="preserve"> (Table1[[#This Row],[Variance (USD)]] / Table1[[#This Row],[Actual Spending (USD)]]) * 100</f>
        <v>-21.843027354953744</v>
      </c>
      <c r="O2145" s="5" t="s">
        <v>3899</v>
      </c>
    </row>
    <row r="2146" spans="1:15" x14ac:dyDescent="0.25">
      <c r="A2146" s="4" t="s">
        <v>2159</v>
      </c>
      <c r="B2146" s="2" t="s">
        <v>3293</v>
      </c>
      <c r="C2146" s="2" t="s">
        <v>3875</v>
      </c>
      <c r="D2146" s="2" t="s">
        <v>3879</v>
      </c>
      <c r="E2146" s="3">
        <v>44989</v>
      </c>
      <c r="F2146" s="3">
        <v>45865</v>
      </c>
      <c r="G2146" s="2" t="s">
        <v>3885</v>
      </c>
      <c r="H2146" s="2">
        <v>350877</v>
      </c>
      <c r="I2146" s="2">
        <v>742755</v>
      </c>
      <c r="J2146" s="2" t="s">
        <v>3892</v>
      </c>
      <c r="K2146" s="2" t="s">
        <v>3896</v>
      </c>
      <c r="L2146" s="2">
        <v>2024</v>
      </c>
      <c r="M2146" s="2">
        <v>-391878</v>
      </c>
      <c r="N2146" s="2">
        <f xml:space="preserve"> (Table1[[#This Row],[Variance (USD)]] / Table1[[#This Row],[Actual Spending (USD)]]) * 100</f>
        <v>-52.760062200860311</v>
      </c>
      <c r="O2146" s="5" t="s">
        <v>3898</v>
      </c>
    </row>
    <row r="2147" spans="1:15" x14ac:dyDescent="0.25">
      <c r="A2147" s="4" t="s">
        <v>2160</v>
      </c>
      <c r="B2147" s="2" t="s">
        <v>3290</v>
      </c>
      <c r="C2147" s="2" t="s">
        <v>3869</v>
      </c>
      <c r="D2147" s="2" t="s">
        <v>3881</v>
      </c>
      <c r="E2147" s="3">
        <v>45613</v>
      </c>
      <c r="F2147" s="3">
        <v>45545</v>
      </c>
      <c r="G2147" s="2" t="s">
        <v>3884</v>
      </c>
      <c r="H2147" s="2">
        <v>619677</v>
      </c>
      <c r="I2147" s="2">
        <v>928027</v>
      </c>
      <c r="J2147" s="2" t="s">
        <v>3892</v>
      </c>
      <c r="K2147" s="2" t="s">
        <v>3893</v>
      </c>
      <c r="L2147" s="2">
        <v>2025</v>
      </c>
      <c r="M2147" s="2">
        <v>-308350</v>
      </c>
      <c r="N2147" s="2">
        <f xml:space="preserve"> (Table1[[#This Row],[Variance (USD)]] / Table1[[#This Row],[Actual Spending (USD)]]) * 100</f>
        <v>-33.226403973160259</v>
      </c>
      <c r="O2147" s="5" t="s">
        <v>3897</v>
      </c>
    </row>
    <row r="2148" spans="1:15" x14ac:dyDescent="0.25">
      <c r="A2148" s="4" t="s">
        <v>2161</v>
      </c>
      <c r="B2148" s="2" t="s">
        <v>3237</v>
      </c>
      <c r="C2148" s="2" t="s">
        <v>3875</v>
      </c>
      <c r="D2148" s="2" t="s">
        <v>3882</v>
      </c>
      <c r="E2148" s="3">
        <v>45208</v>
      </c>
      <c r="F2148" s="3">
        <v>45872</v>
      </c>
      <c r="G2148" s="2" t="s">
        <v>3886</v>
      </c>
      <c r="H2148" s="2">
        <v>210787</v>
      </c>
      <c r="I2148" s="2">
        <v>817719</v>
      </c>
      <c r="J2148" s="2" t="s">
        <v>3888</v>
      </c>
      <c r="K2148" s="2" t="s">
        <v>3893</v>
      </c>
      <c r="L2148" s="2">
        <v>2024</v>
      </c>
      <c r="M2148" s="2">
        <v>-606932</v>
      </c>
      <c r="N2148" s="2">
        <f xml:space="preserve"> (Table1[[#This Row],[Variance (USD)]] / Table1[[#This Row],[Actual Spending (USD)]]) * 100</f>
        <v>-74.222563007585734</v>
      </c>
      <c r="O2148" s="5" t="s">
        <v>3899</v>
      </c>
    </row>
    <row r="2149" spans="1:15" x14ac:dyDescent="0.25">
      <c r="A2149" s="4" t="s">
        <v>2162</v>
      </c>
      <c r="B2149" s="2" t="s">
        <v>3767</v>
      </c>
      <c r="C2149" s="2" t="s">
        <v>3869</v>
      </c>
      <c r="D2149" s="2" t="s">
        <v>3880</v>
      </c>
      <c r="E2149" s="3">
        <v>45367</v>
      </c>
      <c r="F2149" s="3">
        <v>45689</v>
      </c>
      <c r="G2149" s="2" t="s">
        <v>3886</v>
      </c>
      <c r="H2149" s="2">
        <v>744476</v>
      </c>
      <c r="I2149" s="2">
        <v>405038</v>
      </c>
      <c r="J2149" s="2" t="s">
        <v>3889</v>
      </c>
      <c r="K2149" s="2" t="s">
        <v>3896</v>
      </c>
      <c r="L2149" s="2">
        <v>2025</v>
      </c>
      <c r="M2149" s="2">
        <v>339438</v>
      </c>
      <c r="N2149" s="2">
        <f xml:space="preserve"> (Table1[[#This Row],[Variance (USD)]] / Table1[[#This Row],[Actual Spending (USD)]]) * 100</f>
        <v>83.803988761548297</v>
      </c>
      <c r="O2149" s="5" t="s">
        <v>3899</v>
      </c>
    </row>
    <row r="2150" spans="1:15" x14ac:dyDescent="0.25">
      <c r="A2150" s="4" t="s">
        <v>2163</v>
      </c>
      <c r="B2150" s="2" t="s">
        <v>3633</v>
      </c>
      <c r="C2150" s="2" t="s">
        <v>3873</v>
      </c>
      <c r="D2150" s="2" t="s">
        <v>3878</v>
      </c>
      <c r="E2150" s="3">
        <v>45219</v>
      </c>
      <c r="F2150" s="3">
        <v>45461</v>
      </c>
      <c r="G2150" s="2" t="s">
        <v>3884</v>
      </c>
      <c r="H2150" s="2">
        <v>893354</v>
      </c>
      <c r="I2150" s="2">
        <v>1002382</v>
      </c>
      <c r="J2150" s="2" t="s">
        <v>3889</v>
      </c>
      <c r="K2150" s="2" t="s">
        <v>3895</v>
      </c>
      <c r="L2150" s="2">
        <v>2024</v>
      </c>
      <c r="M2150" s="2">
        <v>-109028</v>
      </c>
      <c r="N2150" s="2">
        <f xml:space="preserve"> (Table1[[#This Row],[Variance (USD)]] / Table1[[#This Row],[Actual Spending (USD)]]) * 100</f>
        <v>-10.876891245054281</v>
      </c>
      <c r="O2150" s="5" t="s">
        <v>3897</v>
      </c>
    </row>
    <row r="2151" spans="1:15" x14ac:dyDescent="0.25">
      <c r="A2151" s="4" t="s">
        <v>2164</v>
      </c>
      <c r="B2151" s="2" t="s">
        <v>3351</v>
      </c>
      <c r="C2151" s="2" t="s">
        <v>3868</v>
      </c>
      <c r="D2151" s="2" t="s">
        <v>3882</v>
      </c>
      <c r="E2151" s="3">
        <v>44933</v>
      </c>
      <c r="F2151" s="3">
        <v>45981</v>
      </c>
      <c r="G2151" s="2" t="s">
        <v>3885</v>
      </c>
      <c r="H2151" s="2">
        <v>499467</v>
      </c>
      <c r="I2151" s="2">
        <v>681088</v>
      </c>
      <c r="J2151" s="2" t="s">
        <v>3891</v>
      </c>
      <c r="K2151" s="2" t="s">
        <v>3896</v>
      </c>
      <c r="L2151" s="2">
        <v>2023</v>
      </c>
      <c r="M2151" s="2">
        <v>-181621</v>
      </c>
      <c r="N2151" s="2">
        <f xml:space="preserve"> (Table1[[#This Row],[Variance (USD)]] / Table1[[#This Row],[Actual Spending (USD)]]) * 100</f>
        <v>-26.66630450103364</v>
      </c>
      <c r="O2151" s="5" t="s">
        <v>3898</v>
      </c>
    </row>
    <row r="2152" spans="1:15" x14ac:dyDescent="0.25">
      <c r="A2152" s="4" t="s">
        <v>2165</v>
      </c>
      <c r="B2152" s="2" t="s">
        <v>3180</v>
      </c>
      <c r="C2152" s="2" t="s">
        <v>3875</v>
      </c>
      <c r="D2152" s="2" t="s">
        <v>3881</v>
      </c>
      <c r="E2152" s="3">
        <v>45565</v>
      </c>
      <c r="F2152" s="3">
        <v>45992</v>
      </c>
      <c r="G2152" s="2" t="s">
        <v>3885</v>
      </c>
      <c r="H2152" s="2">
        <v>67580</v>
      </c>
      <c r="I2152" s="2">
        <v>504514</v>
      </c>
      <c r="J2152" s="2" t="s">
        <v>3888</v>
      </c>
      <c r="K2152" s="2" t="s">
        <v>3894</v>
      </c>
      <c r="L2152" s="2">
        <v>2025</v>
      </c>
      <c r="M2152" s="2">
        <v>-436934</v>
      </c>
      <c r="N2152" s="2">
        <f xml:space="preserve"> (Table1[[#This Row],[Variance (USD)]] / Table1[[#This Row],[Actual Spending (USD)]]) * 100</f>
        <v>-86.604930685768878</v>
      </c>
      <c r="O2152" s="5" t="s">
        <v>3898</v>
      </c>
    </row>
    <row r="2153" spans="1:15" x14ac:dyDescent="0.25">
      <c r="A2153" s="4" t="s">
        <v>2166</v>
      </c>
      <c r="B2153" s="2" t="s">
        <v>3781</v>
      </c>
      <c r="C2153" s="2" t="s">
        <v>3875</v>
      </c>
      <c r="D2153" s="2" t="s">
        <v>3879</v>
      </c>
      <c r="E2153" s="3">
        <v>45018</v>
      </c>
      <c r="F2153" s="3">
        <v>45802</v>
      </c>
      <c r="G2153" s="2" t="s">
        <v>3884</v>
      </c>
      <c r="H2153" s="2">
        <v>428044</v>
      </c>
      <c r="I2153" s="2">
        <v>561501</v>
      </c>
      <c r="J2153" s="2" t="s">
        <v>3890</v>
      </c>
      <c r="K2153" s="2" t="s">
        <v>3895</v>
      </c>
      <c r="L2153" s="2">
        <v>2024</v>
      </c>
      <c r="M2153" s="2">
        <v>-133457</v>
      </c>
      <c r="N2153" s="2">
        <f xml:space="preserve"> (Table1[[#This Row],[Variance (USD)]] / Table1[[#This Row],[Actual Spending (USD)]]) * 100</f>
        <v>-23.767900680497451</v>
      </c>
      <c r="O2153" s="5" t="s">
        <v>3897</v>
      </c>
    </row>
    <row r="2154" spans="1:15" x14ac:dyDescent="0.25">
      <c r="A2154" s="4" t="s">
        <v>2167</v>
      </c>
      <c r="B2154" s="2" t="s">
        <v>3105</v>
      </c>
      <c r="C2154" s="2" t="s">
        <v>3869</v>
      </c>
      <c r="D2154" s="2" t="s">
        <v>3876</v>
      </c>
      <c r="E2154" s="3">
        <v>45116</v>
      </c>
      <c r="F2154" s="3">
        <v>45551</v>
      </c>
      <c r="G2154" s="2" t="s">
        <v>3884</v>
      </c>
      <c r="H2154" s="2">
        <v>444039</v>
      </c>
      <c r="I2154" s="2">
        <v>912313</v>
      </c>
      <c r="J2154" s="2" t="s">
        <v>3890</v>
      </c>
      <c r="K2154" s="2" t="s">
        <v>3896</v>
      </c>
      <c r="L2154" s="2">
        <v>2025</v>
      </c>
      <c r="M2154" s="2">
        <v>-468274</v>
      </c>
      <c r="N2154" s="2">
        <f xml:space="preserve"> (Table1[[#This Row],[Variance (USD)]] / Table1[[#This Row],[Actual Spending (USD)]]) * 100</f>
        <v>-51.328217399072464</v>
      </c>
      <c r="O2154" s="5" t="s">
        <v>3897</v>
      </c>
    </row>
    <row r="2155" spans="1:15" x14ac:dyDescent="0.25">
      <c r="A2155" s="4" t="s">
        <v>2168</v>
      </c>
      <c r="B2155" s="2" t="s">
        <v>3311</v>
      </c>
      <c r="C2155" s="2" t="s">
        <v>3874</v>
      </c>
      <c r="D2155" s="2" t="s">
        <v>3880</v>
      </c>
      <c r="E2155" s="3">
        <v>45402</v>
      </c>
      <c r="F2155" s="3">
        <v>45875</v>
      </c>
      <c r="G2155" s="2" t="s">
        <v>3884</v>
      </c>
      <c r="H2155" s="2">
        <v>309073</v>
      </c>
      <c r="I2155" s="2">
        <v>439180</v>
      </c>
      <c r="J2155" s="2" t="s">
        <v>3890</v>
      </c>
      <c r="K2155" s="2" t="s">
        <v>3893</v>
      </c>
      <c r="L2155" s="2">
        <v>2023</v>
      </c>
      <c r="M2155" s="2">
        <v>-130107</v>
      </c>
      <c r="N2155" s="2">
        <f xml:space="preserve"> (Table1[[#This Row],[Variance (USD)]] / Table1[[#This Row],[Actual Spending (USD)]]) * 100</f>
        <v>-29.62498292271961</v>
      </c>
      <c r="O2155" s="5" t="s">
        <v>3897</v>
      </c>
    </row>
    <row r="2156" spans="1:15" x14ac:dyDescent="0.25">
      <c r="A2156" s="4" t="s">
        <v>2169</v>
      </c>
      <c r="B2156" s="2" t="s">
        <v>3066</v>
      </c>
      <c r="C2156" s="2" t="s">
        <v>3873</v>
      </c>
      <c r="D2156" s="2" t="s">
        <v>3880</v>
      </c>
      <c r="E2156" s="3">
        <v>45437</v>
      </c>
      <c r="F2156" s="3">
        <v>45750</v>
      </c>
      <c r="G2156" s="2" t="s">
        <v>3884</v>
      </c>
      <c r="H2156" s="2">
        <v>273080</v>
      </c>
      <c r="I2156" s="2">
        <v>1105431</v>
      </c>
      <c r="J2156" s="2" t="s">
        <v>3892</v>
      </c>
      <c r="K2156" s="2" t="s">
        <v>3896</v>
      </c>
      <c r="L2156" s="2">
        <v>2024</v>
      </c>
      <c r="M2156" s="2">
        <v>-832351</v>
      </c>
      <c r="N2156" s="2">
        <f xml:space="preserve"> (Table1[[#This Row],[Variance (USD)]] / Table1[[#This Row],[Actual Spending (USD)]]) * 100</f>
        <v>-75.296513305669905</v>
      </c>
      <c r="O2156" s="5" t="s">
        <v>3897</v>
      </c>
    </row>
    <row r="2157" spans="1:15" x14ac:dyDescent="0.25">
      <c r="A2157" s="4" t="s">
        <v>2170</v>
      </c>
      <c r="B2157" s="2" t="s">
        <v>3349</v>
      </c>
      <c r="C2157" s="2" t="s">
        <v>3873</v>
      </c>
      <c r="D2157" s="2" t="s">
        <v>3880</v>
      </c>
      <c r="E2157" s="3">
        <v>45388</v>
      </c>
      <c r="F2157" s="3">
        <v>45820</v>
      </c>
      <c r="G2157" s="2" t="s">
        <v>3884</v>
      </c>
      <c r="H2157" s="2">
        <v>843516</v>
      </c>
      <c r="I2157" s="2">
        <v>1006273</v>
      </c>
      <c r="J2157" s="2" t="s">
        <v>3890</v>
      </c>
      <c r="K2157" s="2" t="s">
        <v>3895</v>
      </c>
      <c r="L2157" s="2">
        <v>2024</v>
      </c>
      <c r="M2157" s="2">
        <v>-162757</v>
      </c>
      <c r="N2157" s="2">
        <f xml:space="preserve"> (Table1[[#This Row],[Variance (USD)]] / Table1[[#This Row],[Actual Spending (USD)]]) * 100</f>
        <v>-16.174238998760774</v>
      </c>
      <c r="O2157" s="5" t="s">
        <v>3897</v>
      </c>
    </row>
    <row r="2158" spans="1:15" x14ac:dyDescent="0.25">
      <c r="A2158" s="4" t="s">
        <v>2171</v>
      </c>
      <c r="B2158" s="2" t="s">
        <v>3122</v>
      </c>
      <c r="C2158" s="2" t="s">
        <v>3870</v>
      </c>
      <c r="D2158" s="2" t="s">
        <v>3877</v>
      </c>
      <c r="E2158" s="3">
        <v>44979</v>
      </c>
      <c r="F2158" s="3">
        <v>45632</v>
      </c>
      <c r="G2158" s="2" t="s">
        <v>3884</v>
      </c>
      <c r="H2158" s="2">
        <v>390135</v>
      </c>
      <c r="I2158" s="2">
        <v>1031008</v>
      </c>
      <c r="J2158" s="2" t="s">
        <v>3891</v>
      </c>
      <c r="K2158" s="2" t="s">
        <v>3896</v>
      </c>
      <c r="L2158" s="2">
        <v>2023</v>
      </c>
      <c r="M2158" s="2">
        <v>-640873</v>
      </c>
      <c r="N2158" s="2">
        <f xml:space="preserve"> (Table1[[#This Row],[Variance (USD)]] / Table1[[#This Row],[Actual Spending (USD)]]) * 100</f>
        <v>-62.159847450262262</v>
      </c>
      <c r="O2158" s="5" t="s">
        <v>3897</v>
      </c>
    </row>
    <row r="2159" spans="1:15" x14ac:dyDescent="0.25">
      <c r="A2159" s="4" t="s">
        <v>2172</v>
      </c>
      <c r="B2159" s="2" t="s">
        <v>3624</v>
      </c>
      <c r="C2159" s="2" t="s">
        <v>3874</v>
      </c>
      <c r="D2159" s="2" t="s">
        <v>3878</v>
      </c>
      <c r="E2159" s="3">
        <v>45412</v>
      </c>
      <c r="F2159" s="3">
        <v>45348</v>
      </c>
      <c r="G2159" s="2" t="s">
        <v>3884</v>
      </c>
      <c r="H2159" s="2">
        <v>453823</v>
      </c>
      <c r="I2159" s="2">
        <v>831341</v>
      </c>
      <c r="J2159" s="2" t="s">
        <v>3892</v>
      </c>
      <c r="K2159" s="2" t="s">
        <v>3893</v>
      </c>
      <c r="L2159" s="2">
        <v>2024</v>
      </c>
      <c r="M2159" s="2">
        <v>-377518</v>
      </c>
      <c r="N2159" s="2">
        <f xml:space="preserve"> (Table1[[#This Row],[Variance (USD)]] / Table1[[#This Row],[Actual Spending (USD)]]) * 100</f>
        <v>-45.410727968426919</v>
      </c>
      <c r="O2159" s="5" t="s">
        <v>3897</v>
      </c>
    </row>
    <row r="2160" spans="1:15" x14ac:dyDescent="0.25">
      <c r="A2160" s="4" t="s">
        <v>2173</v>
      </c>
      <c r="B2160" s="2" t="s">
        <v>3819</v>
      </c>
      <c r="C2160" s="2" t="s">
        <v>3869</v>
      </c>
      <c r="D2160" s="2" t="s">
        <v>3876</v>
      </c>
      <c r="E2160" s="3">
        <v>45570</v>
      </c>
      <c r="F2160" s="3">
        <v>45509</v>
      </c>
      <c r="G2160" s="2" t="s">
        <v>3885</v>
      </c>
      <c r="H2160" s="2">
        <v>656743</v>
      </c>
      <c r="I2160" s="2">
        <v>764474</v>
      </c>
      <c r="J2160" s="2" t="s">
        <v>3892</v>
      </c>
      <c r="K2160" s="2" t="s">
        <v>3894</v>
      </c>
      <c r="L2160" s="2">
        <v>2024</v>
      </c>
      <c r="M2160" s="2">
        <v>-107731</v>
      </c>
      <c r="N2160" s="2">
        <f xml:space="preserve"> (Table1[[#This Row],[Variance (USD)]] / Table1[[#This Row],[Actual Spending (USD)]]) * 100</f>
        <v>-14.09217318051366</v>
      </c>
      <c r="O2160" s="5" t="s">
        <v>3898</v>
      </c>
    </row>
    <row r="2161" spans="1:15" x14ac:dyDescent="0.25">
      <c r="A2161" s="4" t="s">
        <v>2174</v>
      </c>
      <c r="B2161" s="2" t="s">
        <v>3018</v>
      </c>
      <c r="C2161" s="2" t="s">
        <v>3873</v>
      </c>
      <c r="D2161" s="2" t="s">
        <v>3876</v>
      </c>
      <c r="E2161" s="3">
        <v>45416</v>
      </c>
      <c r="F2161" s="3">
        <v>45910</v>
      </c>
      <c r="G2161" s="2" t="s">
        <v>3884</v>
      </c>
      <c r="H2161" s="2">
        <v>424684</v>
      </c>
      <c r="I2161" s="2">
        <v>446584</v>
      </c>
      <c r="J2161" s="2" t="s">
        <v>3890</v>
      </c>
      <c r="K2161" s="2" t="s">
        <v>3896</v>
      </c>
      <c r="L2161" s="2">
        <v>2025</v>
      </c>
      <c r="M2161" s="2">
        <v>-21900</v>
      </c>
      <c r="N2161" s="2">
        <f xml:space="preserve"> (Table1[[#This Row],[Variance (USD)]] / Table1[[#This Row],[Actual Spending (USD)]]) * 100</f>
        <v>-4.9038926607312394</v>
      </c>
      <c r="O2161" s="5" t="s">
        <v>3897</v>
      </c>
    </row>
    <row r="2162" spans="1:15" x14ac:dyDescent="0.25">
      <c r="A2162" s="4" t="s">
        <v>2175</v>
      </c>
      <c r="B2162" s="2" t="s">
        <v>3039</v>
      </c>
      <c r="C2162" s="2" t="s">
        <v>3874</v>
      </c>
      <c r="D2162" s="2" t="s">
        <v>3880</v>
      </c>
      <c r="E2162" s="3">
        <v>45290</v>
      </c>
      <c r="F2162" s="3">
        <v>45976</v>
      </c>
      <c r="G2162" s="2" t="s">
        <v>3884</v>
      </c>
      <c r="H2162" s="2">
        <v>426684</v>
      </c>
      <c r="I2162" s="2">
        <v>124135</v>
      </c>
      <c r="J2162" s="2" t="s">
        <v>3892</v>
      </c>
      <c r="K2162" s="2" t="s">
        <v>3896</v>
      </c>
      <c r="L2162" s="2">
        <v>2024</v>
      </c>
      <c r="M2162" s="2">
        <v>302549</v>
      </c>
      <c r="N2162" s="2">
        <f xml:space="preserve"> (Table1[[#This Row],[Variance (USD)]] / Table1[[#This Row],[Actual Spending (USD)]]) * 100</f>
        <v>243.72578241430699</v>
      </c>
      <c r="O2162" s="5" t="s">
        <v>3897</v>
      </c>
    </row>
    <row r="2163" spans="1:15" x14ac:dyDescent="0.25">
      <c r="A2163" s="4" t="s">
        <v>2176</v>
      </c>
      <c r="B2163" s="2" t="s">
        <v>3294</v>
      </c>
      <c r="C2163" s="2" t="s">
        <v>3872</v>
      </c>
      <c r="D2163" s="2" t="s">
        <v>3876</v>
      </c>
      <c r="E2163" s="3">
        <v>45038</v>
      </c>
      <c r="F2163" s="3">
        <v>46022</v>
      </c>
      <c r="G2163" s="2" t="s">
        <v>3884</v>
      </c>
      <c r="H2163" s="2">
        <v>827585</v>
      </c>
      <c r="I2163" s="2">
        <v>625543</v>
      </c>
      <c r="J2163" s="2" t="s">
        <v>3888</v>
      </c>
      <c r="K2163" s="2" t="s">
        <v>3894</v>
      </c>
      <c r="L2163" s="2">
        <v>2023</v>
      </c>
      <c r="M2163" s="2">
        <v>202042</v>
      </c>
      <c r="N2163" s="2">
        <f xml:space="preserve"> (Table1[[#This Row],[Variance (USD)]] / Table1[[#This Row],[Actual Spending (USD)]]) * 100</f>
        <v>32.298658925125849</v>
      </c>
      <c r="O2163" s="5" t="s">
        <v>3897</v>
      </c>
    </row>
    <row r="2164" spans="1:15" x14ac:dyDescent="0.25">
      <c r="A2164" s="4" t="s">
        <v>2177</v>
      </c>
      <c r="B2164" s="2" t="s">
        <v>3817</v>
      </c>
      <c r="C2164" s="2" t="s">
        <v>3874</v>
      </c>
      <c r="D2164" s="2" t="s">
        <v>3878</v>
      </c>
      <c r="E2164" s="3">
        <v>45335</v>
      </c>
      <c r="F2164" s="3">
        <v>45755</v>
      </c>
      <c r="G2164" s="2" t="s">
        <v>3884</v>
      </c>
      <c r="H2164" s="2">
        <v>717329</v>
      </c>
      <c r="I2164" s="2">
        <v>265787</v>
      </c>
      <c r="J2164" s="2" t="s">
        <v>3888</v>
      </c>
      <c r="K2164" s="2" t="s">
        <v>3896</v>
      </c>
      <c r="L2164" s="2">
        <v>2024</v>
      </c>
      <c r="M2164" s="2">
        <v>451542</v>
      </c>
      <c r="N2164" s="2">
        <f xml:space="preserve"> (Table1[[#This Row],[Variance (USD)]] / Table1[[#This Row],[Actual Spending (USD)]]) * 100</f>
        <v>169.88867025099046</v>
      </c>
      <c r="O2164" s="5" t="s">
        <v>3897</v>
      </c>
    </row>
    <row r="2165" spans="1:15" x14ac:dyDescent="0.25">
      <c r="A2165" s="4" t="s">
        <v>2178</v>
      </c>
      <c r="B2165" s="2" t="s">
        <v>3794</v>
      </c>
      <c r="C2165" s="2" t="s">
        <v>3871</v>
      </c>
      <c r="D2165" s="2" t="s">
        <v>3878</v>
      </c>
      <c r="E2165" s="3">
        <v>44933</v>
      </c>
      <c r="F2165" s="3">
        <v>45538</v>
      </c>
      <c r="G2165" s="2" t="s">
        <v>3884</v>
      </c>
      <c r="H2165" s="2">
        <v>853765</v>
      </c>
      <c r="I2165" s="2">
        <v>826784</v>
      </c>
      <c r="J2165" s="2" t="s">
        <v>3890</v>
      </c>
      <c r="K2165" s="2" t="s">
        <v>3893</v>
      </c>
      <c r="L2165" s="2">
        <v>2025</v>
      </c>
      <c r="M2165" s="2">
        <v>26981</v>
      </c>
      <c r="N2165" s="2">
        <f xml:space="preserve"> (Table1[[#This Row],[Variance (USD)]] / Table1[[#This Row],[Actual Spending (USD)]]) * 100</f>
        <v>3.2633674575221581</v>
      </c>
      <c r="O2165" s="5" t="s">
        <v>3897</v>
      </c>
    </row>
    <row r="2166" spans="1:15" x14ac:dyDescent="0.25">
      <c r="A2166" s="4" t="s">
        <v>2179</v>
      </c>
      <c r="B2166" s="2" t="s">
        <v>3820</v>
      </c>
      <c r="C2166" s="2" t="s">
        <v>3870</v>
      </c>
      <c r="D2166" s="2" t="s">
        <v>3883</v>
      </c>
      <c r="E2166" s="3">
        <v>45594</v>
      </c>
      <c r="F2166" s="3">
        <v>46021</v>
      </c>
      <c r="G2166" s="2" t="s">
        <v>3884</v>
      </c>
      <c r="H2166" s="2">
        <v>520452</v>
      </c>
      <c r="I2166" s="2">
        <v>388565</v>
      </c>
      <c r="J2166" s="2" t="s">
        <v>3891</v>
      </c>
      <c r="K2166" s="2" t="s">
        <v>3894</v>
      </c>
      <c r="L2166" s="2">
        <v>2024</v>
      </c>
      <c r="M2166" s="2">
        <v>131887</v>
      </c>
      <c r="N2166" s="2">
        <f xml:space="preserve"> (Table1[[#This Row],[Variance (USD)]] / Table1[[#This Row],[Actual Spending (USD)]]) * 100</f>
        <v>33.942068894522151</v>
      </c>
      <c r="O2166" s="5" t="s">
        <v>3897</v>
      </c>
    </row>
    <row r="2167" spans="1:15" x14ac:dyDescent="0.25">
      <c r="A2167" s="4" t="s">
        <v>2180</v>
      </c>
      <c r="B2167" s="2" t="s">
        <v>3815</v>
      </c>
      <c r="C2167" s="2" t="s">
        <v>3872</v>
      </c>
      <c r="D2167" s="2" t="s">
        <v>3881</v>
      </c>
      <c r="E2167" s="3">
        <v>45123</v>
      </c>
      <c r="F2167" s="3">
        <v>45664</v>
      </c>
      <c r="G2167" s="2" t="s">
        <v>3884</v>
      </c>
      <c r="H2167" s="2">
        <v>439326</v>
      </c>
      <c r="I2167" s="2">
        <v>896971</v>
      </c>
      <c r="J2167" s="2" t="s">
        <v>3892</v>
      </c>
      <c r="K2167" s="2" t="s">
        <v>3893</v>
      </c>
      <c r="L2167" s="2">
        <v>2025</v>
      </c>
      <c r="M2167" s="2">
        <v>-457645</v>
      </c>
      <c r="N2167" s="2">
        <f xml:space="preserve"> (Table1[[#This Row],[Variance (USD)]] / Table1[[#This Row],[Actual Spending (USD)]]) * 100</f>
        <v>-51.021158989532545</v>
      </c>
      <c r="O2167" s="5" t="s">
        <v>3897</v>
      </c>
    </row>
    <row r="2168" spans="1:15" x14ac:dyDescent="0.25">
      <c r="A2168" s="4" t="s">
        <v>2181</v>
      </c>
      <c r="B2168" s="2" t="s">
        <v>3401</v>
      </c>
      <c r="C2168" s="2" t="s">
        <v>3868</v>
      </c>
      <c r="D2168" s="2" t="s">
        <v>3881</v>
      </c>
      <c r="E2168" s="3">
        <v>45293</v>
      </c>
      <c r="F2168" s="3">
        <v>45708</v>
      </c>
      <c r="G2168" s="2" t="s">
        <v>3885</v>
      </c>
      <c r="H2168" s="2">
        <v>804207</v>
      </c>
      <c r="I2168" s="2">
        <v>894686</v>
      </c>
      <c r="J2168" s="2" t="s">
        <v>3889</v>
      </c>
      <c r="K2168" s="2" t="s">
        <v>3893</v>
      </c>
      <c r="L2168" s="2">
        <v>2024</v>
      </c>
      <c r="M2168" s="2">
        <v>-90479</v>
      </c>
      <c r="N2168" s="2">
        <f xml:space="preserve"> (Table1[[#This Row],[Variance (USD)]] / Table1[[#This Row],[Actual Spending (USD)]]) * 100</f>
        <v>-10.11293347610223</v>
      </c>
      <c r="O2168" s="5" t="s">
        <v>3898</v>
      </c>
    </row>
    <row r="2169" spans="1:15" x14ac:dyDescent="0.25">
      <c r="A2169" s="4" t="s">
        <v>2182</v>
      </c>
      <c r="B2169" s="2" t="s">
        <v>3462</v>
      </c>
      <c r="C2169" s="2" t="s">
        <v>3875</v>
      </c>
      <c r="D2169" s="2" t="s">
        <v>3883</v>
      </c>
      <c r="E2169" s="3">
        <v>45176</v>
      </c>
      <c r="F2169" s="3">
        <v>45322</v>
      </c>
      <c r="G2169" s="2" t="s">
        <v>3887</v>
      </c>
      <c r="H2169" s="2">
        <v>610956</v>
      </c>
      <c r="I2169" s="2">
        <v>80044</v>
      </c>
      <c r="J2169" s="2" t="s">
        <v>3890</v>
      </c>
      <c r="K2169" s="2" t="s">
        <v>3893</v>
      </c>
      <c r="L2169" s="2">
        <v>2025</v>
      </c>
      <c r="M2169" s="2">
        <v>530912</v>
      </c>
      <c r="N2169" s="2">
        <f xml:space="preserve"> (Table1[[#This Row],[Variance (USD)]] / Table1[[#This Row],[Actual Spending (USD)]]) * 100</f>
        <v>663.27519864074759</v>
      </c>
      <c r="O2169" s="5" t="s">
        <v>3900</v>
      </c>
    </row>
    <row r="2170" spans="1:15" x14ac:dyDescent="0.25">
      <c r="A2170" s="4" t="s">
        <v>2183</v>
      </c>
      <c r="B2170" s="2" t="s">
        <v>3036</v>
      </c>
      <c r="C2170" s="2" t="s">
        <v>3870</v>
      </c>
      <c r="D2170" s="2" t="s">
        <v>3879</v>
      </c>
      <c r="E2170" s="3">
        <v>45521</v>
      </c>
      <c r="F2170" s="3">
        <v>45659</v>
      </c>
      <c r="G2170" s="2" t="s">
        <v>3884</v>
      </c>
      <c r="H2170" s="2">
        <v>848377</v>
      </c>
      <c r="I2170" s="2">
        <v>1034593</v>
      </c>
      <c r="J2170" s="2" t="s">
        <v>3892</v>
      </c>
      <c r="K2170" s="2" t="s">
        <v>3895</v>
      </c>
      <c r="L2170" s="2">
        <v>2025</v>
      </c>
      <c r="M2170" s="2">
        <v>-186216</v>
      </c>
      <c r="N2170" s="2">
        <f xml:space="preserve"> (Table1[[#This Row],[Variance (USD)]] / Table1[[#This Row],[Actual Spending (USD)]]) * 100</f>
        <v>-17.998961910625724</v>
      </c>
      <c r="O2170" s="5" t="s">
        <v>3897</v>
      </c>
    </row>
    <row r="2171" spans="1:15" x14ac:dyDescent="0.25">
      <c r="A2171" s="4" t="s">
        <v>2184</v>
      </c>
      <c r="B2171" s="2" t="s">
        <v>3614</v>
      </c>
      <c r="C2171" s="2" t="s">
        <v>3868</v>
      </c>
      <c r="D2171" s="2" t="s">
        <v>3881</v>
      </c>
      <c r="E2171" s="3">
        <v>45166</v>
      </c>
      <c r="F2171" s="3">
        <v>45850</v>
      </c>
      <c r="G2171" s="2" t="s">
        <v>3884</v>
      </c>
      <c r="H2171" s="2">
        <v>676816</v>
      </c>
      <c r="I2171" s="2">
        <v>906650</v>
      </c>
      <c r="J2171" s="2" t="s">
        <v>3890</v>
      </c>
      <c r="K2171" s="2" t="s">
        <v>3894</v>
      </c>
      <c r="L2171" s="2">
        <v>2024</v>
      </c>
      <c r="M2171" s="2">
        <v>-229834</v>
      </c>
      <c r="N2171" s="2">
        <f xml:space="preserve"> (Table1[[#This Row],[Variance (USD)]] / Table1[[#This Row],[Actual Spending (USD)]]) * 100</f>
        <v>-25.34980422434236</v>
      </c>
      <c r="O2171" s="5" t="s">
        <v>3897</v>
      </c>
    </row>
    <row r="2172" spans="1:15" x14ac:dyDescent="0.25">
      <c r="A2172" s="4" t="s">
        <v>2185</v>
      </c>
      <c r="B2172" s="2" t="s">
        <v>3821</v>
      </c>
      <c r="C2172" s="2" t="s">
        <v>3875</v>
      </c>
      <c r="D2172" s="2" t="s">
        <v>3878</v>
      </c>
      <c r="E2172" s="3">
        <v>45306</v>
      </c>
      <c r="F2172" s="3">
        <v>45937</v>
      </c>
      <c r="G2172" s="2" t="s">
        <v>3886</v>
      </c>
      <c r="H2172" s="2">
        <v>96526</v>
      </c>
      <c r="I2172" s="2">
        <v>639288</v>
      </c>
      <c r="J2172" s="2" t="s">
        <v>3890</v>
      </c>
      <c r="K2172" s="2" t="s">
        <v>3895</v>
      </c>
      <c r="L2172" s="2">
        <v>2023</v>
      </c>
      <c r="M2172" s="2">
        <v>-542762</v>
      </c>
      <c r="N2172" s="2">
        <f xml:space="preserve"> (Table1[[#This Row],[Variance (USD)]] / Table1[[#This Row],[Actual Spending (USD)]]) * 100</f>
        <v>-84.901014879052951</v>
      </c>
      <c r="O2172" s="5" t="s">
        <v>3899</v>
      </c>
    </row>
    <row r="2173" spans="1:15" x14ac:dyDescent="0.25">
      <c r="A2173" s="4" t="s">
        <v>2186</v>
      </c>
      <c r="B2173" s="2" t="s">
        <v>3327</v>
      </c>
      <c r="C2173" s="2" t="s">
        <v>3871</v>
      </c>
      <c r="D2173" s="2" t="s">
        <v>3878</v>
      </c>
      <c r="E2173" s="3">
        <v>45397</v>
      </c>
      <c r="F2173" s="3">
        <v>45399</v>
      </c>
      <c r="G2173" s="2" t="s">
        <v>3886</v>
      </c>
      <c r="H2173" s="2">
        <v>622005</v>
      </c>
      <c r="I2173" s="2">
        <v>757362</v>
      </c>
      <c r="J2173" s="2" t="s">
        <v>3891</v>
      </c>
      <c r="K2173" s="2" t="s">
        <v>3895</v>
      </c>
      <c r="L2173" s="2">
        <v>2023</v>
      </c>
      <c r="M2173" s="2">
        <v>-135357</v>
      </c>
      <c r="N2173" s="2">
        <f xml:space="preserve"> (Table1[[#This Row],[Variance (USD)]] / Table1[[#This Row],[Actual Spending (USD)]]) * 100</f>
        <v>-17.872166810587274</v>
      </c>
      <c r="O2173" s="5" t="s">
        <v>3899</v>
      </c>
    </row>
    <row r="2174" spans="1:15" x14ac:dyDescent="0.25">
      <c r="A2174" s="4" t="s">
        <v>2187</v>
      </c>
      <c r="B2174" s="2" t="s">
        <v>3352</v>
      </c>
      <c r="C2174" s="2" t="s">
        <v>3874</v>
      </c>
      <c r="D2174" s="2" t="s">
        <v>3881</v>
      </c>
      <c r="E2174" s="3">
        <v>45627</v>
      </c>
      <c r="F2174" s="3">
        <v>45875</v>
      </c>
      <c r="G2174" s="2" t="s">
        <v>3884</v>
      </c>
      <c r="H2174" s="2">
        <v>502642</v>
      </c>
      <c r="I2174" s="2">
        <v>87965</v>
      </c>
      <c r="J2174" s="2" t="s">
        <v>3889</v>
      </c>
      <c r="K2174" s="2" t="s">
        <v>3896</v>
      </c>
      <c r="L2174" s="2">
        <v>2024</v>
      </c>
      <c r="M2174" s="2">
        <v>414677</v>
      </c>
      <c r="N2174" s="2">
        <f xml:space="preserve"> (Table1[[#This Row],[Variance (USD)]] / Table1[[#This Row],[Actual Spending (USD)]]) * 100</f>
        <v>471.41135678963224</v>
      </c>
      <c r="O2174" s="5" t="s">
        <v>3897</v>
      </c>
    </row>
    <row r="2175" spans="1:15" x14ac:dyDescent="0.25">
      <c r="A2175" s="4" t="s">
        <v>2188</v>
      </c>
      <c r="B2175" s="2" t="s">
        <v>3093</v>
      </c>
      <c r="C2175" s="2" t="s">
        <v>3873</v>
      </c>
      <c r="D2175" s="2" t="s">
        <v>3878</v>
      </c>
      <c r="E2175" s="3">
        <v>45381</v>
      </c>
      <c r="F2175" s="3">
        <v>45709</v>
      </c>
      <c r="G2175" s="2" t="s">
        <v>3885</v>
      </c>
      <c r="H2175" s="2">
        <v>806530</v>
      </c>
      <c r="I2175" s="2">
        <v>99776</v>
      </c>
      <c r="J2175" s="2" t="s">
        <v>3892</v>
      </c>
      <c r="K2175" s="2" t="s">
        <v>3894</v>
      </c>
      <c r="L2175" s="2">
        <v>2024</v>
      </c>
      <c r="M2175" s="2">
        <v>706754</v>
      </c>
      <c r="N2175" s="2">
        <f xml:space="preserve"> (Table1[[#This Row],[Variance (USD)]] / Table1[[#This Row],[Actual Spending (USD)]]) * 100</f>
        <v>708.34068313021169</v>
      </c>
      <c r="O2175" s="5" t="s">
        <v>3898</v>
      </c>
    </row>
    <row r="2176" spans="1:15" x14ac:dyDescent="0.25">
      <c r="A2176" s="4" t="s">
        <v>2189</v>
      </c>
      <c r="B2176" s="2" t="s">
        <v>3822</v>
      </c>
      <c r="C2176" s="2" t="s">
        <v>3872</v>
      </c>
      <c r="D2176" s="2" t="s">
        <v>3883</v>
      </c>
      <c r="E2176" s="3">
        <v>45292</v>
      </c>
      <c r="F2176" s="3">
        <v>45911</v>
      </c>
      <c r="G2176" s="2" t="s">
        <v>3886</v>
      </c>
      <c r="H2176" s="2">
        <v>265238</v>
      </c>
      <c r="I2176" s="2">
        <v>323603</v>
      </c>
      <c r="J2176" s="2" t="s">
        <v>3890</v>
      </c>
      <c r="K2176" s="2" t="s">
        <v>3896</v>
      </c>
      <c r="L2176" s="2">
        <v>2024</v>
      </c>
      <c r="M2176" s="2">
        <v>-58365</v>
      </c>
      <c r="N2176" s="2">
        <f xml:space="preserve"> (Table1[[#This Row],[Variance (USD)]] / Table1[[#This Row],[Actual Spending (USD)]]) * 100</f>
        <v>-18.035988541515373</v>
      </c>
      <c r="O2176" s="5" t="s">
        <v>3899</v>
      </c>
    </row>
    <row r="2177" spans="1:15" x14ac:dyDescent="0.25">
      <c r="A2177" s="4" t="s">
        <v>2190</v>
      </c>
      <c r="B2177" s="2" t="s">
        <v>3237</v>
      </c>
      <c r="C2177" s="2" t="s">
        <v>3869</v>
      </c>
      <c r="D2177" s="2" t="s">
        <v>3880</v>
      </c>
      <c r="E2177" s="3">
        <v>45216</v>
      </c>
      <c r="F2177" s="3">
        <v>45689</v>
      </c>
      <c r="G2177" s="2" t="s">
        <v>3884</v>
      </c>
      <c r="H2177" s="2">
        <v>559740</v>
      </c>
      <c r="I2177" s="2">
        <v>120932</v>
      </c>
      <c r="J2177" s="2" t="s">
        <v>3890</v>
      </c>
      <c r="K2177" s="2" t="s">
        <v>3895</v>
      </c>
      <c r="L2177" s="2">
        <v>2024</v>
      </c>
      <c r="M2177" s="2">
        <v>438808</v>
      </c>
      <c r="N2177" s="2">
        <f xml:space="preserve"> (Table1[[#This Row],[Variance (USD)]] / Table1[[#This Row],[Actual Spending (USD)]]) * 100</f>
        <v>362.85515827076375</v>
      </c>
      <c r="O2177" s="5" t="s">
        <v>3897</v>
      </c>
    </row>
    <row r="2178" spans="1:15" x14ac:dyDescent="0.25">
      <c r="A2178" s="4" t="s">
        <v>2191</v>
      </c>
      <c r="B2178" s="2" t="s">
        <v>3267</v>
      </c>
      <c r="C2178" s="2" t="s">
        <v>3872</v>
      </c>
      <c r="D2178" s="2" t="s">
        <v>3880</v>
      </c>
      <c r="E2178" s="3">
        <v>45329</v>
      </c>
      <c r="F2178" s="3">
        <v>45563</v>
      </c>
      <c r="G2178" s="2" t="s">
        <v>3886</v>
      </c>
      <c r="H2178" s="2">
        <v>287644</v>
      </c>
      <c r="I2178" s="2">
        <v>898763</v>
      </c>
      <c r="J2178" s="2" t="s">
        <v>3892</v>
      </c>
      <c r="K2178" s="2" t="s">
        <v>3896</v>
      </c>
      <c r="L2178" s="2">
        <v>2024</v>
      </c>
      <c r="M2178" s="2">
        <v>-611119</v>
      </c>
      <c r="N2178" s="2">
        <f xml:space="preserve"> (Table1[[#This Row],[Variance (USD)]] / Table1[[#This Row],[Actual Spending (USD)]]) * 100</f>
        <v>-67.99556724075201</v>
      </c>
      <c r="O2178" s="5" t="s">
        <v>3899</v>
      </c>
    </row>
    <row r="2179" spans="1:15" x14ac:dyDescent="0.25">
      <c r="A2179" s="4" t="s">
        <v>2192</v>
      </c>
      <c r="B2179" s="2" t="s">
        <v>3502</v>
      </c>
      <c r="C2179" s="2" t="s">
        <v>3871</v>
      </c>
      <c r="D2179" s="2" t="s">
        <v>3876</v>
      </c>
      <c r="E2179" s="3">
        <v>44984</v>
      </c>
      <c r="F2179" s="3">
        <v>45974</v>
      </c>
      <c r="G2179" s="2" t="s">
        <v>3887</v>
      </c>
      <c r="H2179" s="2">
        <v>402624</v>
      </c>
      <c r="I2179" s="2">
        <v>710049</v>
      </c>
      <c r="J2179" s="2" t="s">
        <v>3890</v>
      </c>
      <c r="K2179" s="2" t="s">
        <v>3893</v>
      </c>
      <c r="L2179" s="2">
        <v>2023</v>
      </c>
      <c r="M2179" s="2">
        <v>-307425</v>
      </c>
      <c r="N2179" s="2">
        <f xml:space="preserve"> (Table1[[#This Row],[Variance (USD)]] / Table1[[#This Row],[Actual Spending (USD)]]) * 100</f>
        <v>-43.296307719608087</v>
      </c>
      <c r="O2179" s="5" t="s">
        <v>3900</v>
      </c>
    </row>
    <row r="2180" spans="1:15" x14ac:dyDescent="0.25">
      <c r="A2180" s="4" t="s">
        <v>2193</v>
      </c>
      <c r="B2180" s="2" t="s">
        <v>3823</v>
      </c>
      <c r="C2180" s="2" t="s">
        <v>3868</v>
      </c>
      <c r="D2180" s="2" t="s">
        <v>3882</v>
      </c>
      <c r="E2180" s="3">
        <v>45447</v>
      </c>
      <c r="F2180" s="3">
        <v>45407</v>
      </c>
      <c r="G2180" s="2" t="s">
        <v>3886</v>
      </c>
      <c r="H2180" s="2">
        <v>532112</v>
      </c>
      <c r="I2180" s="2">
        <v>360126</v>
      </c>
      <c r="J2180" s="2" t="s">
        <v>3890</v>
      </c>
      <c r="K2180" s="2" t="s">
        <v>3895</v>
      </c>
      <c r="L2180" s="2">
        <v>2025</v>
      </c>
      <c r="M2180" s="2">
        <v>171986</v>
      </c>
      <c r="N2180" s="2">
        <f xml:space="preserve"> (Table1[[#This Row],[Variance (USD)]] / Table1[[#This Row],[Actual Spending (USD)]]) * 100</f>
        <v>47.75717387803158</v>
      </c>
      <c r="O2180" s="5" t="s">
        <v>3899</v>
      </c>
    </row>
    <row r="2181" spans="1:15" x14ac:dyDescent="0.25">
      <c r="A2181" s="4" t="s">
        <v>2194</v>
      </c>
      <c r="B2181" s="2" t="s">
        <v>3369</v>
      </c>
      <c r="C2181" s="2" t="s">
        <v>3869</v>
      </c>
      <c r="D2181" s="2" t="s">
        <v>3882</v>
      </c>
      <c r="E2181" s="3">
        <v>45230</v>
      </c>
      <c r="F2181" s="3">
        <v>45877</v>
      </c>
      <c r="G2181" s="2" t="s">
        <v>3884</v>
      </c>
      <c r="H2181" s="2">
        <v>783709</v>
      </c>
      <c r="I2181" s="2">
        <v>426562</v>
      </c>
      <c r="J2181" s="2" t="s">
        <v>3890</v>
      </c>
      <c r="K2181" s="2" t="s">
        <v>3893</v>
      </c>
      <c r="L2181" s="2">
        <v>2025</v>
      </c>
      <c r="M2181" s="2">
        <v>357147</v>
      </c>
      <c r="N2181" s="2">
        <f xml:space="preserve"> (Table1[[#This Row],[Variance (USD)]] / Table1[[#This Row],[Actual Spending (USD)]]) * 100</f>
        <v>83.726867372152242</v>
      </c>
      <c r="O2181" s="5" t="s">
        <v>3897</v>
      </c>
    </row>
    <row r="2182" spans="1:15" x14ac:dyDescent="0.25">
      <c r="A2182" s="4" t="s">
        <v>2195</v>
      </c>
      <c r="B2182" s="2" t="s">
        <v>3710</v>
      </c>
      <c r="C2182" s="2" t="s">
        <v>3873</v>
      </c>
      <c r="D2182" s="2" t="s">
        <v>3880</v>
      </c>
      <c r="E2182" s="3">
        <v>45041</v>
      </c>
      <c r="F2182" s="3">
        <v>45547</v>
      </c>
      <c r="G2182" s="2" t="s">
        <v>3884</v>
      </c>
      <c r="H2182" s="2">
        <v>185673</v>
      </c>
      <c r="I2182" s="2">
        <v>206251</v>
      </c>
      <c r="J2182" s="2" t="s">
        <v>3888</v>
      </c>
      <c r="K2182" s="2" t="s">
        <v>3894</v>
      </c>
      <c r="L2182" s="2">
        <v>2023</v>
      </c>
      <c r="M2182" s="2">
        <v>-20578</v>
      </c>
      <c r="N2182" s="2">
        <f xml:space="preserve"> (Table1[[#This Row],[Variance (USD)]] / Table1[[#This Row],[Actual Spending (USD)]]) * 100</f>
        <v>-9.9771637470848624</v>
      </c>
      <c r="O2182" s="5" t="s">
        <v>3897</v>
      </c>
    </row>
    <row r="2183" spans="1:15" x14ac:dyDescent="0.25">
      <c r="A2183" s="4" t="s">
        <v>2196</v>
      </c>
      <c r="B2183" s="2" t="s">
        <v>3655</v>
      </c>
      <c r="C2183" s="2" t="s">
        <v>3871</v>
      </c>
      <c r="D2183" s="2" t="s">
        <v>3877</v>
      </c>
      <c r="E2183" s="3">
        <v>45136</v>
      </c>
      <c r="F2183" s="3">
        <v>45372</v>
      </c>
      <c r="G2183" s="2" t="s">
        <v>3884</v>
      </c>
      <c r="H2183" s="2">
        <v>849362</v>
      </c>
      <c r="I2183" s="2">
        <v>856949</v>
      </c>
      <c r="J2183" s="2" t="s">
        <v>3888</v>
      </c>
      <c r="K2183" s="2" t="s">
        <v>3896</v>
      </c>
      <c r="L2183" s="2">
        <v>2023</v>
      </c>
      <c r="M2183" s="2">
        <v>-7587</v>
      </c>
      <c r="N2183" s="2">
        <f xml:space="preserve"> (Table1[[#This Row],[Variance (USD)]] / Table1[[#This Row],[Actual Spending (USD)]]) * 100</f>
        <v>-0.88535023671186974</v>
      </c>
      <c r="O2183" s="5" t="s">
        <v>3897</v>
      </c>
    </row>
    <row r="2184" spans="1:15" x14ac:dyDescent="0.25">
      <c r="A2184" s="4" t="s">
        <v>2197</v>
      </c>
      <c r="B2184" s="2" t="s">
        <v>3564</v>
      </c>
      <c r="C2184" s="2" t="s">
        <v>3869</v>
      </c>
      <c r="D2184" s="2" t="s">
        <v>3883</v>
      </c>
      <c r="E2184" s="3">
        <v>44967</v>
      </c>
      <c r="F2184" s="3">
        <v>45419</v>
      </c>
      <c r="G2184" s="2" t="s">
        <v>3884</v>
      </c>
      <c r="H2184" s="2">
        <v>578621</v>
      </c>
      <c r="I2184" s="2">
        <v>361822</v>
      </c>
      <c r="J2184" s="2" t="s">
        <v>3889</v>
      </c>
      <c r="K2184" s="2" t="s">
        <v>3895</v>
      </c>
      <c r="L2184" s="2">
        <v>2025</v>
      </c>
      <c r="M2184" s="2">
        <v>216799</v>
      </c>
      <c r="N2184" s="2">
        <f xml:space="preserve"> (Table1[[#This Row],[Variance (USD)]] / Table1[[#This Row],[Actual Spending (USD)]]) * 100</f>
        <v>59.918689300263658</v>
      </c>
      <c r="O2184" s="5" t="s">
        <v>3897</v>
      </c>
    </row>
    <row r="2185" spans="1:15" x14ac:dyDescent="0.25">
      <c r="A2185" s="4" t="s">
        <v>2198</v>
      </c>
      <c r="B2185" s="2" t="s">
        <v>3781</v>
      </c>
      <c r="C2185" s="2" t="s">
        <v>3871</v>
      </c>
      <c r="D2185" s="2" t="s">
        <v>3878</v>
      </c>
      <c r="E2185" s="3">
        <v>45099</v>
      </c>
      <c r="F2185" s="3">
        <v>45526</v>
      </c>
      <c r="G2185" s="2" t="s">
        <v>3886</v>
      </c>
      <c r="H2185" s="2">
        <v>776295</v>
      </c>
      <c r="I2185" s="2">
        <v>242678</v>
      </c>
      <c r="J2185" s="2" t="s">
        <v>3891</v>
      </c>
      <c r="K2185" s="2" t="s">
        <v>3894</v>
      </c>
      <c r="L2185" s="2">
        <v>2023</v>
      </c>
      <c r="M2185" s="2">
        <v>533617</v>
      </c>
      <c r="N2185" s="2">
        <f xml:space="preserve"> (Table1[[#This Row],[Variance (USD)]] / Table1[[#This Row],[Actual Spending (USD)]]) * 100</f>
        <v>219.88684594400812</v>
      </c>
      <c r="O2185" s="5" t="s">
        <v>3899</v>
      </c>
    </row>
    <row r="2186" spans="1:15" x14ac:dyDescent="0.25">
      <c r="A2186" s="4" t="s">
        <v>2199</v>
      </c>
      <c r="B2186" s="2" t="s">
        <v>3307</v>
      </c>
      <c r="C2186" s="2" t="s">
        <v>3874</v>
      </c>
      <c r="D2186" s="2" t="s">
        <v>3881</v>
      </c>
      <c r="E2186" s="3">
        <v>45160</v>
      </c>
      <c r="F2186" s="3">
        <v>45844</v>
      </c>
      <c r="G2186" s="2" t="s">
        <v>3885</v>
      </c>
      <c r="H2186" s="2">
        <v>170384</v>
      </c>
      <c r="I2186" s="2">
        <v>404635</v>
      </c>
      <c r="J2186" s="2" t="s">
        <v>3892</v>
      </c>
      <c r="K2186" s="2" t="s">
        <v>3893</v>
      </c>
      <c r="L2186" s="2">
        <v>2024</v>
      </c>
      <c r="M2186" s="2">
        <v>-234251</v>
      </c>
      <c r="N2186" s="2">
        <f xml:space="preserve"> (Table1[[#This Row],[Variance (USD)]] / Table1[[#This Row],[Actual Spending (USD)]]) * 100</f>
        <v>-57.891927292498181</v>
      </c>
      <c r="O2186" s="5" t="s">
        <v>3898</v>
      </c>
    </row>
    <row r="2187" spans="1:15" x14ac:dyDescent="0.25">
      <c r="A2187" s="4" t="s">
        <v>2200</v>
      </c>
      <c r="B2187" s="2" t="s">
        <v>3189</v>
      </c>
      <c r="C2187" s="2" t="s">
        <v>3871</v>
      </c>
      <c r="D2187" s="2" t="s">
        <v>3880</v>
      </c>
      <c r="E2187" s="3">
        <v>45516</v>
      </c>
      <c r="F2187" s="3">
        <v>45472</v>
      </c>
      <c r="G2187" s="2" t="s">
        <v>3886</v>
      </c>
      <c r="H2187" s="2">
        <v>67839</v>
      </c>
      <c r="I2187" s="2">
        <v>889055</v>
      </c>
      <c r="J2187" s="2" t="s">
        <v>3891</v>
      </c>
      <c r="K2187" s="2" t="s">
        <v>3896</v>
      </c>
      <c r="L2187" s="2">
        <v>2023</v>
      </c>
      <c r="M2187" s="2">
        <v>-821216</v>
      </c>
      <c r="N2187" s="2">
        <f xml:space="preserve"> (Table1[[#This Row],[Variance (USD)]] / Table1[[#This Row],[Actual Spending (USD)]]) * 100</f>
        <v>-92.369538442503568</v>
      </c>
      <c r="O2187" s="5" t="s">
        <v>3899</v>
      </c>
    </row>
    <row r="2188" spans="1:15" x14ac:dyDescent="0.25">
      <c r="A2188" s="4" t="s">
        <v>2201</v>
      </c>
      <c r="B2188" s="2" t="s">
        <v>3091</v>
      </c>
      <c r="C2188" s="2" t="s">
        <v>3873</v>
      </c>
      <c r="D2188" s="2" t="s">
        <v>3883</v>
      </c>
      <c r="E2188" s="3">
        <v>45546</v>
      </c>
      <c r="F2188" s="3">
        <v>45448</v>
      </c>
      <c r="G2188" s="2" t="s">
        <v>3887</v>
      </c>
      <c r="H2188" s="2">
        <v>887769</v>
      </c>
      <c r="I2188" s="2">
        <v>512504</v>
      </c>
      <c r="J2188" s="2" t="s">
        <v>3891</v>
      </c>
      <c r="K2188" s="2" t="s">
        <v>3896</v>
      </c>
      <c r="L2188" s="2">
        <v>2023</v>
      </c>
      <c r="M2188" s="2">
        <v>375265</v>
      </c>
      <c r="N2188" s="2">
        <f xml:space="preserve"> (Table1[[#This Row],[Variance (USD)]] / Table1[[#This Row],[Actual Spending (USD)]]) * 100</f>
        <v>73.221867536643614</v>
      </c>
      <c r="O2188" s="5" t="s">
        <v>3900</v>
      </c>
    </row>
    <row r="2189" spans="1:15" x14ac:dyDescent="0.25">
      <c r="A2189" s="4" t="s">
        <v>2202</v>
      </c>
      <c r="B2189" s="2" t="s">
        <v>3086</v>
      </c>
      <c r="C2189" s="2" t="s">
        <v>3870</v>
      </c>
      <c r="D2189" s="2" t="s">
        <v>3880</v>
      </c>
      <c r="E2189" s="3">
        <v>45329</v>
      </c>
      <c r="F2189" s="3">
        <v>45745</v>
      </c>
      <c r="G2189" s="2" t="s">
        <v>3884</v>
      </c>
      <c r="H2189" s="2">
        <v>483420</v>
      </c>
      <c r="I2189" s="2">
        <v>340719</v>
      </c>
      <c r="J2189" s="2" t="s">
        <v>3888</v>
      </c>
      <c r="K2189" s="2" t="s">
        <v>3895</v>
      </c>
      <c r="L2189" s="2">
        <v>2023</v>
      </c>
      <c r="M2189" s="2">
        <v>142701</v>
      </c>
      <c r="N2189" s="2">
        <f xml:space="preserve"> (Table1[[#This Row],[Variance (USD)]] / Table1[[#This Row],[Actual Spending (USD)]]) * 100</f>
        <v>41.882313578051125</v>
      </c>
      <c r="O2189" s="5" t="s">
        <v>3897</v>
      </c>
    </row>
    <row r="2190" spans="1:15" x14ac:dyDescent="0.25">
      <c r="A2190" s="4" t="s">
        <v>2203</v>
      </c>
      <c r="B2190" s="2" t="s">
        <v>3484</v>
      </c>
      <c r="C2190" s="2" t="s">
        <v>3875</v>
      </c>
      <c r="D2190" s="2" t="s">
        <v>3879</v>
      </c>
      <c r="E2190" s="3">
        <v>44965</v>
      </c>
      <c r="F2190" s="3">
        <v>45862</v>
      </c>
      <c r="G2190" s="2" t="s">
        <v>3885</v>
      </c>
      <c r="H2190" s="2">
        <v>70195</v>
      </c>
      <c r="I2190" s="2">
        <v>735315</v>
      </c>
      <c r="J2190" s="2" t="s">
        <v>3889</v>
      </c>
      <c r="K2190" s="2" t="s">
        <v>3896</v>
      </c>
      <c r="L2190" s="2">
        <v>2023</v>
      </c>
      <c r="M2190" s="2">
        <v>-665120</v>
      </c>
      <c r="N2190" s="2">
        <f xml:space="preserve"> (Table1[[#This Row],[Variance (USD)]] / Table1[[#This Row],[Actual Spending (USD)]]) * 100</f>
        <v>-90.453751113468371</v>
      </c>
      <c r="O2190" s="5" t="s">
        <v>3898</v>
      </c>
    </row>
    <row r="2191" spans="1:15" x14ac:dyDescent="0.25">
      <c r="A2191" s="4" t="s">
        <v>2204</v>
      </c>
      <c r="B2191" s="2" t="s">
        <v>3670</v>
      </c>
      <c r="C2191" s="2" t="s">
        <v>3869</v>
      </c>
      <c r="D2191" s="2" t="s">
        <v>3878</v>
      </c>
      <c r="E2191" s="3">
        <v>45045</v>
      </c>
      <c r="F2191" s="3">
        <v>45995</v>
      </c>
      <c r="G2191" s="2" t="s">
        <v>3886</v>
      </c>
      <c r="H2191" s="2">
        <v>471064</v>
      </c>
      <c r="I2191" s="2">
        <v>1158836</v>
      </c>
      <c r="J2191" s="2" t="s">
        <v>3891</v>
      </c>
      <c r="K2191" s="2" t="s">
        <v>3896</v>
      </c>
      <c r="L2191" s="2">
        <v>2025</v>
      </c>
      <c r="M2191" s="2">
        <v>-687772</v>
      </c>
      <c r="N2191" s="2">
        <f xml:space="preserve"> (Table1[[#This Row],[Variance (USD)]] / Table1[[#This Row],[Actual Spending (USD)]]) * 100</f>
        <v>-59.35024455574387</v>
      </c>
      <c r="O2191" s="5" t="s">
        <v>3899</v>
      </c>
    </row>
    <row r="2192" spans="1:15" x14ac:dyDescent="0.25">
      <c r="A2192" s="4" t="s">
        <v>2205</v>
      </c>
      <c r="B2192" s="2" t="s">
        <v>3593</v>
      </c>
      <c r="C2192" s="2" t="s">
        <v>3874</v>
      </c>
      <c r="D2192" s="2" t="s">
        <v>3879</v>
      </c>
      <c r="E2192" s="3">
        <v>45261</v>
      </c>
      <c r="F2192" s="3">
        <v>45315</v>
      </c>
      <c r="G2192" s="2" t="s">
        <v>3884</v>
      </c>
      <c r="H2192" s="2">
        <v>663517</v>
      </c>
      <c r="I2192" s="2">
        <v>610159</v>
      </c>
      <c r="J2192" s="2" t="s">
        <v>3891</v>
      </c>
      <c r="K2192" s="2" t="s">
        <v>3893</v>
      </c>
      <c r="L2192" s="2">
        <v>2025</v>
      </c>
      <c r="M2192" s="2">
        <v>53358</v>
      </c>
      <c r="N2192" s="2">
        <f xml:space="preserve"> (Table1[[#This Row],[Variance (USD)]] / Table1[[#This Row],[Actual Spending (USD)]]) * 100</f>
        <v>8.7449336976099676</v>
      </c>
      <c r="O2192" s="5" t="s">
        <v>3897</v>
      </c>
    </row>
    <row r="2193" spans="1:15" x14ac:dyDescent="0.25">
      <c r="A2193" s="4" t="s">
        <v>2206</v>
      </c>
      <c r="B2193" s="2" t="s">
        <v>3304</v>
      </c>
      <c r="C2193" s="2" t="s">
        <v>3873</v>
      </c>
      <c r="D2193" s="2" t="s">
        <v>3878</v>
      </c>
      <c r="E2193" s="3">
        <v>45262</v>
      </c>
      <c r="F2193" s="3">
        <v>45764</v>
      </c>
      <c r="G2193" s="2" t="s">
        <v>3886</v>
      </c>
      <c r="H2193" s="2">
        <v>949683</v>
      </c>
      <c r="I2193" s="2">
        <v>221750</v>
      </c>
      <c r="J2193" s="2" t="s">
        <v>3890</v>
      </c>
      <c r="K2193" s="2" t="s">
        <v>3893</v>
      </c>
      <c r="L2193" s="2">
        <v>2025</v>
      </c>
      <c r="M2193" s="2">
        <v>727933</v>
      </c>
      <c r="N2193" s="2">
        <f xml:space="preserve"> (Table1[[#This Row],[Variance (USD)]] / Table1[[#This Row],[Actual Spending (USD)]]) * 100</f>
        <v>328.26741826381061</v>
      </c>
      <c r="O2193" s="5" t="s">
        <v>3899</v>
      </c>
    </row>
    <row r="2194" spans="1:15" x14ac:dyDescent="0.25">
      <c r="A2194" s="4" t="s">
        <v>2207</v>
      </c>
      <c r="B2194" s="2" t="s">
        <v>3560</v>
      </c>
      <c r="C2194" s="2" t="s">
        <v>3871</v>
      </c>
      <c r="D2194" s="2" t="s">
        <v>3883</v>
      </c>
      <c r="E2194" s="3">
        <v>45465</v>
      </c>
      <c r="F2194" s="3">
        <v>45691</v>
      </c>
      <c r="G2194" s="2" t="s">
        <v>3884</v>
      </c>
      <c r="H2194" s="2">
        <v>162265</v>
      </c>
      <c r="I2194" s="2">
        <v>675061</v>
      </c>
      <c r="J2194" s="2" t="s">
        <v>3892</v>
      </c>
      <c r="K2194" s="2" t="s">
        <v>3893</v>
      </c>
      <c r="L2194" s="2">
        <v>2025</v>
      </c>
      <c r="M2194" s="2">
        <v>-512796</v>
      </c>
      <c r="N2194" s="2">
        <f xml:space="preserve"> (Table1[[#This Row],[Variance (USD)]] / Table1[[#This Row],[Actual Spending (USD)]]) * 100</f>
        <v>-75.962912981197249</v>
      </c>
      <c r="O2194" s="5" t="s">
        <v>3897</v>
      </c>
    </row>
    <row r="2195" spans="1:15" x14ac:dyDescent="0.25">
      <c r="A2195" s="4" t="s">
        <v>2208</v>
      </c>
      <c r="B2195" s="2" t="s">
        <v>3134</v>
      </c>
      <c r="C2195" s="2" t="s">
        <v>3874</v>
      </c>
      <c r="D2195" s="2" t="s">
        <v>3876</v>
      </c>
      <c r="E2195" s="3">
        <v>45542</v>
      </c>
      <c r="F2195" s="3">
        <v>45883</v>
      </c>
      <c r="G2195" s="2" t="s">
        <v>3886</v>
      </c>
      <c r="H2195" s="2">
        <v>310775</v>
      </c>
      <c r="I2195" s="2">
        <v>454567</v>
      </c>
      <c r="J2195" s="2" t="s">
        <v>3889</v>
      </c>
      <c r="K2195" s="2" t="s">
        <v>3894</v>
      </c>
      <c r="L2195" s="2">
        <v>2024</v>
      </c>
      <c r="M2195" s="2">
        <v>-143792</v>
      </c>
      <c r="N2195" s="2">
        <f xml:space="preserve"> (Table1[[#This Row],[Variance (USD)]] / Table1[[#This Row],[Actual Spending (USD)]]) * 100</f>
        <v>-31.632740608095176</v>
      </c>
      <c r="O2195" s="5" t="s">
        <v>3899</v>
      </c>
    </row>
    <row r="2196" spans="1:15" x14ac:dyDescent="0.25">
      <c r="A2196" s="4" t="s">
        <v>2209</v>
      </c>
      <c r="B2196" s="2" t="s">
        <v>3735</v>
      </c>
      <c r="C2196" s="2" t="s">
        <v>3873</v>
      </c>
      <c r="D2196" s="2" t="s">
        <v>3880</v>
      </c>
      <c r="E2196" s="3">
        <v>45000</v>
      </c>
      <c r="F2196" s="3">
        <v>45425</v>
      </c>
      <c r="G2196" s="2" t="s">
        <v>3884</v>
      </c>
      <c r="H2196" s="2">
        <v>221926</v>
      </c>
      <c r="I2196" s="2">
        <v>614981</v>
      </c>
      <c r="J2196" s="2" t="s">
        <v>3892</v>
      </c>
      <c r="K2196" s="2" t="s">
        <v>3894</v>
      </c>
      <c r="L2196" s="2">
        <v>2024</v>
      </c>
      <c r="M2196" s="2">
        <v>-393055</v>
      </c>
      <c r="N2196" s="2">
        <f xml:space="preserve"> (Table1[[#This Row],[Variance (USD)]] / Table1[[#This Row],[Actual Spending (USD)]]) * 100</f>
        <v>-63.913356672807772</v>
      </c>
      <c r="O2196" s="5" t="s">
        <v>3897</v>
      </c>
    </row>
    <row r="2197" spans="1:15" x14ac:dyDescent="0.25">
      <c r="A2197" s="4" t="s">
        <v>2210</v>
      </c>
      <c r="B2197" s="2" t="s">
        <v>3402</v>
      </c>
      <c r="C2197" s="2" t="s">
        <v>3870</v>
      </c>
      <c r="D2197" s="2" t="s">
        <v>3880</v>
      </c>
      <c r="E2197" s="3">
        <v>45117</v>
      </c>
      <c r="F2197" s="3">
        <v>45712</v>
      </c>
      <c r="G2197" s="2" t="s">
        <v>3884</v>
      </c>
      <c r="H2197" s="2">
        <v>938418</v>
      </c>
      <c r="I2197" s="2">
        <v>847865</v>
      </c>
      <c r="J2197" s="2" t="s">
        <v>3888</v>
      </c>
      <c r="K2197" s="2" t="s">
        <v>3896</v>
      </c>
      <c r="L2197" s="2">
        <v>2025</v>
      </c>
      <c r="M2197" s="2">
        <v>90553</v>
      </c>
      <c r="N2197" s="2">
        <f xml:space="preserve"> (Table1[[#This Row],[Variance (USD)]] / Table1[[#This Row],[Actual Spending (USD)]]) * 100</f>
        <v>10.680120066284138</v>
      </c>
      <c r="O2197" s="5" t="s">
        <v>3897</v>
      </c>
    </row>
    <row r="2198" spans="1:15" x14ac:dyDescent="0.25">
      <c r="A2198" s="4" t="s">
        <v>2211</v>
      </c>
      <c r="B2198" s="2" t="s">
        <v>3164</v>
      </c>
      <c r="C2198" s="2" t="s">
        <v>3874</v>
      </c>
      <c r="D2198" s="2" t="s">
        <v>3877</v>
      </c>
      <c r="E2198" s="3">
        <v>45250</v>
      </c>
      <c r="F2198" s="3">
        <v>45504</v>
      </c>
      <c r="G2198" s="2" t="s">
        <v>3886</v>
      </c>
      <c r="H2198" s="2">
        <v>363142</v>
      </c>
      <c r="I2198" s="2">
        <v>1153373</v>
      </c>
      <c r="J2198" s="2" t="s">
        <v>3891</v>
      </c>
      <c r="K2198" s="2" t="s">
        <v>3894</v>
      </c>
      <c r="L2198" s="2">
        <v>2025</v>
      </c>
      <c r="M2198" s="2">
        <v>-790231</v>
      </c>
      <c r="N2198" s="2">
        <f xml:space="preserve"> (Table1[[#This Row],[Variance (USD)]] / Table1[[#This Row],[Actual Spending (USD)]]) * 100</f>
        <v>-68.514782295059788</v>
      </c>
      <c r="O2198" s="5" t="s">
        <v>3899</v>
      </c>
    </row>
    <row r="2199" spans="1:15" x14ac:dyDescent="0.25">
      <c r="A2199" s="4" t="s">
        <v>2212</v>
      </c>
      <c r="B2199" s="2" t="s">
        <v>3468</v>
      </c>
      <c r="C2199" s="2" t="s">
        <v>3874</v>
      </c>
      <c r="D2199" s="2" t="s">
        <v>3881</v>
      </c>
      <c r="E2199" s="3">
        <v>45073</v>
      </c>
      <c r="F2199" s="3">
        <v>45773</v>
      </c>
      <c r="G2199" s="2" t="s">
        <v>3886</v>
      </c>
      <c r="H2199" s="2">
        <v>248462</v>
      </c>
      <c r="I2199" s="2">
        <v>240087</v>
      </c>
      <c r="J2199" s="2" t="s">
        <v>3891</v>
      </c>
      <c r="K2199" s="2" t="s">
        <v>3895</v>
      </c>
      <c r="L2199" s="2">
        <v>2025</v>
      </c>
      <c r="M2199" s="2">
        <v>8375</v>
      </c>
      <c r="N2199" s="2">
        <f xml:space="preserve"> (Table1[[#This Row],[Variance (USD)]] / Table1[[#This Row],[Actual Spending (USD)]]) * 100</f>
        <v>3.4883188177618951</v>
      </c>
      <c r="O2199" s="5" t="s">
        <v>3899</v>
      </c>
    </row>
    <row r="2200" spans="1:15" x14ac:dyDescent="0.25">
      <c r="A2200" s="4" t="s">
        <v>2213</v>
      </c>
      <c r="B2200" s="2" t="s">
        <v>3408</v>
      </c>
      <c r="C2200" s="2" t="s">
        <v>3875</v>
      </c>
      <c r="D2200" s="2" t="s">
        <v>3879</v>
      </c>
      <c r="E2200" s="3">
        <v>45210</v>
      </c>
      <c r="F2200" s="3">
        <v>45639</v>
      </c>
      <c r="G2200" s="2" t="s">
        <v>3884</v>
      </c>
      <c r="H2200" s="2">
        <v>343702</v>
      </c>
      <c r="I2200" s="2">
        <v>832236</v>
      </c>
      <c r="J2200" s="2" t="s">
        <v>3892</v>
      </c>
      <c r="K2200" s="2" t="s">
        <v>3893</v>
      </c>
      <c r="L2200" s="2">
        <v>2023</v>
      </c>
      <c r="M2200" s="2">
        <v>-488534</v>
      </c>
      <c r="N2200" s="2">
        <f xml:space="preserve"> (Table1[[#This Row],[Variance (USD)]] / Table1[[#This Row],[Actual Spending (USD)]]) * 100</f>
        <v>-58.701377974516845</v>
      </c>
      <c r="O2200" s="5" t="s">
        <v>3897</v>
      </c>
    </row>
    <row r="2201" spans="1:15" x14ac:dyDescent="0.25">
      <c r="A2201" s="4" t="s">
        <v>2214</v>
      </c>
      <c r="B2201" s="2" t="s">
        <v>3042</v>
      </c>
      <c r="C2201" s="2" t="s">
        <v>3872</v>
      </c>
      <c r="D2201" s="2" t="s">
        <v>3880</v>
      </c>
      <c r="E2201" s="3">
        <v>45139</v>
      </c>
      <c r="F2201" s="3">
        <v>45457</v>
      </c>
      <c r="G2201" s="2" t="s">
        <v>3884</v>
      </c>
      <c r="H2201" s="2">
        <v>839417</v>
      </c>
      <c r="I2201" s="2">
        <v>861533</v>
      </c>
      <c r="J2201" s="2" t="s">
        <v>3888</v>
      </c>
      <c r="K2201" s="2" t="s">
        <v>3894</v>
      </c>
      <c r="L2201" s="2">
        <v>2024</v>
      </c>
      <c r="M2201" s="2">
        <v>-22116</v>
      </c>
      <c r="N2201" s="2">
        <f xml:space="preserve"> (Table1[[#This Row],[Variance (USD)]] / Table1[[#This Row],[Actual Spending (USD)]]) * 100</f>
        <v>-2.5670519875617068</v>
      </c>
      <c r="O2201" s="5" t="s">
        <v>3897</v>
      </c>
    </row>
    <row r="2202" spans="1:15" x14ac:dyDescent="0.25">
      <c r="A2202" s="4" t="s">
        <v>2215</v>
      </c>
      <c r="B2202" s="2" t="s">
        <v>3038</v>
      </c>
      <c r="C2202" s="2" t="s">
        <v>3869</v>
      </c>
      <c r="D2202" s="2" t="s">
        <v>3883</v>
      </c>
      <c r="E2202" s="3">
        <v>45561</v>
      </c>
      <c r="F2202" s="3">
        <v>45639</v>
      </c>
      <c r="G2202" s="2" t="s">
        <v>3884</v>
      </c>
      <c r="H2202" s="2">
        <v>898226</v>
      </c>
      <c r="I2202" s="2">
        <v>745475</v>
      </c>
      <c r="J2202" s="2" t="s">
        <v>3890</v>
      </c>
      <c r="K2202" s="2" t="s">
        <v>3896</v>
      </c>
      <c r="L2202" s="2">
        <v>2024</v>
      </c>
      <c r="M2202" s="2">
        <v>152751</v>
      </c>
      <c r="N2202" s="2">
        <f xml:space="preserve"> (Table1[[#This Row],[Variance (USD)]] / Table1[[#This Row],[Actual Spending (USD)]]) * 100</f>
        <v>20.490425567591135</v>
      </c>
      <c r="O2202" s="5" t="s">
        <v>3897</v>
      </c>
    </row>
    <row r="2203" spans="1:15" x14ac:dyDescent="0.25">
      <c r="A2203" s="4" t="s">
        <v>2216</v>
      </c>
      <c r="B2203" s="2" t="s">
        <v>3794</v>
      </c>
      <c r="C2203" s="2" t="s">
        <v>3875</v>
      </c>
      <c r="D2203" s="2" t="s">
        <v>3876</v>
      </c>
      <c r="E2203" s="3">
        <v>45644</v>
      </c>
      <c r="F2203" s="3">
        <v>45689</v>
      </c>
      <c r="G2203" s="2" t="s">
        <v>3886</v>
      </c>
      <c r="H2203" s="2">
        <v>93585</v>
      </c>
      <c r="I2203" s="2">
        <v>632651</v>
      </c>
      <c r="J2203" s="2" t="s">
        <v>3890</v>
      </c>
      <c r="K2203" s="2" t="s">
        <v>3893</v>
      </c>
      <c r="L2203" s="2">
        <v>2023</v>
      </c>
      <c r="M2203" s="2">
        <v>-539066</v>
      </c>
      <c r="N2203" s="2">
        <f xml:space="preserve"> (Table1[[#This Row],[Variance (USD)]] / Table1[[#This Row],[Actual Spending (USD)]]) * 100</f>
        <v>-85.207484063093247</v>
      </c>
      <c r="O2203" s="5" t="s">
        <v>3899</v>
      </c>
    </row>
    <row r="2204" spans="1:15" x14ac:dyDescent="0.25">
      <c r="A2204" s="4" t="s">
        <v>2217</v>
      </c>
      <c r="B2204" s="2" t="s">
        <v>3802</v>
      </c>
      <c r="C2204" s="2" t="s">
        <v>3868</v>
      </c>
      <c r="D2204" s="2" t="s">
        <v>3881</v>
      </c>
      <c r="E2204" s="3">
        <v>45320</v>
      </c>
      <c r="F2204" s="3">
        <v>45874</v>
      </c>
      <c r="G2204" s="2" t="s">
        <v>3885</v>
      </c>
      <c r="H2204" s="2">
        <v>265886</v>
      </c>
      <c r="I2204" s="2">
        <v>1066374</v>
      </c>
      <c r="J2204" s="2" t="s">
        <v>3891</v>
      </c>
      <c r="K2204" s="2" t="s">
        <v>3894</v>
      </c>
      <c r="L2204" s="2">
        <v>2023</v>
      </c>
      <c r="M2204" s="2">
        <v>-800488</v>
      </c>
      <c r="N2204" s="2">
        <f xml:space="preserve"> (Table1[[#This Row],[Variance (USD)]] / Table1[[#This Row],[Actual Spending (USD)]]) * 100</f>
        <v>-75.06634632877396</v>
      </c>
      <c r="O2204" s="5" t="s">
        <v>3898</v>
      </c>
    </row>
    <row r="2205" spans="1:15" x14ac:dyDescent="0.25">
      <c r="A2205" s="4" t="s">
        <v>2218</v>
      </c>
      <c r="B2205" s="2" t="s">
        <v>3824</v>
      </c>
      <c r="C2205" s="2" t="s">
        <v>3869</v>
      </c>
      <c r="D2205" s="2" t="s">
        <v>3883</v>
      </c>
      <c r="E2205" s="3">
        <v>45265</v>
      </c>
      <c r="F2205" s="3">
        <v>46017</v>
      </c>
      <c r="G2205" s="2" t="s">
        <v>3885</v>
      </c>
      <c r="H2205" s="2">
        <v>352408</v>
      </c>
      <c r="I2205" s="2">
        <v>1186480</v>
      </c>
      <c r="J2205" s="2" t="s">
        <v>3891</v>
      </c>
      <c r="K2205" s="2" t="s">
        <v>3893</v>
      </c>
      <c r="L2205" s="2">
        <v>2023</v>
      </c>
      <c r="M2205" s="2">
        <v>-834072</v>
      </c>
      <c r="N2205" s="2">
        <f xml:space="preserve"> (Table1[[#This Row],[Variance (USD)]] / Table1[[#This Row],[Actual Spending (USD)]]) * 100</f>
        <v>-70.298024408333887</v>
      </c>
      <c r="O2205" s="5" t="s">
        <v>3898</v>
      </c>
    </row>
    <row r="2206" spans="1:15" x14ac:dyDescent="0.25">
      <c r="A2206" s="4" t="s">
        <v>2219</v>
      </c>
      <c r="B2206" s="2" t="s">
        <v>3585</v>
      </c>
      <c r="C2206" s="2" t="s">
        <v>3875</v>
      </c>
      <c r="D2206" s="2" t="s">
        <v>3879</v>
      </c>
      <c r="E2206" s="3">
        <v>44948</v>
      </c>
      <c r="F2206" s="3">
        <v>45726</v>
      </c>
      <c r="G2206" s="2" t="s">
        <v>3884</v>
      </c>
      <c r="H2206" s="2">
        <v>476542</v>
      </c>
      <c r="I2206" s="2">
        <v>669240</v>
      </c>
      <c r="J2206" s="2" t="s">
        <v>3889</v>
      </c>
      <c r="K2206" s="2" t="s">
        <v>3894</v>
      </c>
      <c r="L2206" s="2">
        <v>2024</v>
      </c>
      <c r="M2206" s="2">
        <v>-192698</v>
      </c>
      <c r="N2206" s="2">
        <f xml:space="preserve"> (Table1[[#This Row],[Variance (USD)]] / Table1[[#This Row],[Actual Spending (USD)]]) * 100</f>
        <v>-28.793556870479946</v>
      </c>
      <c r="O2206" s="5" t="s">
        <v>3897</v>
      </c>
    </row>
    <row r="2207" spans="1:15" x14ac:dyDescent="0.25">
      <c r="A2207" s="4" t="s">
        <v>2220</v>
      </c>
      <c r="B2207" s="2" t="s">
        <v>3752</v>
      </c>
      <c r="C2207" s="2" t="s">
        <v>3871</v>
      </c>
      <c r="D2207" s="2" t="s">
        <v>3877</v>
      </c>
      <c r="E2207" s="3">
        <v>45031</v>
      </c>
      <c r="F2207" s="3">
        <v>45868</v>
      </c>
      <c r="G2207" s="2" t="s">
        <v>3886</v>
      </c>
      <c r="H2207" s="2">
        <v>921248</v>
      </c>
      <c r="I2207" s="2">
        <v>369720</v>
      </c>
      <c r="J2207" s="2" t="s">
        <v>3892</v>
      </c>
      <c r="K2207" s="2" t="s">
        <v>3896</v>
      </c>
      <c r="L2207" s="2">
        <v>2023</v>
      </c>
      <c r="M2207" s="2">
        <v>551528</v>
      </c>
      <c r="N2207" s="2">
        <f xml:space="preserve"> (Table1[[#This Row],[Variance (USD)]] / Table1[[#This Row],[Actual Spending (USD)]]) * 100</f>
        <v>149.17451044033322</v>
      </c>
      <c r="O2207" s="5" t="s">
        <v>3899</v>
      </c>
    </row>
    <row r="2208" spans="1:15" x14ac:dyDescent="0.25">
      <c r="A2208" s="4" t="s">
        <v>2221</v>
      </c>
      <c r="B2208" s="2" t="s">
        <v>3020</v>
      </c>
      <c r="C2208" s="2" t="s">
        <v>3869</v>
      </c>
      <c r="D2208" s="2" t="s">
        <v>3880</v>
      </c>
      <c r="E2208" s="3">
        <v>45392</v>
      </c>
      <c r="F2208" s="3">
        <v>45512</v>
      </c>
      <c r="G2208" s="2" t="s">
        <v>3884</v>
      </c>
      <c r="H2208" s="2">
        <v>608310</v>
      </c>
      <c r="I2208" s="2">
        <v>308271</v>
      </c>
      <c r="J2208" s="2" t="s">
        <v>3891</v>
      </c>
      <c r="K2208" s="2" t="s">
        <v>3894</v>
      </c>
      <c r="L2208" s="2">
        <v>2023</v>
      </c>
      <c r="M2208" s="2">
        <v>300039</v>
      </c>
      <c r="N2208" s="2">
        <f xml:space="preserve"> (Table1[[#This Row],[Variance (USD)]] / Table1[[#This Row],[Actual Spending (USD)]]) * 100</f>
        <v>97.329622312835141</v>
      </c>
      <c r="O2208" s="5" t="s">
        <v>3897</v>
      </c>
    </row>
    <row r="2209" spans="1:15" x14ac:dyDescent="0.25">
      <c r="A2209" s="4" t="s">
        <v>2222</v>
      </c>
      <c r="B2209" s="2" t="s">
        <v>3621</v>
      </c>
      <c r="C2209" s="2" t="s">
        <v>3869</v>
      </c>
      <c r="D2209" s="2" t="s">
        <v>3883</v>
      </c>
      <c r="E2209" s="3">
        <v>45385</v>
      </c>
      <c r="F2209" s="3">
        <v>45599</v>
      </c>
      <c r="G2209" s="2" t="s">
        <v>3886</v>
      </c>
      <c r="H2209" s="2">
        <v>458883</v>
      </c>
      <c r="I2209" s="2">
        <v>1037567</v>
      </c>
      <c r="J2209" s="2" t="s">
        <v>3888</v>
      </c>
      <c r="K2209" s="2" t="s">
        <v>3894</v>
      </c>
      <c r="L2209" s="2">
        <v>2023</v>
      </c>
      <c r="M2209" s="2">
        <v>-578684</v>
      </c>
      <c r="N2209" s="2">
        <f xml:space="preserve"> (Table1[[#This Row],[Variance (USD)]] / Table1[[#This Row],[Actual Spending (USD)]]) * 100</f>
        <v>-55.77316934713614</v>
      </c>
      <c r="O2209" s="5" t="s">
        <v>3899</v>
      </c>
    </row>
    <row r="2210" spans="1:15" x14ac:dyDescent="0.25">
      <c r="A2210" s="4" t="s">
        <v>2223</v>
      </c>
      <c r="B2210" s="2" t="s">
        <v>3073</v>
      </c>
      <c r="C2210" s="2" t="s">
        <v>3873</v>
      </c>
      <c r="D2210" s="2" t="s">
        <v>3881</v>
      </c>
      <c r="E2210" s="3">
        <v>45358</v>
      </c>
      <c r="F2210" s="3">
        <v>45988</v>
      </c>
      <c r="G2210" s="2" t="s">
        <v>3884</v>
      </c>
      <c r="H2210" s="2">
        <v>592353</v>
      </c>
      <c r="I2210" s="2">
        <v>552471</v>
      </c>
      <c r="J2210" s="2" t="s">
        <v>3892</v>
      </c>
      <c r="K2210" s="2" t="s">
        <v>3894</v>
      </c>
      <c r="L2210" s="2">
        <v>2025</v>
      </c>
      <c r="M2210" s="2">
        <v>39882</v>
      </c>
      <c r="N2210" s="2">
        <f xml:space="preserve"> (Table1[[#This Row],[Variance (USD)]] / Table1[[#This Row],[Actual Spending (USD)]]) * 100</f>
        <v>7.2188404459238589</v>
      </c>
      <c r="O2210" s="5" t="s">
        <v>3897</v>
      </c>
    </row>
    <row r="2211" spans="1:15" x14ac:dyDescent="0.25">
      <c r="A2211" s="4" t="s">
        <v>2224</v>
      </c>
      <c r="B2211" s="2" t="s">
        <v>3650</v>
      </c>
      <c r="C2211" s="2" t="s">
        <v>3871</v>
      </c>
      <c r="D2211" s="2" t="s">
        <v>3878</v>
      </c>
      <c r="E2211" s="3">
        <v>45642</v>
      </c>
      <c r="F2211" s="3">
        <v>46010</v>
      </c>
      <c r="G2211" s="2" t="s">
        <v>3884</v>
      </c>
      <c r="H2211" s="2">
        <v>426526</v>
      </c>
      <c r="I2211" s="2">
        <v>566761</v>
      </c>
      <c r="J2211" s="2" t="s">
        <v>3889</v>
      </c>
      <c r="K2211" s="2" t="s">
        <v>3893</v>
      </c>
      <c r="L2211" s="2">
        <v>2023</v>
      </c>
      <c r="M2211" s="2">
        <v>-140235</v>
      </c>
      <c r="N2211" s="2">
        <f xml:space="preserve"> (Table1[[#This Row],[Variance (USD)]] / Table1[[#This Row],[Actual Spending (USD)]]) * 100</f>
        <v>-24.743233920470885</v>
      </c>
      <c r="O2211" s="5" t="s">
        <v>3897</v>
      </c>
    </row>
    <row r="2212" spans="1:15" x14ac:dyDescent="0.25">
      <c r="A2212" s="4" t="s">
        <v>2225</v>
      </c>
      <c r="B2212" s="2" t="s">
        <v>3119</v>
      </c>
      <c r="C2212" s="2" t="s">
        <v>3868</v>
      </c>
      <c r="D2212" s="2" t="s">
        <v>3876</v>
      </c>
      <c r="E2212" s="3">
        <v>45545</v>
      </c>
      <c r="F2212" s="3">
        <v>45757</v>
      </c>
      <c r="G2212" s="2" t="s">
        <v>3886</v>
      </c>
      <c r="H2212" s="2">
        <v>702433</v>
      </c>
      <c r="I2212" s="2">
        <v>878268</v>
      </c>
      <c r="J2212" s="2" t="s">
        <v>3890</v>
      </c>
      <c r="K2212" s="2" t="s">
        <v>3894</v>
      </c>
      <c r="L2212" s="2">
        <v>2025</v>
      </c>
      <c r="M2212" s="2">
        <v>-175835</v>
      </c>
      <c r="N2212" s="2">
        <f xml:space="preserve"> (Table1[[#This Row],[Variance (USD)]] / Table1[[#This Row],[Actual Spending (USD)]]) * 100</f>
        <v>-20.020654287757267</v>
      </c>
      <c r="O2212" s="5" t="s">
        <v>3899</v>
      </c>
    </row>
    <row r="2213" spans="1:15" x14ac:dyDescent="0.25">
      <c r="A2213" s="4" t="s">
        <v>2226</v>
      </c>
      <c r="B2213" s="2" t="s">
        <v>3795</v>
      </c>
      <c r="C2213" s="2" t="s">
        <v>3872</v>
      </c>
      <c r="D2213" s="2" t="s">
        <v>3881</v>
      </c>
      <c r="E2213" s="3">
        <v>45147</v>
      </c>
      <c r="F2213" s="3">
        <v>45390</v>
      </c>
      <c r="G2213" s="2" t="s">
        <v>3884</v>
      </c>
      <c r="H2213" s="2">
        <v>923623</v>
      </c>
      <c r="I2213" s="2">
        <v>334608</v>
      </c>
      <c r="J2213" s="2" t="s">
        <v>3889</v>
      </c>
      <c r="K2213" s="2" t="s">
        <v>3894</v>
      </c>
      <c r="L2213" s="2">
        <v>2024</v>
      </c>
      <c r="M2213" s="2">
        <v>589015</v>
      </c>
      <c r="N2213" s="2">
        <f xml:space="preserve"> (Table1[[#This Row],[Variance (USD)]] / Table1[[#This Row],[Actual Spending (USD)]]) * 100</f>
        <v>176.0313560942954</v>
      </c>
      <c r="O2213" s="5" t="s">
        <v>3897</v>
      </c>
    </row>
    <row r="2214" spans="1:15" x14ac:dyDescent="0.25">
      <c r="A2214" s="4" t="s">
        <v>2227</v>
      </c>
      <c r="B2214" s="2" t="s">
        <v>3825</v>
      </c>
      <c r="C2214" s="2" t="s">
        <v>3874</v>
      </c>
      <c r="D2214" s="2" t="s">
        <v>3883</v>
      </c>
      <c r="E2214" s="3">
        <v>45305</v>
      </c>
      <c r="F2214" s="3">
        <v>45533</v>
      </c>
      <c r="G2214" s="2" t="s">
        <v>3886</v>
      </c>
      <c r="H2214" s="2">
        <v>977510</v>
      </c>
      <c r="I2214" s="2">
        <v>981712</v>
      </c>
      <c r="J2214" s="2" t="s">
        <v>3892</v>
      </c>
      <c r="K2214" s="2" t="s">
        <v>3894</v>
      </c>
      <c r="L2214" s="2">
        <v>2024</v>
      </c>
      <c r="M2214" s="2">
        <v>-4202</v>
      </c>
      <c r="N2214" s="2">
        <f xml:space="preserve"> (Table1[[#This Row],[Variance (USD)]] / Table1[[#This Row],[Actual Spending (USD)]]) * 100</f>
        <v>-0.42802777189236763</v>
      </c>
      <c r="O2214" s="5" t="s">
        <v>3899</v>
      </c>
    </row>
    <row r="2215" spans="1:15" x14ac:dyDescent="0.25">
      <c r="A2215" s="4" t="s">
        <v>2228</v>
      </c>
      <c r="B2215" s="2" t="s">
        <v>3342</v>
      </c>
      <c r="C2215" s="2" t="s">
        <v>3870</v>
      </c>
      <c r="D2215" s="2" t="s">
        <v>3876</v>
      </c>
      <c r="E2215" s="3">
        <v>45148</v>
      </c>
      <c r="F2215" s="3">
        <v>45449</v>
      </c>
      <c r="G2215" s="2" t="s">
        <v>3885</v>
      </c>
      <c r="H2215" s="2">
        <v>383963</v>
      </c>
      <c r="I2215" s="2">
        <v>389625</v>
      </c>
      <c r="J2215" s="2" t="s">
        <v>3890</v>
      </c>
      <c r="K2215" s="2" t="s">
        <v>3893</v>
      </c>
      <c r="L2215" s="2">
        <v>2024</v>
      </c>
      <c r="M2215" s="2">
        <v>-5662</v>
      </c>
      <c r="N2215" s="2">
        <f xml:space="preserve"> (Table1[[#This Row],[Variance (USD)]] / Table1[[#This Row],[Actual Spending (USD)]]) * 100</f>
        <v>-1.4531921719602181</v>
      </c>
      <c r="O2215" s="5" t="s">
        <v>3898</v>
      </c>
    </row>
    <row r="2216" spans="1:15" x14ac:dyDescent="0.25">
      <c r="A2216" s="4" t="s">
        <v>2229</v>
      </c>
      <c r="B2216" s="2" t="s">
        <v>3604</v>
      </c>
      <c r="C2216" s="2" t="s">
        <v>3875</v>
      </c>
      <c r="D2216" s="2" t="s">
        <v>3880</v>
      </c>
      <c r="E2216" s="3">
        <v>45184</v>
      </c>
      <c r="F2216" s="3">
        <v>45901</v>
      </c>
      <c r="G2216" s="2" t="s">
        <v>3884</v>
      </c>
      <c r="H2216" s="2">
        <v>419302</v>
      </c>
      <c r="I2216" s="2">
        <v>1034608</v>
      </c>
      <c r="J2216" s="2" t="s">
        <v>3888</v>
      </c>
      <c r="K2216" s="2" t="s">
        <v>3896</v>
      </c>
      <c r="L2216" s="2">
        <v>2025</v>
      </c>
      <c r="M2216" s="2">
        <v>-615306</v>
      </c>
      <c r="N2216" s="2">
        <f xml:space="preserve"> (Table1[[#This Row],[Variance (USD)]] / Table1[[#This Row],[Actual Spending (USD)]]) * 100</f>
        <v>-59.472379877209534</v>
      </c>
      <c r="O2216" s="5" t="s">
        <v>3897</v>
      </c>
    </row>
    <row r="2217" spans="1:15" x14ac:dyDescent="0.25">
      <c r="A2217" s="4" t="s">
        <v>2230</v>
      </c>
      <c r="B2217" s="2" t="s">
        <v>3826</v>
      </c>
      <c r="C2217" s="2" t="s">
        <v>3873</v>
      </c>
      <c r="D2217" s="2" t="s">
        <v>3878</v>
      </c>
      <c r="E2217" s="3">
        <v>45639</v>
      </c>
      <c r="F2217" s="3">
        <v>45845</v>
      </c>
      <c r="G2217" s="2" t="s">
        <v>3884</v>
      </c>
      <c r="H2217" s="2">
        <v>488292</v>
      </c>
      <c r="I2217" s="2">
        <v>1022187</v>
      </c>
      <c r="J2217" s="2" t="s">
        <v>3890</v>
      </c>
      <c r="K2217" s="2" t="s">
        <v>3896</v>
      </c>
      <c r="L2217" s="2">
        <v>2023</v>
      </c>
      <c r="M2217" s="2">
        <v>-533895</v>
      </c>
      <c r="N2217" s="2">
        <f xml:space="preserve"> (Table1[[#This Row],[Variance (USD)]] / Table1[[#This Row],[Actual Spending (USD)]]) * 100</f>
        <v>-52.230658382468178</v>
      </c>
      <c r="O2217" s="5" t="s">
        <v>3897</v>
      </c>
    </row>
    <row r="2218" spans="1:15" x14ac:dyDescent="0.25">
      <c r="A2218" s="4" t="s">
        <v>2231</v>
      </c>
      <c r="B2218" s="2" t="s">
        <v>3702</v>
      </c>
      <c r="C2218" s="2" t="s">
        <v>3875</v>
      </c>
      <c r="D2218" s="2" t="s">
        <v>3877</v>
      </c>
      <c r="E2218" s="3">
        <v>45293</v>
      </c>
      <c r="F2218" s="3">
        <v>45942</v>
      </c>
      <c r="G2218" s="2" t="s">
        <v>3885</v>
      </c>
      <c r="H2218" s="2">
        <v>249933</v>
      </c>
      <c r="I2218" s="2">
        <v>242875</v>
      </c>
      <c r="J2218" s="2" t="s">
        <v>3890</v>
      </c>
      <c r="K2218" s="2" t="s">
        <v>3896</v>
      </c>
      <c r="L2218" s="2">
        <v>2024</v>
      </c>
      <c r="M2218" s="2">
        <v>7058</v>
      </c>
      <c r="N2218" s="2">
        <f xml:space="preserve"> (Table1[[#This Row],[Variance (USD)]] / Table1[[#This Row],[Actual Spending (USD)]]) * 100</f>
        <v>2.9060216160576426</v>
      </c>
      <c r="O2218" s="5" t="s">
        <v>3898</v>
      </c>
    </row>
    <row r="2219" spans="1:15" x14ac:dyDescent="0.25">
      <c r="A2219" s="4" t="s">
        <v>2232</v>
      </c>
      <c r="B2219" s="2" t="s">
        <v>3525</v>
      </c>
      <c r="C2219" s="2" t="s">
        <v>3868</v>
      </c>
      <c r="D2219" s="2" t="s">
        <v>3881</v>
      </c>
      <c r="E2219" s="3">
        <v>45275</v>
      </c>
      <c r="F2219" s="3">
        <v>45518</v>
      </c>
      <c r="G2219" s="2" t="s">
        <v>3886</v>
      </c>
      <c r="H2219" s="2">
        <v>801679</v>
      </c>
      <c r="I2219" s="2">
        <v>857946</v>
      </c>
      <c r="J2219" s="2" t="s">
        <v>3888</v>
      </c>
      <c r="K2219" s="2" t="s">
        <v>3894</v>
      </c>
      <c r="L2219" s="2">
        <v>2023</v>
      </c>
      <c r="M2219" s="2">
        <v>-56267</v>
      </c>
      <c r="N2219" s="2">
        <f xml:space="preserve"> (Table1[[#This Row],[Variance (USD)]] / Table1[[#This Row],[Actual Spending (USD)]]) * 100</f>
        <v>-6.5583381704676054</v>
      </c>
      <c r="O2219" s="5" t="s">
        <v>3899</v>
      </c>
    </row>
    <row r="2220" spans="1:15" x14ac:dyDescent="0.25">
      <c r="A2220" s="4" t="s">
        <v>2233</v>
      </c>
      <c r="B2220" s="2" t="s">
        <v>3472</v>
      </c>
      <c r="C2220" s="2" t="s">
        <v>3874</v>
      </c>
      <c r="D2220" s="2" t="s">
        <v>3877</v>
      </c>
      <c r="E2220" s="3">
        <v>45151</v>
      </c>
      <c r="F2220" s="3">
        <v>45714</v>
      </c>
      <c r="G2220" s="2" t="s">
        <v>3884</v>
      </c>
      <c r="H2220" s="2">
        <v>493609</v>
      </c>
      <c r="I2220" s="2">
        <v>1175564</v>
      </c>
      <c r="J2220" s="2" t="s">
        <v>3891</v>
      </c>
      <c r="K2220" s="2" t="s">
        <v>3893</v>
      </c>
      <c r="L2220" s="2">
        <v>2025</v>
      </c>
      <c r="M2220" s="2">
        <v>-681955</v>
      </c>
      <c r="N2220" s="2">
        <f xml:space="preserve"> (Table1[[#This Row],[Variance (USD)]] / Table1[[#This Row],[Actual Spending (USD)]]) * 100</f>
        <v>-58.010878182727609</v>
      </c>
      <c r="O2220" s="5" t="s">
        <v>3897</v>
      </c>
    </row>
    <row r="2221" spans="1:15" x14ac:dyDescent="0.25">
      <c r="A2221" s="4" t="s">
        <v>2234</v>
      </c>
      <c r="B2221" s="2" t="s">
        <v>3314</v>
      </c>
      <c r="C2221" s="2" t="s">
        <v>3868</v>
      </c>
      <c r="D2221" s="2" t="s">
        <v>3878</v>
      </c>
      <c r="E2221" s="3">
        <v>45640</v>
      </c>
      <c r="F2221" s="3">
        <v>45363</v>
      </c>
      <c r="G2221" s="2" t="s">
        <v>3884</v>
      </c>
      <c r="H2221" s="2">
        <v>839575</v>
      </c>
      <c r="I2221" s="2">
        <v>1176691</v>
      </c>
      <c r="J2221" s="2" t="s">
        <v>3891</v>
      </c>
      <c r="K2221" s="2" t="s">
        <v>3896</v>
      </c>
      <c r="L2221" s="2">
        <v>2024</v>
      </c>
      <c r="M2221" s="2">
        <v>-337116</v>
      </c>
      <c r="N2221" s="2">
        <f xml:space="preserve"> (Table1[[#This Row],[Variance (USD)]] / Table1[[#This Row],[Actual Spending (USD)]]) * 100</f>
        <v>-28.649492517576832</v>
      </c>
      <c r="O2221" s="5" t="s">
        <v>3897</v>
      </c>
    </row>
    <row r="2222" spans="1:15" x14ac:dyDescent="0.25">
      <c r="A2222" s="4" t="s">
        <v>2235</v>
      </c>
      <c r="B2222" s="2" t="s">
        <v>3772</v>
      </c>
      <c r="C2222" s="2" t="s">
        <v>3869</v>
      </c>
      <c r="D2222" s="2" t="s">
        <v>3876</v>
      </c>
      <c r="E2222" s="3">
        <v>45162</v>
      </c>
      <c r="F2222" s="3">
        <v>45534</v>
      </c>
      <c r="G2222" s="2" t="s">
        <v>3886</v>
      </c>
      <c r="H2222" s="2">
        <v>806701</v>
      </c>
      <c r="I2222" s="2">
        <v>61516</v>
      </c>
      <c r="J2222" s="2" t="s">
        <v>3890</v>
      </c>
      <c r="K2222" s="2" t="s">
        <v>3896</v>
      </c>
      <c r="L2222" s="2">
        <v>2023</v>
      </c>
      <c r="M2222" s="2">
        <v>745185</v>
      </c>
      <c r="N2222" s="2">
        <f xml:space="preserve"> (Table1[[#This Row],[Variance (USD)]] / Table1[[#This Row],[Actual Spending (USD)]]) * 100</f>
        <v>1211.3677742375967</v>
      </c>
      <c r="O2222" s="5" t="s">
        <v>3899</v>
      </c>
    </row>
    <row r="2223" spans="1:15" x14ac:dyDescent="0.25">
      <c r="A2223" s="4" t="s">
        <v>2236</v>
      </c>
      <c r="B2223" s="2" t="s">
        <v>3649</v>
      </c>
      <c r="C2223" s="2" t="s">
        <v>3870</v>
      </c>
      <c r="D2223" s="2" t="s">
        <v>3880</v>
      </c>
      <c r="E2223" s="3">
        <v>45109</v>
      </c>
      <c r="F2223" s="3">
        <v>45821</v>
      </c>
      <c r="G2223" s="2" t="s">
        <v>3886</v>
      </c>
      <c r="H2223" s="2">
        <v>369649</v>
      </c>
      <c r="I2223" s="2">
        <v>369126</v>
      </c>
      <c r="J2223" s="2" t="s">
        <v>3890</v>
      </c>
      <c r="K2223" s="2" t="s">
        <v>3896</v>
      </c>
      <c r="L2223" s="2">
        <v>2023</v>
      </c>
      <c r="M2223" s="2">
        <v>523</v>
      </c>
      <c r="N2223" s="2">
        <f xml:space="preserve"> (Table1[[#This Row],[Variance (USD)]] / Table1[[#This Row],[Actual Spending (USD)]]) * 100</f>
        <v>0.14168603674626007</v>
      </c>
      <c r="O2223" s="5" t="s">
        <v>3899</v>
      </c>
    </row>
    <row r="2224" spans="1:15" x14ac:dyDescent="0.25">
      <c r="A2224" s="4" t="s">
        <v>2237</v>
      </c>
      <c r="B2224" s="2" t="s">
        <v>3142</v>
      </c>
      <c r="C2224" s="2" t="s">
        <v>3868</v>
      </c>
      <c r="D2224" s="2" t="s">
        <v>3883</v>
      </c>
      <c r="E2224" s="3">
        <v>45638</v>
      </c>
      <c r="F2224" s="3">
        <v>45880</v>
      </c>
      <c r="G2224" s="2" t="s">
        <v>3884</v>
      </c>
      <c r="H2224" s="2">
        <v>455633</v>
      </c>
      <c r="I2224" s="2">
        <v>75099</v>
      </c>
      <c r="J2224" s="2" t="s">
        <v>3889</v>
      </c>
      <c r="K2224" s="2" t="s">
        <v>3895</v>
      </c>
      <c r="L2224" s="2">
        <v>2024</v>
      </c>
      <c r="M2224" s="2">
        <v>380534</v>
      </c>
      <c r="N2224" s="2">
        <f xml:space="preserve"> (Table1[[#This Row],[Variance (USD)]] / Table1[[#This Row],[Actual Spending (USD)]]) * 100</f>
        <v>506.70980971783911</v>
      </c>
      <c r="O2224" s="5" t="s">
        <v>3897</v>
      </c>
    </row>
    <row r="2225" spans="1:15" x14ac:dyDescent="0.25">
      <c r="A2225" s="4" t="s">
        <v>2238</v>
      </c>
      <c r="B2225" s="2" t="s">
        <v>3277</v>
      </c>
      <c r="C2225" s="2" t="s">
        <v>3875</v>
      </c>
      <c r="D2225" s="2" t="s">
        <v>3878</v>
      </c>
      <c r="E2225" s="3">
        <v>45370</v>
      </c>
      <c r="F2225" s="3">
        <v>45336</v>
      </c>
      <c r="G2225" s="2" t="s">
        <v>3884</v>
      </c>
      <c r="H2225" s="2">
        <v>212372</v>
      </c>
      <c r="I2225" s="2">
        <v>906492</v>
      </c>
      <c r="J2225" s="2" t="s">
        <v>3891</v>
      </c>
      <c r="K2225" s="2" t="s">
        <v>3893</v>
      </c>
      <c r="L2225" s="2">
        <v>2023</v>
      </c>
      <c r="M2225" s="2">
        <v>-694120</v>
      </c>
      <c r="N2225" s="2">
        <f xml:space="preserve"> (Table1[[#This Row],[Variance (USD)]] / Table1[[#This Row],[Actual Spending (USD)]]) * 100</f>
        <v>-76.572104331863926</v>
      </c>
      <c r="O2225" s="5" t="s">
        <v>3897</v>
      </c>
    </row>
    <row r="2226" spans="1:15" x14ac:dyDescent="0.25">
      <c r="A2226" s="4" t="s">
        <v>2239</v>
      </c>
      <c r="B2226" s="2" t="s">
        <v>3628</v>
      </c>
      <c r="C2226" s="2" t="s">
        <v>3871</v>
      </c>
      <c r="D2226" s="2" t="s">
        <v>3879</v>
      </c>
      <c r="E2226" s="3">
        <v>45549</v>
      </c>
      <c r="F2226" s="3">
        <v>45763</v>
      </c>
      <c r="G2226" s="2" t="s">
        <v>3885</v>
      </c>
      <c r="H2226" s="2">
        <v>341040</v>
      </c>
      <c r="I2226" s="2">
        <v>791733</v>
      </c>
      <c r="J2226" s="2" t="s">
        <v>3888</v>
      </c>
      <c r="K2226" s="2" t="s">
        <v>3895</v>
      </c>
      <c r="L2226" s="2">
        <v>2025</v>
      </c>
      <c r="M2226" s="2">
        <v>-450693</v>
      </c>
      <c r="N2226" s="2">
        <f xml:space="preserve"> (Table1[[#This Row],[Variance (USD)]] / Table1[[#This Row],[Actual Spending (USD)]]) * 100</f>
        <v>-56.924872400165206</v>
      </c>
      <c r="O2226" s="5" t="s">
        <v>3898</v>
      </c>
    </row>
    <row r="2227" spans="1:15" x14ac:dyDescent="0.25">
      <c r="A2227" s="4" t="s">
        <v>2240</v>
      </c>
      <c r="B2227" s="2" t="s">
        <v>3182</v>
      </c>
      <c r="C2227" s="2" t="s">
        <v>3871</v>
      </c>
      <c r="D2227" s="2" t="s">
        <v>3876</v>
      </c>
      <c r="E2227" s="3">
        <v>44932</v>
      </c>
      <c r="F2227" s="3">
        <v>45662</v>
      </c>
      <c r="G2227" s="2" t="s">
        <v>3886</v>
      </c>
      <c r="H2227" s="2">
        <v>821829</v>
      </c>
      <c r="I2227" s="2">
        <v>665361</v>
      </c>
      <c r="J2227" s="2" t="s">
        <v>3890</v>
      </c>
      <c r="K2227" s="2" t="s">
        <v>3894</v>
      </c>
      <c r="L2227" s="2">
        <v>2024</v>
      </c>
      <c r="M2227" s="2">
        <v>156468</v>
      </c>
      <c r="N2227" s="2">
        <f xml:space="preserve"> (Table1[[#This Row],[Variance (USD)]] / Table1[[#This Row],[Actual Spending (USD)]]) * 100</f>
        <v>23.516256588528634</v>
      </c>
      <c r="O2227" s="5" t="s">
        <v>3899</v>
      </c>
    </row>
    <row r="2228" spans="1:15" x14ac:dyDescent="0.25">
      <c r="A2228" s="4" t="s">
        <v>2241</v>
      </c>
      <c r="B2228" s="2" t="s">
        <v>3029</v>
      </c>
      <c r="C2228" s="2" t="s">
        <v>3869</v>
      </c>
      <c r="D2228" s="2" t="s">
        <v>3877</v>
      </c>
      <c r="E2228" s="3">
        <v>45162</v>
      </c>
      <c r="F2228" s="3">
        <v>45943</v>
      </c>
      <c r="G2228" s="2" t="s">
        <v>3887</v>
      </c>
      <c r="H2228" s="2">
        <v>808339</v>
      </c>
      <c r="I2228" s="2">
        <v>867620</v>
      </c>
      <c r="J2228" s="2" t="s">
        <v>3890</v>
      </c>
      <c r="K2228" s="2" t="s">
        <v>3896</v>
      </c>
      <c r="L2228" s="2">
        <v>2024</v>
      </c>
      <c r="M2228" s="2">
        <v>-59281</v>
      </c>
      <c r="N2228" s="2">
        <f xml:space="preserve"> (Table1[[#This Row],[Variance (USD)]] / Table1[[#This Row],[Actual Spending (USD)]]) * 100</f>
        <v>-6.8325995251377334</v>
      </c>
      <c r="O2228" s="5" t="s">
        <v>3900</v>
      </c>
    </row>
    <row r="2229" spans="1:15" x14ac:dyDescent="0.25">
      <c r="A2229" s="4" t="s">
        <v>2242</v>
      </c>
      <c r="B2229" s="2" t="s">
        <v>3827</v>
      </c>
      <c r="C2229" s="2" t="s">
        <v>3872</v>
      </c>
      <c r="D2229" s="2" t="s">
        <v>3881</v>
      </c>
      <c r="E2229" s="3">
        <v>45053</v>
      </c>
      <c r="F2229" s="3">
        <v>45980</v>
      </c>
      <c r="G2229" s="2" t="s">
        <v>3886</v>
      </c>
      <c r="H2229" s="2">
        <v>362773</v>
      </c>
      <c r="I2229" s="2">
        <v>559848</v>
      </c>
      <c r="J2229" s="2" t="s">
        <v>3889</v>
      </c>
      <c r="K2229" s="2" t="s">
        <v>3894</v>
      </c>
      <c r="L2229" s="2">
        <v>2024</v>
      </c>
      <c r="M2229" s="2">
        <v>-197075</v>
      </c>
      <c r="N2229" s="2">
        <f xml:space="preserve"> (Table1[[#This Row],[Variance (USD)]] / Table1[[#This Row],[Actual Spending (USD)]]) * 100</f>
        <v>-35.201518983724156</v>
      </c>
      <c r="O2229" s="5" t="s">
        <v>3899</v>
      </c>
    </row>
    <row r="2230" spans="1:15" x14ac:dyDescent="0.25">
      <c r="A2230" s="4" t="s">
        <v>2243</v>
      </c>
      <c r="B2230" s="2" t="s">
        <v>3253</v>
      </c>
      <c r="C2230" s="2" t="s">
        <v>3875</v>
      </c>
      <c r="D2230" s="2" t="s">
        <v>3878</v>
      </c>
      <c r="E2230" s="3">
        <v>45030</v>
      </c>
      <c r="F2230" s="3">
        <v>45383</v>
      </c>
      <c r="G2230" s="2" t="s">
        <v>3885</v>
      </c>
      <c r="H2230" s="2">
        <v>470822</v>
      </c>
      <c r="I2230" s="2">
        <v>534373</v>
      </c>
      <c r="J2230" s="2" t="s">
        <v>3889</v>
      </c>
      <c r="K2230" s="2" t="s">
        <v>3893</v>
      </c>
      <c r="L2230" s="2">
        <v>2024</v>
      </c>
      <c r="M2230" s="2">
        <v>-63551</v>
      </c>
      <c r="N2230" s="2">
        <f xml:space="preserve"> (Table1[[#This Row],[Variance (USD)]] / Table1[[#This Row],[Actual Spending (USD)]]) * 100</f>
        <v>-11.892629305747109</v>
      </c>
      <c r="O2230" s="5" t="s">
        <v>3898</v>
      </c>
    </row>
    <row r="2231" spans="1:15" x14ac:dyDescent="0.25">
      <c r="A2231" s="4" t="s">
        <v>2244</v>
      </c>
      <c r="B2231" s="2" t="s">
        <v>3510</v>
      </c>
      <c r="C2231" s="2" t="s">
        <v>3875</v>
      </c>
      <c r="D2231" s="2" t="s">
        <v>3877</v>
      </c>
      <c r="E2231" s="3">
        <v>45406</v>
      </c>
      <c r="F2231" s="3">
        <v>45313</v>
      </c>
      <c r="G2231" s="2" t="s">
        <v>3884</v>
      </c>
      <c r="H2231" s="2">
        <v>614204</v>
      </c>
      <c r="I2231" s="2">
        <v>138763</v>
      </c>
      <c r="J2231" s="2" t="s">
        <v>3889</v>
      </c>
      <c r="K2231" s="2" t="s">
        <v>3894</v>
      </c>
      <c r="L2231" s="2">
        <v>2025</v>
      </c>
      <c r="M2231" s="2">
        <v>475441</v>
      </c>
      <c r="N2231" s="2">
        <f xml:space="preserve"> (Table1[[#This Row],[Variance (USD)]] / Table1[[#This Row],[Actual Spending (USD)]]) * 100</f>
        <v>342.62807808998076</v>
      </c>
      <c r="O2231" s="5" t="s">
        <v>3897</v>
      </c>
    </row>
    <row r="2232" spans="1:15" x14ac:dyDescent="0.25">
      <c r="A2232" s="4" t="s">
        <v>2245</v>
      </c>
      <c r="B2232" s="2" t="s">
        <v>3793</v>
      </c>
      <c r="C2232" s="2" t="s">
        <v>3868</v>
      </c>
      <c r="D2232" s="2" t="s">
        <v>3876</v>
      </c>
      <c r="E2232" s="3">
        <v>45081</v>
      </c>
      <c r="F2232" s="3">
        <v>45463</v>
      </c>
      <c r="G2232" s="2" t="s">
        <v>3886</v>
      </c>
      <c r="H2232" s="2">
        <v>111330</v>
      </c>
      <c r="I2232" s="2">
        <v>500409</v>
      </c>
      <c r="J2232" s="2" t="s">
        <v>3892</v>
      </c>
      <c r="K2232" s="2" t="s">
        <v>3894</v>
      </c>
      <c r="L2232" s="2">
        <v>2025</v>
      </c>
      <c r="M2232" s="2">
        <v>-389079</v>
      </c>
      <c r="N2232" s="2">
        <f xml:space="preserve"> (Table1[[#This Row],[Variance (USD)]] / Table1[[#This Row],[Actual Spending (USD)]]) * 100</f>
        <v>-77.752198701462206</v>
      </c>
      <c r="O2232" s="5" t="s">
        <v>3899</v>
      </c>
    </row>
    <row r="2233" spans="1:15" x14ac:dyDescent="0.25">
      <c r="A2233" s="4" t="s">
        <v>2246</v>
      </c>
      <c r="B2233" s="2" t="s">
        <v>3338</v>
      </c>
      <c r="C2233" s="2" t="s">
        <v>3870</v>
      </c>
      <c r="D2233" s="2" t="s">
        <v>3877</v>
      </c>
      <c r="E2233" s="3">
        <v>45183</v>
      </c>
      <c r="F2233" s="3">
        <v>45895</v>
      </c>
      <c r="G2233" s="2" t="s">
        <v>3884</v>
      </c>
      <c r="H2233" s="2">
        <v>843983</v>
      </c>
      <c r="I2233" s="2">
        <v>245448</v>
      </c>
      <c r="J2233" s="2" t="s">
        <v>3888</v>
      </c>
      <c r="K2233" s="2" t="s">
        <v>3896</v>
      </c>
      <c r="L2233" s="2">
        <v>2023</v>
      </c>
      <c r="M2233" s="2">
        <v>598535</v>
      </c>
      <c r="N2233" s="2">
        <f xml:space="preserve"> (Table1[[#This Row],[Variance (USD)]] / Table1[[#This Row],[Actual Spending (USD)]]) * 100</f>
        <v>243.8540953684691</v>
      </c>
      <c r="O2233" s="5" t="s">
        <v>3897</v>
      </c>
    </row>
    <row r="2234" spans="1:15" x14ac:dyDescent="0.25">
      <c r="A2234" s="4" t="s">
        <v>2247</v>
      </c>
      <c r="B2234" s="2" t="s">
        <v>3226</v>
      </c>
      <c r="C2234" s="2" t="s">
        <v>3875</v>
      </c>
      <c r="D2234" s="2" t="s">
        <v>3878</v>
      </c>
      <c r="E2234" s="3">
        <v>45161</v>
      </c>
      <c r="F2234" s="3">
        <v>45483</v>
      </c>
      <c r="G2234" s="2" t="s">
        <v>3886</v>
      </c>
      <c r="H2234" s="2">
        <v>413116</v>
      </c>
      <c r="I2234" s="2">
        <v>1120006</v>
      </c>
      <c r="J2234" s="2" t="s">
        <v>3892</v>
      </c>
      <c r="K2234" s="2" t="s">
        <v>3893</v>
      </c>
      <c r="L2234" s="2">
        <v>2025</v>
      </c>
      <c r="M2234" s="2">
        <v>-706890</v>
      </c>
      <c r="N2234" s="2">
        <f xml:space="preserve"> (Table1[[#This Row],[Variance (USD)]] / Table1[[#This Row],[Actual Spending (USD)]]) * 100</f>
        <v>-63.114840456211837</v>
      </c>
      <c r="O2234" s="5" t="s">
        <v>3899</v>
      </c>
    </row>
    <row r="2235" spans="1:15" x14ac:dyDescent="0.25">
      <c r="A2235" s="4" t="s">
        <v>2248</v>
      </c>
      <c r="B2235" s="2" t="s">
        <v>3801</v>
      </c>
      <c r="C2235" s="2" t="s">
        <v>3873</v>
      </c>
      <c r="D2235" s="2" t="s">
        <v>3876</v>
      </c>
      <c r="E2235" s="3">
        <v>45426</v>
      </c>
      <c r="F2235" s="3">
        <v>45368</v>
      </c>
      <c r="G2235" s="2" t="s">
        <v>3884</v>
      </c>
      <c r="H2235" s="2">
        <v>431767</v>
      </c>
      <c r="I2235" s="2">
        <v>237932</v>
      </c>
      <c r="J2235" s="2" t="s">
        <v>3890</v>
      </c>
      <c r="K2235" s="2" t="s">
        <v>3894</v>
      </c>
      <c r="L2235" s="2">
        <v>2023</v>
      </c>
      <c r="M2235" s="2">
        <v>193835</v>
      </c>
      <c r="N2235" s="2">
        <f xml:space="preserve"> (Table1[[#This Row],[Variance (USD)]] / Table1[[#This Row],[Actual Spending (USD)]]) * 100</f>
        <v>81.466553469058383</v>
      </c>
      <c r="O2235" s="5" t="s">
        <v>3897</v>
      </c>
    </row>
    <row r="2236" spans="1:15" x14ac:dyDescent="0.25">
      <c r="A2236" s="4" t="s">
        <v>2249</v>
      </c>
      <c r="B2236" s="2" t="s">
        <v>3776</v>
      </c>
      <c r="C2236" s="2" t="s">
        <v>3872</v>
      </c>
      <c r="D2236" s="2" t="s">
        <v>3879</v>
      </c>
      <c r="E2236" s="3">
        <v>45215</v>
      </c>
      <c r="F2236" s="3">
        <v>45572</v>
      </c>
      <c r="G2236" s="2" t="s">
        <v>3884</v>
      </c>
      <c r="H2236" s="2">
        <v>761782</v>
      </c>
      <c r="I2236" s="2">
        <v>159189</v>
      </c>
      <c r="J2236" s="2" t="s">
        <v>3889</v>
      </c>
      <c r="K2236" s="2" t="s">
        <v>3895</v>
      </c>
      <c r="L2236" s="2">
        <v>2023</v>
      </c>
      <c r="M2236" s="2">
        <v>602593</v>
      </c>
      <c r="N2236" s="2">
        <f xml:space="preserve"> (Table1[[#This Row],[Variance (USD)]] / Table1[[#This Row],[Actual Spending (USD)]]) * 100</f>
        <v>378.53934631161701</v>
      </c>
      <c r="O2236" s="5" t="s">
        <v>3897</v>
      </c>
    </row>
    <row r="2237" spans="1:15" x14ac:dyDescent="0.25">
      <c r="A2237" s="4" t="s">
        <v>2250</v>
      </c>
      <c r="B2237" s="2" t="s">
        <v>3765</v>
      </c>
      <c r="C2237" s="2" t="s">
        <v>3868</v>
      </c>
      <c r="D2237" s="2" t="s">
        <v>3878</v>
      </c>
      <c r="E2237" s="3">
        <v>45436</v>
      </c>
      <c r="F2237" s="3">
        <v>45655</v>
      </c>
      <c r="G2237" s="2" t="s">
        <v>3885</v>
      </c>
      <c r="H2237" s="2">
        <v>559068</v>
      </c>
      <c r="I2237" s="2">
        <v>1030598</v>
      </c>
      <c r="J2237" s="2" t="s">
        <v>3889</v>
      </c>
      <c r="K2237" s="2" t="s">
        <v>3896</v>
      </c>
      <c r="L2237" s="2">
        <v>2024</v>
      </c>
      <c r="M2237" s="2">
        <v>-471530</v>
      </c>
      <c r="N2237" s="2">
        <f xml:space="preserve"> (Table1[[#This Row],[Variance (USD)]] / Table1[[#This Row],[Actual Spending (USD)]]) * 100</f>
        <v>-45.753048230250783</v>
      </c>
      <c r="O2237" s="5" t="s">
        <v>3898</v>
      </c>
    </row>
    <row r="2238" spans="1:15" x14ac:dyDescent="0.25">
      <c r="A2238" s="4" t="s">
        <v>2251</v>
      </c>
      <c r="B2238" s="2" t="s">
        <v>3198</v>
      </c>
      <c r="C2238" s="2" t="s">
        <v>3873</v>
      </c>
      <c r="D2238" s="2" t="s">
        <v>3883</v>
      </c>
      <c r="E2238" s="3">
        <v>45478</v>
      </c>
      <c r="F2238" s="3">
        <v>45470</v>
      </c>
      <c r="G2238" s="2" t="s">
        <v>3885</v>
      </c>
      <c r="H2238" s="2">
        <v>425360</v>
      </c>
      <c r="I2238" s="2">
        <v>1062302</v>
      </c>
      <c r="J2238" s="2" t="s">
        <v>3889</v>
      </c>
      <c r="K2238" s="2" t="s">
        <v>3895</v>
      </c>
      <c r="L2238" s="2">
        <v>2023</v>
      </c>
      <c r="M2238" s="2">
        <v>-636942</v>
      </c>
      <c r="N2238" s="2">
        <f xml:space="preserve"> (Table1[[#This Row],[Variance (USD)]] / Table1[[#This Row],[Actual Spending (USD)]]) * 100</f>
        <v>-59.958655824803117</v>
      </c>
      <c r="O2238" s="5" t="s">
        <v>3898</v>
      </c>
    </row>
    <row r="2239" spans="1:15" x14ac:dyDescent="0.25">
      <c r="A2239" s="4" t="s">
        <v>2252</v>
      </c>
      <c r="B2239" s="2" t="s">
        <v>3084</v>
      </c>
      <c r="C2239" s="2" t="s">
        <v>3869</v>
      </c>
      <c r="D2239" s="2" t="s">
        <v>3882</v>
      </c>
      <c r="E2239" s="3">
        <v>45635</v>
      </c>
      <c r="F2239" s="3">
        <v>45529</v>
      </c>
      <c r="G2239" s="2" t="s">
        <v>3884</v>
      </c>
      <c r="H2239" s="2">
        <v>904214</v>
      </c>
      <c r="I2239" s="2">
        <v>336658</v>
      </c>
      <c r="J2239" s="2" t="s">
        <v>3891</v>
      </c>
      <c r="K2239" s="2" t="s">
        <v>3896</v>
      </c>
      <c r="L2239" s="2">
        <v>2024</v>
      </c>
      <c r="M2239" s="2">
        <v>567556</v>
      </c>
      <c r="N2239" s="2">
        <f xml:space="preserve"> (Table1[[#This Row],[Variance (USD)]] / Table1[[#This Row],[Actual Spending (USD)]]) * 100</f>
        <v>168.58532991938407</v>
      </c>
      <c r="O2239" s="5" t="s">
        <v>3897</v>
      </c>
    </row>
    <row r="2240" spans="1:15" x14ac:dyDescent="0.25">
      <c r="A2240" s="4" t="s">
        <v>2253</v>
      </c>
      <c r="B2240" s="2" t="s">
        <v>3269</v>
      </c>
      <c r="C2240" s="2" t="s">
        <v>3871</v>
      </c>
      <c r="D2240" s="2" t="s">
        <v>3880</v>
      </c>
      <c r="E2240" s="3">
        <v>45495</v>
      </c>
      <c r="F2240" s="3">
        <v>45426</v>
      </c>
      <c r="G2240" s="2" t="s">
        <v>3886</v>
      </c>
      <c r="H2240" s="2">
        <v>377535</v>
      </c>
      <c r="I2240" s="2">
        <v>241980</v>
      </c>
      <c r="J2240" s="2" t="s">
        <v>3888</v>
      </c>
      <c r="K2240" s="2" t="s">
        <v>3894</v>
      </c>
      <c r="L2240" s="2">
        <v>2023</v>
      </c>
      <c r="M2240" s="2">
        <v>135555</v>
      </c>
      <c r="N2240" s="2">
        <f xml:space="preserve"> (Table1[[#This Row],[Variance (USD)]] / Table1[[#This Row],[Actual Spending (USD)]]) * 100</f>
        <v>56.019092486982395</v>
      </c>
      <c r="O2240" s="5" t="s">
        <v>3899</v>
      </c>
    </row>
    <row r="2241" spans="1:15" x14ac:dyDescent="0.25">
      <c r="A2241" s="4" t="s">
        <v>2254</v>
      </c>
      <c r="B2241" s="2" t="s">
        <v>3299</v>
      </c>
      <c r="C2241" s="2" t="s">
        <v>3869</v>
      </c>
      <c r="D2241" s="2" t="s">
        <v>3878</v>
      </c>
      <c r="E2241" s="3">
        <v>45224</v>
      </c>
      <c r="F2241" s="3">
        <v>45571</v>
      </c>
      <c r="G2241" s="2" t="s">
        <v>3884</v>
      </c>
      <c r="H2241" s="2">
        <v>417101</v>
      </c>
      <c r="I2241" s="2">
        <v>960135</v>
      </c>
      <c r="J2241" s="2" t="s">
        <v>3892</v>
      </c>
      <c r="K2241" s="2" t="s">
        <v>3896</v>
      </c>
      <c r="L2241" s="2">
        <v>2025</v>
      </c>
      <c r="M2241" s="2">
        <v>-543034</v>
      </c>
      <c r="N2241" s="2">
        <f xml:space="preserve"> (Table1[[#This Row],[Variance (USD)]] / Table1[[#This Row],[Actual Spending (USD)]]) * 100</f>
        <v>-56.558088185515572</v>
      </c>
      <c r="O2241" s="5" t="s">
        <v>3897</v>
      </c>
    </row>
    <row r="2242" spans="1:15" x14ac:dyDescent="0.25">
      <c r="A2242" s="4" t="s">
        <v>2255</v>
      </c>
      <c r="B2242" s="2" t="s">
        <v>3531</v>
      </c>
      <c r="C2242" s="2" t="s">
        <v>3871</v>
      </c>
      <c r="D2242" s="2" t="s">
        <v>3876</v>
      </c>
      <c r="E2242" s="3">
        <v>45536</v>
      </c>
      <c r="F2242" s="3">
        <v>45310</v>
      </c>
      <c r="G2242" s="2" t="s">
        <v>3884</v>
      </c>
      <c r="H2242" s="2">
        <v>697834</v>
      </c>
      <c r="I2242" s="2">
        <v>100408</v>
      </c>
      <c r="J2242" s="2" t="s">
        <v>3888</v>
      </c>
      <c r="K2242" s="2" t="s">
        <v>3894</v>
      </c>
      <c r="L2242" s="2">
        <v>2024</v>
      </c>
      <c r="M2242" s="2">
        <v>597426</v>
      </c>
      <c r="N2242" s="2">
        <f xml:space="preserve"> (Table1[[#This Row],[Variance (USD)]] / Table1[[#This Row],[Actual Spending (USD)]]) * 100</f>
        <v>594.99840650147405</v>
      </c>
      <c r="O2242" s="5" t="s">
        <v>3897</v>
      </c>
    </row>
    <row r="2243" spans="1:15" x14ac:dyDescent="0.25">
      <c r="A2243" s="4" t="s">
        <v>2256</v>
      </c>
      <c r="B2243" s="2" t="s">
        <v>3078</v>
      </c>
      <c r="C2243" s="2" t="s">
        <v>3869</v>
      </c>
      <c r="D2243" s="2" t="s">
        <v>3881</v>
      </c>
      <c r="E2243" s="3">
        <v>45063</v>
      </c>
      <c r="F2243" s="3">
        <v>45886</v>
      </c>
      <c r="G2243" s="2" t="s">
        <v>3885</v>
      </c>
      <c r="H2243" s="2">
        <v>961438</v>
      </c>
      <c r="I2243" s="2">
        <v>859773</v>
      </c>
      <c r="J2243" s="2" t="s">
        <v>3889</v>
      </c>
      <c r="K2243" s="2" t="s">
        <v>3895</v>
      </c>
      <c r="L2243" s="2">
        <v>2023</v>
      </c>
      <c r="M2243" s="2">
        <v>101665</v>
      </c>
      <c r="N2243" s="2">
        <f xml:space="preserve"> (Table1[[#This Row],[Variance (USD)]] / Table1[[#This Row],[Actual Spending (USD)]]) * 100</f>
        <v>11.824632780978234</v>
      </c>
      <c r="O2243" s="5" t="s">
        <v>3898</v>
      </c>
    </row>
    <row r="2244" spans="1:15" x14ac:dyDescent="0.25">
      <c r="A2244" s="4" t="s">
        <v>2257</v>
      </c>
      <c r="B2244" s="2" t="s">
        <v>3685</v>
      </c>
      <c r="C2244" s="2" t="s">
        <v>3875</v>
      </c>
      <c r="D2244" s="2" t="s">
        <v>3880</v>
      </c>
      <c r="E2244" s="3">
        <v>45302</v>
      </c>
      <c r="F2244" s="3">
        <v>45662</v>
      </c>
      <c r="G2244" s="2" t="s">
        <v>3884</v>
      </c>
      <c r="H2244" s="2">
        <v>637699</v>
      </c>
      <c r="I2244" s="2">
        <v>174763</v>
      </c>
      <c r="J2244" s="2" t="s">
        <v>3890</v>
      </c>
      <c r="K2244" s="2" t="s">
        <v>3894</v>
      </c>
      <c r="L2244" s="2">
        <v>2025</v>
      </c>
      <c r="M2244" s="2">
        <v>462936</v>
      </c>
      <c r="N2244" s="2">
        <f xml:space="preserve"> (Table1[[#This Row],[Variance (USD)]] / Table1[[#This Row],[Actual Spending (USD)]]) * 100</f>
        <v>264.8935987594628</v>
      </c>
      <c r="O2244" s="5" t="s">
        <v>3897</v>
      </c>
    </row>
    <row r="2245" spans="1:15" x14ac:dyDescent="0.25">
      <c r="A2245" s="4" t="s">
        <v>2258</v>
      </c>
      <c r="B2245" s="2" t="s">
        <v>3094</v>
      </c>
      <c r="C2245" s="2" t="s">
        <v>3873</v>
      </c>
      <c r="D2245" s="2" t="s">
        <v>3878</v>
      </c>
      <c r="E2245" s="3">
        <v>45013</v>
      </c>
      <c r="F2245" s="3">
        <v>45403</v>
      </c>
      <c r="G2245" s="2" t="s">
        <v>3885</v>
      </c>
      <c r="H2245" s="2">
        <v>814797</v>
      </c>
      <c r="I2245" s="2">
        <v>266192</v>
      </c>
      <c r="J2245" s="2" t="s">
        <v>3891</v>
      </c>
      <c r="K2245" s="2" t="s">
        <v>3896</v>
      </c>
      <c r="L2245" s="2">
        <v>2025</v>
      </c>
      <c r="M2245" s="2">
        <v>548605</v>
      </c>
      <c r="N2245" s="2">
        <f xml:space="preserve"> (Table1[[#This Row],[Variance (USD)]] / Table1[[#This Row],[Actual Spending (USD)]]) * 100</f>
        <v>206.09372182484825</v>
      </c>
      <c r="O2245" s="5" t="s">
        <v>3898</v>
      </c>
    </row>
    <row r="2246" spans="1:15" x14ac:dyDescent="0.25">
      <c r="A2246" s="4" t="s">
        <v>2259</v>
      </c>
      <c r="B2246" s="2" t="s">
        <v>3209</v>
      </c>
      <c r="C2246" s="2" t="s">
        <v>3871</v>
      </c>
      <c r="D2246" s="2" t="s">
        <v>3879</v>
      </c>
      <c r="E2246" s="3">
        <v>45345</v>
      </c>
      <c r="F2246" s="3">
        <v>45967</v>
      </c>
      <c r="G2246" s="2" t="s">
        <v>3884</v>
      </c>
      <c r="H2246" s="2">
        <v>123185</v>
      </c>
      <c r="I2246" s="2">
        <v>388121</v>
      </c>
      <c r="J2246" s="2" t="s">
        <v>3888</v>
      </c>
      <c r="K2246" s="2" t="s">
        <v>3896</v>
      </c>
      <c r="L2246" s="2">
        <v>2024</v>
      </c>
      <c r="M2246" s="2">
        <v>-264936</v>
      </c>
      <c r="N2246" s="2">
        <f xml:space="preserve"> (Table1[[#This Row],[Variance (USD)]] / Table1[[#This Row],[Actual Spending (USD)]]) * 100</f>
        <v>-68.261186588718473</v>
      </c>
      <c r="O2246" s="5" t="s">
        <v>3897</v>
      </c>
    </row>
    <row r="2247" spans="1:15" x14ac:dyDescent="0.25">
      <c r="A2247" s="4" t="s">
        <v>2260</v>
      </c>
      <c r="B2247" s="2" t="s">
        <v>3314</v>
      </c>
      <c r="C2247" s="2" t="s">
        <v>3868</v>
      </c>
      <c r="D2247" s="2" t="s">
        <v>3881</v>
      </c>
      <c r="E2247" s="3">
        <v>45125</v>
      </c>
      <c r="F2247" s="3">
        <v>45971</v>
      </c>
      <c r="G2247" s="2" t="s">
        <v>3886</v>
      </c>
      <c r="H2247" s="2">
        <v>549961</v>
      </c>
      <c r="I2247" s="2">
        <v>594312</v>
      </c>
      <c r="J2247" s="2" t="s">
        <v>3890</v>
      </c>
      <c r="K2247" s="2" t="s">
        <v>3896</v>
      </c>
      <c r="L2247" s="2">
        <v>2024</v>
      </c>
      <c r="M2247" s="2">
        <v>-44351</v>
      </c>
      <c r="N2247" s="2">
        <f xml:space="preserve"> (Table1[[#This Row],[Variance (USD)]] / Table1[[#This Row],[Actual Spending (USD)]]) * 100</f>
        <v>-7.4625785782551928</v>
      </c>
      <c r="O2247" s="5" t="s">
        <v>3899</v>
      </c>
    </row>
    <row r="2248" spans="1:15" x14ac:dyDescent="0.25">
      <c r="A2248" s="4" t="s">
        <v>2261</v>
      </c>
      <c r="B2248" s="2" t="s">
        <v>3215</v>
      </c>
      <c r="C2248" s="2" t="s">
        <v>3873</v>
      </c>
      <c r="D2248" s="2" t="s">
        <v>3879</v>
      </c>
      <c r="E2248" s="3">
        <v>45389</v>
      </c>
      <c r="F2248" s="3">
        <v>45512</v>
      </c>
      <c r="G2248" s="2" t="s">
        <v>3886</v>
      </c>
      <c r="H2248" s="2">
        <v>706248</v>
      </c>
      <c r="I2248" s="2">
        <v>851601</v>
      </c>
      <c r="J2248" s="2" t="s">
        <v>3889</v>
      </c>
      <c r="K2248" s="2" t="s">
        <v>3895</v>
      </c>
      <c r="L2248" s="2">
        <v>2024</v>
      </c>
      <c r="M2248" s="2">
        <v>-145353</v>
      </c>
      <c r="N2248" s="2">
        <f xml:space="preserve"> (Table1[[#This Row],[Variance (USD)]] / Table1[[#This Row],[Actual Spending (USD)]]) * 100</f>
        <v>-17.068204476039835</v>
      </c>
      <c r="O2248" s="5" t="s">
        <v>3899</v>
      </c>
    </row>
    <row r="2249" spans="1:15" x14ac:dyDescent="0.25">
      <c r="A2249" s="4" t="s">
        <v>2262</v>
      </c>
      <c r="B2249" s="2" t="s">
        <v>3810</v>
      </c>
      <c r="C2249" s="2" t="s">
        <v>3868</v>
      </c>
      <c r="D2249" s="2" t="s">
        <v>3883</v>
      </c>
      <c r="E2249" s="3">
        <v>45363</v>
      </c>
      <c r="F2249" s="3">
        <v>45595</v>
      </c>
      <c r="G2249" s="2" t="s">
        <v>3884</v>
      </c>
      <c r="H2249" s="2">
        <v>550735</v>
      </c>
      <c r="I2249" s="2">
        <v>370791</v>
      </c>
      <c r="J2249" s="2" t="s">
        <v>3889</v>
      </c>
      <c r="K2249" s="2" t="s">
        <v>3893</v>
      </c>
      <c r="L2249" s="2">
        <v>2023</v>
      </c>
      <c r="M2249" s="2">
        <v>179944</v>
      </c>
      <c r="N2249" s="2">
        <f xml:space="preserve"> (Table1[[#This Row],[Variance (USD)]] / Table1[[#This Row],[Actual Spending (USD)]]) * 100</f>
        <v>48.529764746177769</v>
      </c>
      <c r="O2249" s="5" t="s">
        <v>3897</v>
      </c>
    </row>
    <row r="2250" spans="1:15" x14ac:dyDescent="0.25">
      <c r="A2250" s="4" t="s">
        <v>2263</v>
      </c>
      <c r="B2250" s="2" t="s">
        <v>3343</v>
      </c>
      <c r="C2250" s="2" t="s">
        <v>3873</v>
      </c>
      <c r="D2250" s="2" t="s">
        <v>3881</v>
      </c>
      <c r="E2250" s="3">
        <v>45236</v>
      </c>
      <c r="F2250" s="3">
        <v>45994</v>
      </c>
      <c r="G2250" s="2" t="s">
        <v>3884</v>
      </c>
      <c r="H2250" s="2">
        <v>177574</v>
      </c>
      <c r="I2250" s="2">
        <v>270739</v>
      </c>
      <c r="J2250" s="2" t="s">
        <v>3889</v>
      </c>
      <c r="K2250" s="2" t="s">
        <v>3895</v>
      </c>
      <c r="L2250" s="2">
        <v>2024</v>
      </c>
      <c r="M2250" s="2">
        <v>-93165</v>
      </c>
      <c r="N2250" s="2">
        <f xml:space="preserve"> (Table1[[#This Row],[Variance (USD)]] / Table1[[#This Row],[Actual Spending (USD)]]) * 100</f>
        <v>-34.411370360383984</v>
      </c>
      <c r="O2250" s="5" t="s">
        <v>3897</v>
      </c>
    </row>
    <row r="2251" spans="1:15" x14ac:dyDescent="0.25">
      <c r="A2251" s="4" t="s">
        <v>2264</v>
      </c>
      <c r="B2251" s="2" t="s">
        <v>3636</v>
      </c>
      <c r="C2251" s="2" t="s">
        <v>3873</v>
      </c>
      <c r="D2251" s="2" t="s">
        <v>3877</v>
      </c>
      <c r="E2251" s="3">
        <v>45522</v>
      </c>
      <c r="F2251" s="3">
        <v>45616</v>
      </c>
      <c r="G2251" s="2" t="s">
        <v>3885</v>
      </c>
      <c r="H2251" s="2">
        <v>762495</v>
      </c>
      <c r="I2251" s="2">
        <v>217401</v>
      </c>
      <c r="J2251" s="2" t="s">
        <v>3889</v>
      </c>
      <c r="K2251" s="2" t="s">
        <v>3894</v>
      </c>
      <c r="L2251" s="2">
        <v>2025</v>
      </c>
      <c r="M2251" s="2">
        <v>545094</v>
      </c>
      <c r="N2251" s="2">
        <f xml:space="preserve"> (Table1[[#This Row],[Variance (USD)]] / Table1[[#This Row],[Actual Spending (USD)]]) * 100</f>
        <v>250.7320573502422</v>
      </c>
      <c r="O2251" s="5" t="s">
        <v>3898</v>
      </c>
    </row>
    <row r="2252" spans="1:15" x14ac:dyDescent="0.25">
      <c r="A2252" s="4" t="s">
        <v>2265</v>
      </c>
      <c r="B2252" s="2" t="s">
        <v>3015</v>
      </c>
      <c r="C2252" s="2" t="s">
        <v>3869</v>
      </c>
      <c r="D2252" s="2" t="s">
        <v>3882</v>
      </c>
      <c r="E2252" s="3">
        <v>45207</v>
      </c>
      <c r="F2252" s="3">
        <v>45728</v>
      </c>
      <c r="G2252" s="2" t="s">
        <v>3886</v>
      </c>
      <c r="H2252" s="2">
        <v>79424</v>
      </c>
      <c r="I2252" s="2">
        <v>474374</v>
      </c>
      <c r="J2252" s="2" t="s">
        <v>3891</v>
      </c>
      <c r="K2252" s="2" t="s">
        <v>3894</v>
      </c>
      <c r="L2252" s="2">
        <v>2025</v>
      </c>
      <c r="M2252" s="2">
        <v>-394950</v>
      </c>
      <c r="N2252" s="2">
        <f xml:space="preserve"> (Table1[[#This Row],[Variance (USD)]] / Table1[[#This Row],[Actual Spending (USD)]]) * 100</f>
        <v>-83.257092505069835</v>
      </c>
      <c r="O2252" s="5" t="s">
        <v>3899</v>
      </c>
    </row>
    <row r="2253" spans="1:15" x14ac:dyDescent="0.25">
      <c r="A2253" s="4" t="s">
        <v>2266</v>
      </c>
      <c r="B2253" s="2" t="s">
        <v>3516</v>
      </c>
      <c r="C2253" s="2" t="s">
        <v>3871</v>
      </c>
      <c r="D2253" s="2" t="s">
        <v>3881</v>
      </c>
      <c r="E2253" s="3">
        <v>45249</v>
      </c>
      <c r="F2253" s="3">
        <v>45729</v>
      </c>
      <c r="G2253" s="2" t="s">
        <v>3884</v>
      </c>
      <c r="H2253" s="2">
        <v>91559</v>
      </c>
      <c r="I2253" s="2">
        <v>269354</v>
      </c>
      <c r="J2253" s="2" t="s">
        <v>3891</v>
      </c>
      <c r="K2253" s="2" t="s">
        <v>3895</v>
      </c>
      <c r="L2253" s="2">
        <v>2024</v>
      </c>
      <c r="M2253" s="2">
        <v>-177795</v>
      </c>
      <c r="N2253" s="2">
        <f xml:space="preserve"> (Table1[[#This Row],[Variance (USD)]] / Table1[[#This Row],[Actual Spending (USD)]]) * 100</f>
        <v>-66.00793008457272</v>
      </c>
      <c r="O2253" s="5" t="s">
        <v>3897</v>
      </c>
    </row>
    <row r="2254" spans="1:15" x14ac:dyDescent="0.25">
      <c r="A2254" s="4" t="s">
        <v>2267</v>
      </c>
      <c r="B2254" s="2" t="s">
        <v>3604</v>
      </c>
      <c r="C2254" s="2" t="s">
        <v>3871</v>
      </c>
      <c r="D2254" s="2" t="s">
        <v>3880</v>
      </c>
      <c r="E2254" s="3">
        <v>45628</v>
      </c>
      <c r="F2254" s="3">
        <v>45461</v>
      </c>
      <c r="G2254" s="2" t="s">
        <v>3884</v>
      </c>
      <c r="H2254" s="2">
        <v>560926</v>
      </c>
      <c r="I2254" s="2">
        <v>178865</v>
      </c>
      <c r="J2254" s="2" t="s">
        <v>3888</v>
      </c>
      <c r="K2254" s="2" t="s">
        <v>3895</v>
      </c>
      <c r="L2254" s="2">
        <v>2024</v>
      </c>
      <c r="M2254" s="2">
        <v>382061</v>
      </c>
      <c r="N2254" s="2">
        <f xml:space="preserve"> (Table1[[#This Row],[Variance (USD)]] / Table1[[#This Row],[Actual Spending (USD)]]) * 100</f>
        <v>213.60299667346879</v>
      </c>
      <c r="O2254" s="5" t="s">
        <v>3897</v>
      </c>
    </row>
    <row r="2255" spans="1:15" x14ac:dyDescent="0.25">
      <c r="A2255" s="4" t="s">
        <v>2268</v>
      </c>
      <c r="B2255" s="2" t="s">
        <v>3174</v>
      </c>
      <c r="C2255" s="2" t="s">
        <v>3870</v>
      </c>
      <c r="D2255" s="2" t="s">
        <v>3881</v>
      </c>
      <c r="E2255" s="3">
        <v>45078</v>
      </c>
      <c r="F2255" s="3">
        <v>45666</v>
      </c>
      <c r="G2255" s="2" t="s">
        <v>3884</v>
      </c>
      <c r="H2255" s="2">
        <v>298290</v>
      </c>
      <c r="I2255" s="2">
        <v>63677</v>
      </c>
      <c r="J2255" s="2" t="s">
        <v>3889</v>
      </c>
      <c r="K2255" s="2" t="s">
        <v>3894</v>
      </c>
      <c r="L2255" s="2">
        <v>2025</v>
      </c>
      <c r="M2255" s="2">
        <v>234613</v>
      </c>
      <c r="N2255" s="2">
        <f xml:space="preserve"> (Table1[[#This Row],[Variance (USD)]] / Table1[[#This Row],[Actual Spending (USD)]]) * 100</f>
        <v>368.44229470609486</v>
      </c>
      <c r="O2255" s="5" t="s">
        <v>3897</v>
      </c>
    </row>
    <row r="2256" spans="1:15" x14ac:dyDescent="0.25">
      <c r="A2256" s="4" t="s">
        <v>2269</v>
      </c>
      <c r="B2256" s="2" t="s">
        <v>3461</v>
      </c>
      <c r="C2256" s="2" t="s">
        <v>3873</v>
      </c>
      <c r="D2256" s="2" t="s">
        <v>3876</v>
      </c>
      <c r="E2256" s="3">
        <v>45228</v>
      </c>
      <c r="F2256" s="3">
        <v>45848</v>
      </c>
      <c r="G2256" s="2" t="s">
        <v>3884</v>
      </c>
      <c r="H2256" s="2">
        <v>323219</v>
      </c>
      <c r="I2256" s="2">
        <v>839454</v>
      </c>
      <c r="J2256" s="2" t="s">
        <v>3891</v>
      </c>
      <c r="K2256" s="2" t="s">
        <v>3894</v>
      </c>
      <c r="L2256" s="2">
        <v>2023</v>
      </c>
      <c r="M2256" s="2">
        <v>-516235</v>
      </c>
      <c r="N2256" s="2">
        <f xml:space="preserve"> (Table1[[#This Row],[Variance (USD)]] / Table1[[#This Row],[Actual Spending (USD)]]) * 100</f>
        <v>-61.496520357279849</v>
      </c>
      <c r="O2256" s="5" t="s">
        <v>3897</v>
      </c>
    </row>
    <row r="2257" spans="1:15" x14ac:dyDescent="0.25">
      <c r="A2257" s="4" t="s">
        <v>2270</v>
      </c>
      <c r="B2257" s="2" t="s">
        <v>3352</v>
      </c>
      <c r="C2257" s="2" t="s">
        <v>3875</v>
      </c>
      <c r="D2257" s="2" t="s">
        <v>3882</v>
      </c>
      <c r="E2257" s="3">
        <v>45204</v>
      </c>
      <c r="F2257" s="3">
        <v>45672</v>
      </c>
      <c r="G2257" s="2" t="s">
        <v>3884</v>
      </c>
      <c r="H2257" s="2">
        <v>465915</v>
      </c>
      <c r="I2257" s="2">
        <v>1018652</v>
      </c>
      <c r="J2257" s="2" t="s">
        <v>3890</v>
      </c>
      <c r="K2257" s="2" t="s">
        <v>3894</v>
      </c>
      <c r="L2257" s="2">
        <v>2025</v>
      </c>
      <c r="M2257" s="2">
        <v>-552737</v>
      </c>
      <c r="N2257" s="2">
        <f xml:space="preserve"> (Table1[[#This Row],[Variance (USD)]] / Table1[[#This Row],[Actual Spending (USD)]]) * 100</f>
        <v>-54.261612405414219</v>
      </c>
      <c r="O2257" s="5" t="s">
        <v>3897</v>
      </c>
    </row>
    <row r="2258" spans="1:15" x14ac:dyDescent="0.25">
      <c r="A2258" s="4" t="s">
        <v>2271</v>
      </c>
      <c r="B2258" s="2" t="s">
        <v>3024</v>
      </c>
      <c r="C2258" s="2" t="s">
        <v>3875</v>
      </c>
      <c r="D2258" s="2" t="s">
        <v>3876</v>
      </c>
      <c r="E2258" s="3">
        <v>45577</v>
      </c>
      <c r="F2258" s="3">
        <v>45305</v>
      </c>
      <c r="G2258" s="2" t="s">
        <v>3884</v>
      </c>
      <c r="H2258" s="2">
        <v>753332</v>
      </c>
      <c r="I2258" s="2">
        <v>188337</v>
      </c>
      <c r="J2258" s="2" t="s">
        <v>3891</v>
      </c>
      <c r="K2258" s="2" t="s">
        <v>3893</v>
      </c>
      <c r="L2258" s="2">
        <v>2025</v>
      </c>
      <c r="M2258" s="2">
        <v>564995</v>
      </c>
      <c r="N2258" s="2">
        <f xml:space="preserve"> (Table1[[#This Row],[Variance (USD)]] / Table1[[#This Row],[Actual Spending (USD)]]) * 100</f>
        <v>299.99150459017613</v>
      </c>
      <c r="O2258" s="5" t="s">
        <v>3897</v>
      </c>
    </row>
    <row r="2259" spans="1:15" x14ac:dyDescent="0.25">
      <c r="A2259" s="4" t="s">
        <v>2272</v>
      </c>
      <c r="B2259" s="2" t="s">
        <v>3377</v>
      </c>
      <c r="C2259" s="2" t="s">
        <v>3868</v>
      </c>
      <c r="D2259" s="2" t="s">
        <v>3877</v>
      </c>
      <c r="E2259" s="3">
        <v>45614</v>
      </c>
      <c r="F2259" s="3">
        <v>45960</v>
      </c>
      <c r="G2259" s="2" t="s">
        <v>3885</v>
      </c>
      <c r="H2259" s="2">
        <v>559968</v>
      </c>
      <c r="I2259" s="2">
        <v>554818</v>
      </c>
      <c r="J2259" s="2" t="s">
        <v>3891</v>
      </c>
      <c r="K2259" s="2" t="s">
        <v>3893</v>
      </c>
      <c r="L2259" s="2">
        <v>2025</v>
      </c>
      <c r="M2259" s="2">
        <v>5150</v>
      </c>
      <c r="N2259" s="2">
        <f xml:space="preserve"> (Table1[[#This Row],[Variance (USD)]] / Table1[[#This Row],[Actual Spending (USD)]]) * 100</f>
        <v>0.92823232122966459</v>
      </c>
      <c r="O2259" s="5" t="s">
        <v>3898</v>
      </c>
    </row>
    <row r="2260" spans="1:15" x14ac:dyDescent="0.25">
      <c r="A2260" s="4" t="s">
        <v>2273</v>
      </c>
      <c r="B2260" s="2" t="s">
        <v>3097</v>
      </c>
      <c r="C2260" s="2" t="s">
        <v>3868</v>
      </c>
      <c r="D2260" s="2" t="s">
        <v>3881</v>
      </c>
      <c r="E2260" s="3">
        <v>44934</v>
      </c>
      <c r="F2260" s="3">
        <v>45791</v>
      </c>
      <c r="G2260" s="2" t="s">
        <v>3886</v>
      </c>
      <c r="H2260" s="2">
        <v>322094</v>
      </c>
      <c r="I2260" s="2">
        <v>301695</v>
      </c>
      <c r="J2260" s="2" t="s">
        <v>3888</v>
      </c>
      <c r="K2260" s="2" t="s">
        <v>3895</v>
      </c>
      <c r="L2260" s="2">
        <v>2024</v>
      </c>
      <c r="M2260" s="2">
        <v>20399</v>
      </c>
      <c r="N2260" s="2">
        <f xml:space="preserve"> (Table1[[#This Row],[Variance (USD)]] / Table1[[#This Row],[Actual Spending (USD)]]) * 100</f>
        <v>6.7614643928470803</v>
      </c>
      <c r="O2260" s="5" t="s">
        <v>3899</v>
      </c>
    </row>
    <row r="2261" spans="1:15" x14ac:dyDescent="0.25">
      <c r="A2261" s="4" t="s">
        <v>2274</v>
      </c>
      <c r="B2261" s="2" t="s">
        <v>3816</v>
      </c>
      <c r="C2261" s="2" t="s">
        <v>3869</v>
      </c>
      <c r="D2261" s="2" t="s">
        <v>3879</v>
      </c>
      <c r="E2261" s="3">
        <v>45161</v>
      </c>
      <c r="F2261" s="3">
        <v>45937</v>
      </c>
      <c r="G2261" s="2" t="s">
        <v>3885</v>
      </c>
      <c r="H2261" s="2">
        <v>710773</v>
      </c>
      <c r="I2261" s="2">
        <v>320538</v>
      </c>
      <c r="J2261" s="2" t="s">
        <v>3891</v>
      </c>
      <c r="K2261" s="2" t="s">
        <v>3895</v>
      </c>
      <c r="L2261" s="2">
        <v>2023</v>
      </c>
      <c r="M2261" s="2">
        <v>390235</v>
      </c>
      <c r="N2261" s="2">
        <f xml:space="preserve"> (Table1[[#This Row],[Variance (USD)]] / Table1[[#This Row],[Actual Spending (USD)]]) * 100</f>
        <v>121.74375581054353</v>
      </c>
      <c r="O2261" s="5" t="s">
        <v>3898</v>
      </c>
    </row>
    <row r="2262" spans="1:15" x14ac:dyDescent="0.25">
      <c r="A2262" s="4" t="s">
        <v>2275</v>
      </c>
      <c r="B2262" s="2" t="s">
        <v>3087</v>
      </c>
      <c r="C2262" s="2" t="s">
        <v>3873</v>
      </c>
      <c r="D2262" s="2" t="s">
        <v>3879</v>
      </c>
      <c r="E2262" s="3">
        <v>45601</v>
      </c>
      <c r="F2262" s="3">
        <v>45682</v>
      </c>
      <c r="G2262" s="2" t="s">
        <v>3886</v>
      </c>
      <c r="H2262" s="2">
        <v>89305</v>
      </c>
      <c r="I2262" s="2">
        <v>597275</v>
      </c>
      <c r="J2262" s="2" t="s">
        <v>3890</v>
      </c>
      <c r="K2262" s="2" t="s">
        <v>3893</v>
      </c>
      <c r="L2262" s="2">
        <v>2023</v>
      </c>
      <c r="M2262" s="2">
        <v>-507970</v>
      </c>
      <c r="N2262" s="2">
        <f xml:space="preserve"> (Table1[[#This Row],[Variance (USD)]] / Table1[[#This Row],[Actual Spending (USD)]]) * 100</f>
        <v>-85.047925997237456</v>
      </c>
      <c r="O2262" s="5" t="s">
        <v>3899</v>
      </c>
    </row>
    <row r="2263" spans="1:15" x14ac:dyDescent="0.25">
      <c r="A2263" s="4" t="s">
        <v>2276</v>
      </c>
      <c r="B2263" s="2" t="s">
        <v>3387</v>
      </c>
      <c r="C2263" s="2" t="s">
        <v>3868</v>
      </c>
      <c r="D2263" s="2" t="s">
        <v>3878</v>
      </c>
      <c r="E2263" s="3">
        <v>45487</v>
      </c>
      <c r="F2263" s="3">
        <v>45840</v>
      </c>
      <c r="G2263" s="2" t="s">
        <v>3885</v>
      </c>
      <c r="H2263" s="2">
        <v>572037</v>
      </c>
      <c r="I2263" s="2">
        <v>884528</v>
      </c>
      <c r="J2263" s="2" t="s">
        <v>3889</v>
      </c>
      <c r="K2263" s="2" t="s">
        <v>3896</v>
      </c>
      <c r="L2263" s="2">
        <v>2024</v>
      </c>
      <c r="M2263" s="2">
        <v>-312491</v>
      </c>
      <c r="N2263" s="2">
        <f xml:space="preserve"> (Table1[[#This Row],[Variance (USD)]] / Table1[[#This Row],[Actual Spending (USD)]]) * 100</f>
        <v>-35.328559412477617</v>
      </c>
      <c r="O2263" s="5" t="s">
        <v>3898</v>
      </c>
    </row>
    <row r="2264" spans="1:15" x14ac:dyDescent="0.25">
      <c r="A2264" s="4" t="s">
        <v>2277</v>
      </c>
      <c r="B2264" s="2" t="s">
        <v>3032</v>
      </c>
      <c r="C2264" s="2" t="s">
        <v>3868</v>
      </c>
      <c r="D2264" s="2" t="s">
        <v>3883</v>
      </c>
      <c r="E2264" s="3">
        <v>45228</v>
      </c>
      <c r="F2264" s="3">
        <v>45856</v>
      </c>
      <c r="G2264" s="2" t="s">
        <v>3886</v>
      </c>
      <c r="H2264" s="2">
        <v>315713</v>
      </c>
      <c r="I2264" s="2">
        <v>32781</v>
      </c>
      <c r="J2264" s="2" t="s">
        <v>3892</v>
      </c>
      <c r="K2264" s="2" t="s">
        <v>3893</v>
      </c>
      <c r="L2264" s="2">
        <v>2025</v>
      </c>
      <c r="M2264" s="2">
        <v>282932</v>
      </c>
      <c r="N2264" s="2">
        <f xml:space="preserve"> (Table1[[#This Row],[Variance (USD)]] / Table1[[#This Row],[Actual Spending (USD)]]) * 100</f>
        <v>863.0975260059181</v>
      </c>
      <c r="O2264" s="5" t="s">
        <v>3899</v>
      </c>
    </row>
    <row r="2265" spans="1:15" x14ac:dyDescent="0.25">
      <c r="A2265" s="4" t="s">
        <v>2278</v>
      </c>
      <c r="B2265" s="2" t="s">
        <v>3828</v>
      </c>
      <c r="C2265" s="2" t="s">
        <v>3872</v>
      </c>
      <c r="D2265" s="2" t="s">
        <v>3880</v>
      </c>
      <c r="E2265" s="3">
        <v>44964</v>
      </c>
      <c r="F2265" s="3">
        <v>45821</v>
      </c>
      <c r="G2265" s="2" t="s">
        <v>3886</v>
      </c>
      <c r="H2265" s="2">
        <v>116778</v>
      </c>
      <c r="I2265" s="2">
        <v>1095906</v>
      </c>
      <c r="J2265" s="2" t="s">
        <v>3888</v>
      </c>
      <c r="K2265" s="2" t="s">
        <v>3895</v>
      </c>
      <c r="L2265" s="2">
        <v>2024</v>
      </c>
      <c r="M2265" s="2">
        <v>-979128</v>
      </c>
      <c r="N2265" s="2">
        <f xml:space="preserve"> (Table1[[#This Row],[Variance (USD)]] / Table1[[#This Row],[Actual Spending (USD)]]) * 100</f>
        <v>-89.344159079337089</v>
      </c>
      <c r="O2265" s="5" t="s">
        <v>3899</v>
      </c>
    </row>
    <row r="2266" spans="1:15" x14ac:dyDescent="0.25">
      <c r="A2266" s="4" t="s">
        <v>2279</v>
      </c>
      <c r="B2266" s="2" t="s">
        <v>3695</v>
      </c>
      <c r="C2266" s="2" t="s">
        <v>3873</v>
      </c>
      <c r="D2266" s="2" t="s">
        <v>3882</v>
      </c>
      <c r="E2266" s="3">
        <v>45062</v>
      </c>
      <c r="F2266" s="3">
        <v>45783</v>
      </c>
      <c r="G2266" s="2" t="s">
        <v>3887</v>
      </c>
      <c r="H2266" s="2">
        <v>414777</v>
      </c>
      <c r="I2266" s="2">
        <v>612930</v>
      </c>
      <c r="J2266" s="2" t="s">
        <v>3890</v>
      </c>
      <c r="K2266" s="2" t="s">
        <v>3893</v>
      </c>
      <c r="L2266" s="2">
        <v>2024</v>
      </c>
      <c r="M2266" s="2">
        <v>-198153</v>
      </c>
      <c r="N2266" s="2">
        <f xml:space="preserve"> (Table1[[#This Row],[Variance (USD)]] / Table1[[#This Row],[Actual Spending (USD)]]) * 100</f>
        <v>-32.32881405707014</v>
      </c>
      <c r="O2266" s="5" t="s">
        <v>3900</v>
      </c>
    </row>
    <row r="2267" spans="1:15" x14ac:dyDescent="0.25">
      <c r="A2267" s="4" t="s">
        <v>2280</v>
      </c>
      <c r="B2267" s="2" t="s">
        <v>3292</v>
      </c>
      <c r="C2267" s="2" t="s">
        <v>3874</v>
      </c>
      <c r="D2267" s="2" t="s">
        <v>3883</v>
      </c>
      <c r="E2267" s="3">
        <v>45347</v>
      </c>
      <c r="F2267" s="3">
        <v>45841</v>
      </c>
      <c r="G2267" s="2" t="s">
        <v>3886</v>
      </c>
      <c r="H2267" s="2">
        <v>866517</v>
      </c>
      <c r="I2267" s="2">
        <v>343807</v>
      </c>
      <c r="J2267" s="2" t="s">
        <v>3888</v>
      </c>
      <c r="K2267" s="2" t="s">
        <v>3896</v>
      </c>
      <c r="L2267" s="2">
        <v>2023</v>
      </c>
      <c r="M2267" s="2">
        <v>522710</v>
      </c>
      <c r="N2267" s="2">
        <f xml:space="preserve"> (Table1[[#This Row],[Variance (USD)]] / Table1[[#This Row],[Actual Spending (USD)]]) * 100</f>
        <v>152.03588059579937</v>
      </c>
      <c r="O2267" s="5" t="s">
        <v>3899</v>
      </c>
    </row>
    <row r="2268" spans="1:15" x14ac:dyDescent="0.25">
      <c r="A2268" s="4" t="s">
        <v>2281</v>
      </c>
      <c r="B2268" s="2" t="s">
        <v>3392</v>
      </c>
      <c r="C2268" s="2" t="s">
        <v>3869</v>
      </c>
      <c r="D2268" s="2" t="s">
        <v>3881</v>
      </c>
      <c r="E2268" s="3">
        <v>45145</v>
      </c>
      <c r="F2268" s="3">
        <v>45990</v>
      </c>
      <c r="G2268" s="2" t="s">
        <v>3884</v>
      </c>
      <c r="H2268" s="2">
        <v>527061</v>
      </c>
      <c r="I2268" s="2">
        <v>817313</v>
      </c>
      <c r="J2268" s="2" t="s">
        <v>3889</v>
      </c>
      <c r="K2268" s="2" t="s">
        <v>3895</v>
      </c>
      <c r="L2268" s="2">
        <v>2023</v>
      </c>
      <c r="M2268" s="2">
        <v>-290252</v>
      </c>
      <c r="N2268" s="2">
        <f xml:space="preserve"> (Table1[[#This Row],[Variance (USD)]] / Table1[[#This Row],[Actual Spending (USD)]]) * 100</f>
        <v>-35.512955257043508</v>
      </c>
      <c r="O2268" s="5" t="s">
        <v>3897</v>
      </c>
    </row>
    <row r="2269" spans="1:15" x14ac:dyDescent="0.25">
      <c r="A2269" s="4" t="s">
        <v>2282</v>
      </c>
      <c r="B2269" s="2" t="s">
        <v>3625</v>
      </c>
      <c r="C2269" s="2" t="s">
        <v>3868</v>
      </c>
      <c r="D2269" s="2" t="s">
        <v>3883</v>
      </c>
      <c r="E2269" s="3">
        <v>45274</v>
      </c>
      <c r="F2269" s="3">
        <v>45676</v>
      </c>
      <c r="G2269" s="2" t="s">
        <v>3886</v>
      </c>
      <c r="H2269" s="2">
        <v>408451</v>
      </c>
      <c r="I2269" s="2">
        <v>425063</v>
      </c>
      <c r="J2269" s="2" t="s">
        <v>3891</v>
      </c>
      <c r="K2269" s="2" t="s">
        <v>3894</v>
      </c>
      <c r="L2269" s="2">
        <v>2024</v>
      </c>
      <c r="M2269" s="2">
        <v>-16612</v>
      </c>
      <c r="N2269" s="2">
        <f xml:space="preserve"> (Table1[[#This Row],[Variance (USD)]] / Table1[[#This Row],[Actual Spending (USD)]]) * 100</f>
        <v>-3.9081265600628612</v>
      </c>
      <c r="O2269" s="5" t="s">
        <v>3899</v>
      </c>
    </row>
    <row r="2270" spans="1:15" x14ac:dyDescent="0.25">
      <c r="A2270" s="4" t="s">
        <v>2283</v>
      </c>
      <c r="B2270" s="2" t="s">
        <v>3217</v>
      </c>
      <c r="C2270" s="2" t="s">
        <v>3869</v>
      </c>
      <c r="D2270" s="2" t="s">
        <v>3878</v>
      </c>
      <c r="E2270" s="3">
        <v>45472</v>
      </c>
      <c r="F2270" s="3">
        <v>45487</v>
      </c>
      <c r="G2270" s="2" t="s">
        <v>3885</v>
      </c>
      <c r="H2270" s="2">
        <v>928606</v>
      </c>
      <c r="I2270" s="2">
        <v>790263</v>
      </c>
      <c r="J2270" s="2" t="s">
        <v>3891</v>
      </c>
      <c r="K2270" s="2" t="s">
        <v>3895</v>
      </c>
      <c r="L2270" s="2">
        <v>2024</v>
      </c>
      <c r="M2270" s="2">
        <v>138343</v>
      </c>
      <c r="N2270" s="2">
        <f xml:space="preserve"> (Table1[[#This Row],[Variance (USD)]] / Table1[[#This Row],[Actual Spending (USD)]]) * 100</f>
        <v>17.505944223631882</v>
      </c>
      <c r="O2270" s="5" t="s">
        <v>3898</v>
      </c>
    </row>
    <row r="2271" spans="1:15" x14ac:dyDescent="0.25">
      <c r="A2271" s="4" t="s">
        <v>2284</v>
      </c>
      <c r="B2271" s="2" t="s">
        <v>3443</v>
      </c>
      <c r="C2271" s="2" t="s">
        <v>3871</v>
      </c>
      <c r="D2271" s="2" t="s">
        <v>3883</v>
      </c>
      <c r="E2271" s="3">
        <v>45005</v>
      </c>
      <c r="F2271" s="3">
        <v>45591</v>
      </c>
      <c r="G2271" s="2" t="s">
        <v>3886</v>
      </c>
      <c r="H2271" s="2">
        <v>610451</v>
      </c>
      <c r="I2271" s="2">
        <v>998631</v>
      </c>
      <c r="J2271" s="2" t="s">
        <v>3890</v>
      </c>
      <c r="K2271" s="2" t="s">
        <v>3893</v>
      </c>
      <c r="L2271" s="2">
        <v>2023</v>
      </c>
      <c r="M2271" s="2">
        <v>-388180</v>
      </c>
      <c r="N2271" s="2">
        <f xml:space="preserve"> (Table1[[#This Row],[Variance (USD)]] / Table1[[#This Row],[Actual Spending (USD)]]) * 100</f>
        <v>-38.871214692914599</v>
      </c>
      <c r="O2271" s="5" t="s">
        <v>3899</v>
      </c>
    </row>
    <row r="2272" spans="1:15" x14ac:dyDescent="0.25">
      <c r="A2272" s="4" t="s">
        <v>2285</v>
      </c>
      <c r="B2272" s="2" t="s">
        <v>3246</v>
      </c>
      <c r="C2272" s="2" t="s">
        <v>3869</v>
      </c>
      <c r="D2272" s="2" t="s">
        <v>3882</v>
      </c>
      <c r="E2272" s="3">
        <v>45199</v>
      </c>
      <c r="F2272" s="3">
        <v>45838</v>
      </c>
      <c r="G2272" s="2" t="s">
        <v>3886</v>
      </c>
      <c r="H2272" s="2">
        <v>99592</v>
      </c>
      <c r="I2272" s="2">
        <v>675553</v>
      </c>
      <c r="J2272" s="2" t="s">
        <v>3889</v>
      </c>
      <c r="K2272" s="2" t="s">
        <v>3893</v>
      </c>
      <c r="L2272" s="2">
        <v>2023</v>
      </c>
      <c r="M2272" s="2">
        <v>-575961</v>
      </c>
      <c r="N2272" s="2">
        <f xml:space="preserve"> (Table1[[#This Row],[Variance (USD)]] / Table1[[#This Row],[Actual Spending (USD)]]) * 100</f>
        <v>-85.257707389353612</v>
      </c>
      <c r="O2272" s="5" t="s">
        <v>3899</v>
      </c>
    </row>
    <row r="2273" spans="1:15" x14ac:dyDescent="0.25">
      <c r="A2273" s="4" t="s">
        <v>2286</v>
      </c>
      <c r="B2273" s="2" t="s">
        <v>3827</v>
      </c>
      <c r="C2273" s="2" t="s">
        <v>3874</v>
      </c>
      <c r="D2273" s="2" t="s">
        <v>3877</v>
      </c>
      <c r="E2273" s="3">
        <v>45087</v>
      </c>
      <c r="F2273" s="3">
        <v>46018</v>
      </c>
      <c r="G2273" s="2" t="s">
        <v>3886</v>
      </c>
      <c r="H2273" s="2">
        <v>268223</v>
      </c>
      <c r="I2273" s="2">
        <v>201003</v>
      </c>
      <c r="J2273" s="2" t="s">
        <v>3892</v>
      </c>
      <c r="K2273" s="2" t="s">
        <v>3896</v>
      </c>
      <c r="L2273" s="2">
        <v>2025</v>
      </c>
      <c r="M2273" s="2">
        <v>67220</v>
      </c>
      <c r="N2273" s="2">
        <f xml:space="preserve"> (Table1[[#This Row],[Variance (USD)]] / Table1[[#This Row],[Actual Spending (USD)]]) * 100</f>
        <v>33.442286931040833</v>
      </c>
      <c r="O2273" s="5" t="s">
        <v>3899</v>
      </c>
    </row>
    <row r="2274" spans="1:15" x14ac:dyDescent="0.25">
      <c r="A2274" s="4" t="s">
        <v>2287</v>
      </c>
      <c r="B2274" s="2" t="s">
        <v>3399</v>
      </c>
      <c r="C2274" s="2" t="s">
        <v>3875</v>
      </c>
      <c r="D2274" s="2" t="s">
        <v>3878</v>
      </c>
      <c r="E2274" s="3">
        <v>45613</v>
      </c>
      <c r="F2274" s="3">
        <v>46022</v>
      </c>
      <c r="G2274" s="2" t="s">
        <v>3887</v>
      </c>
      <c r="H2274" s="2">
        <v>238405</v>
      </c>
      <c r="I2274" s="2">
        <v>467140</v>
      </c>
      <c r="J2274" s="2" t="s">
        <v>3892</v>
      </c>
      <c r="K2274" s="2" t="s">
        <v>3893</v>
      </c>
      <c r="L2274" s="2">
        <v>2024</v>
      </c>
      <c r="M2274" s="2">
        <v>-228735</v>
      </c>
      <c r="N2274" s="2">
        <f xml:space="preserve"> (Table1[[#This Row],[Variance (USD)]] / Table1[[#This Row],[Actual Spending (USD)]]) * 100</f>
        <v>-48.964978379072654</v>
      </c>
      <c r="O2274" s="5" t="s">
        <v>3900</v>
      </c>
    </row>
    <row r="2275" spans="1:15" x14ac:dyDescent="0.25">
      <c r="A2275" s="4" t="s">
        <v>2288</v>
      </c>
      <c r="B2275" s="2" t="s">
        <v>3813</v>
      </c>
      <c r="C2275" s="2" t="s">
        <v>3874</v>
      </c>
      <c r="D2275" s="2" t="s">
        <v>3877</v>
      </c>
      <c r="E2275" s="3">
        <v>45234</v>
      </c>
      <c r="F2275" s="3">
        <v>45893</v>
      </c>
      <c r="G2275" s="2" t="s">
        <v>3884</v>
      </c>
      <c r="H2275" s="2">
        <v>429575</v>
      </c>
      <c r="I2275" s="2">
        <v>839398</v>
      </c>
      <c r="J2275" s="2" t="s">
        <v>3891</v>
      </c>
      <c r="K2275" s="2" t="s">
        <v>3896</v>
      </c>
      <c r="L2275" s="2">
        <v>2025</v>
      </c>
      <c r="M2275" s="2">
        <v>-409823</v>
      </c>
      <c r="N2275" s="2">
        <f xml:space="preserve"> (Table1[[#This Row],[Variance (USD)]] / Table1[[#This Row],[Actual Spending (USD)]]) * 100</f>
        <v>-48.823442514754625</v>
      </c>
      <c r="O2275" s="5" t="s">
        <v>3897</v>
      </c>
    </row>
    <row r="2276" spans="1:15" x14ac:dyDescent="0.25">
      <c r="A2276" s="4" t="s">
        <v>2289</v>
      </c>
      <c r="B2276" s="2" t="s">
        <v>3390</v>
      </c>
      <c r="C2276" s="2" t="s">
        <v>3875</v>
      </c>
      <c r="D2276" s="2" t="s">
        <v>3881</v>
      </c>
      <c r="E2276" s="3">
        <v>45300</v>
      </c>
      <c r="F2276" s="3">
        <v>45599</v>
      </c>
      <c r="G2276" s="2" t="s">
        <v>3886</v>
      </c>
      <c r="H2276" s="2">
        <v>582327</v>
      </c>
      <c r="I2276" s="2">
        <v>1089896</v>
      </c>
      <c r="J2276" s="2" t="s">
        <v>3889</v>
      </c>
      <c r="K2276" s="2" t="s">
        <v>3895</v>
      </c>
      <c r="L2276" s="2">
        <v>2025</v>
      </c>
      <c r="M2276" s="2">
        <v>-507569</v>
      </c>
      <c r="N2276" s="2">
        <f xml:space="preserve"> (Table1[[#This Row],[Variance (USD)]] / Table1[[#This Row],[Actual Spending (USD)]]) * 100</f>
        <v>-46.570406717705175</v>
      </c>
      <c r="O2276" s="5" t="s">
        <v>3899</v>
      </c>
    </row>
    <row r="2277" spans="1:15" x14ac:dyDescent="0.25">
      <c r="A2277" s="4" t="s">
        <v>2290</v>
      </c>
      <c r="B2277" s="2" t="s">
        <v>3153</v>
      </c>
      <c r="C2277" s="2" t="s">
        <v>3869</v>
      </c>
      <c r="D2277" s="2" t="s">
        <v>3878</v>
      </c>
      <c r="E2277" s="3">
        <v>44935</v>
      </c>
      <c r="F2277" s="3">
        <v>45543</v>
      </c>
      <c r="G2277" s="2" t="s">
        <v>3884</v>
      </c>
      <c r="H2277" s="2">
        <v>189270</v>
      </c>
      <c r="I2277" s="2">
        <v>619413</v>
      </c>
      <c r="J2277" s="2" t="s">
        <v>3889</v>
      </c>
      <c r="K2277" s="2" t="s">
        <v>3893</v>
      </c>
      <c r="L2277" s="2">
        <v>2025</v>
      </c>
      <c r="M2277" s="2">
        <v>-430143</v>
      </c>
      <c r="N2277" s="2">
        <f xml:space="preserve"> (Table1[[#This Row],[Variance (USD)]] / Table1[[#This Row],[Actual Spending (USD)]]) * 100</f>
        <v>-69.443650682178131</v>
      </c>
      <c r="O2277" s="5" t="s">
        <v>3897</v>
      </c>
    </row>
    <row r="2278" spans="1:15" x14ac:dyDescent="0.25">
      <c r="A2278" s="4" t="s">
        <v>2291</v>
      </c>
      <c r="B2278" s="2" t="s">
        <v>3448</v>
      </c>
      <c r="C2278" s="2" t="s">
        <v>3875</v>
      </c>
      <c r="D2278" s="2" t="s">
        <v>3881</v>
      </c>
      <c r="E2278" s="3">
        <v>45370</v>
      </c>
      <c r="F2278" s="3">
        <v>45299</v>
      </c>
      <c r="G2278" s="2" t="s">
        <v>3886</v>
      </c>
      <c r="H2278" s="2">
        <v>215426</v>
      </c>
      <c r="I2278" s="2">
        <v>1015256</v>
      </c>
      <c r="J2278" s="2" t="s">
        <v>3890</v>
      </c>
      <c r="K2278" s="2" t="s">
        <v>3895</v>
      </c>
      <c r="L2278" s="2">
        <v>2023</v>
      </c>
      <c r="M2278" s="2">
        <v>-799830</v>
      </c>
      <c r="N2278" s="2">
        <f xml:space="preserve"> (Table1[[#This Row],[Variance (USD)]] / Table1[[#This Row],[Actual Spending (USD)]]) * 100</f>
        <v>-78.781115304908326</v>
      </c>
      <c r="O2278" s="5" t="s">
        <v>3899</v>
      </c>
    </row>
    <row r="2279" spans="1:15" x14ac:dyDescent="0.25">
      <c r="A2279" s="4" t="s">
        <v>2292</v>
      </c>
      <c r="B2279" s="2" t="s">
        <v>3829</v>
      </c>
      <c r="C2279" s="2" t="s">
        <v>3871</v>
      </c>
      <c r="D2279" s="2" t="s">
        <v>3881</v>
      </c>
      <c r="E2279" s="3">
        <v>45039</v>
      </c>
      <c r="F2279" s="3">
        <v>45499</v>
      </c>
      <c r="G2279" s="2" t="s">
        <v>3886</v>
      </c>
      <c r="H2279" s="2">
        <v>820873</v>
      </c>
      <c r="I2279" s="2">
        <v>265077</v>
      </c>
      <c r="J2279" s="2" t="s">
        <v>3892</v>
      </c>
      <c r="K2279" s="2" t="s">
        <v>3894</v>
      </c>
      <c r="L2279" s="2">
        <v>2025</v>
      </c>
      <c r="M2279" s="2">
        <v>555796</v>
      </c>
      <c r="N2279" s="2">
        <f xml:space="preserve"> (Table1[[#This Row],[Variance (USD)]] / Table1[[#This Row],[Actual Spending (USD)]]) * 100</f>
        <v>209.67341564903782</v>
      </c>
      <c r="O2279" s="5" t="s">
        <v>3899</v>
      </c>
    </row>
    <row r="2280" spans="1:15" x14ac:dyDescent="0.25">
      <c r="A2280" s="4" t="s">
        <v>2293</v>
      </c>
      <c r="B2280" s="2" t="s">
        <v>3221</v>
      </c>
      <c r="C2280" s="2" t="s">
        <v>3873</v>
      </c>
      <c r="D2280" s="2" t="s">
        <v>3883</v>
      </c>
      <c r="E2280" s="3">
        <v>45131</v>
      </c>
      <c r="F2280" s="3">
        <v>45422</v>
      </c>
      <c r="G2280" s="2" t="s">
        <v>3884</v>
      </c>
      <c r="H2280" s="2">
        <v>315968</v>
      </c>
      <c r="I2280" s="2">
        <v>1195872</v>
      </c>
      <c r="J2280" s="2" t="s">
        <v>3890</v>
      </c>
      <c r="K2280" s="2" t="s">
        <v>3894</v>
      </c>
      <c r="L2280" s="2">
        <v>2023</v>
      </c>
      <c r="M2280" s="2">
        <v>-879904</v>
      </c>
      <c r="N2280" s="2">
        <f xml:space="preserve"> (Table1[[#This Row],[Variance (USD)]] / Table1[[#This Row],[Actual Spending (USD)]]) * 100</f>
        <v>-73.578443177865196</v>
      </c>
      <c r="O2280" s="5" t="s">
        <v>3897</v>
      </c>
    </row>
    <row r="2281" spans="1:15" x14ac:dyDescent="0.25">
      <c r="A2281" s="4" t="s">
        <v>2294</v>
      </c>
      <c r="B2281" s="2" t="s">
        <v>3724</v>
      </c>
      <c r="C2281" s="2" t="s">
        <v>3875</v>
      </c>
      <c r="D2281" s="2" t="s">
        <v>3877</v>
      </c>
      <c r="E2281" s="3">
        <v>45331</v>
      </c>
      <c r="F2281" s="3">
        <v>46000</v>
      </c>
      <c r="G2281" s="2" t="s">
        <v>3884</v>
      </c>
      <c r="H2281" s="2">
        <v>886852</v>
      </c>
      <c r="I2281" s="2">
        <v>155355</v>
      </c>
      <c r="J2281" s="2" t="s">
        <v>3888</v>
      </c>
      <c r="K2281" s="2" t="s">
        <v>3896</v>
      </c>
      <c r="L2281" s="2">
        <v>2023</v>
      </c>
      <c r="M2281" s="2">
        <v>731497</v>
      </c>
      <c r="N2281" s="2">
        <f xml:space="preserve"> (Table1[[#This Row],[Variance (USD)]] / Table1[[#This Row],[Actual Spending (USD)]]) * 100</f>
        <v>470.85513823179167</v>
      </c>
      <c r="O2281" s="5" t="s">
        <v>3897</v>
      </c>
    </row>
    <row r="2282" spans="1:15" x14ac:dyDescent="0.25">
      <c r="A2282" s="4" t="s">
        <v>2295</v>
      </c>
      <c r="B2282" s="2" t="s">
        <v>3221</v>
      </c>
      <c r="C2282" s="2" t="s">
        <v>3875</v>
      </c>
      <c r="D2282" s="2" t="s">
        <v>3881</v>
      </c>
      <c r="E2282" s="3">
        <v>45624</v>
      </c>
      <c r="F2282" s="3">
        <v>45945</v>
      </c>
      <c r="G2282" s="2" t="s">
        <v>3886</v>
      </c>
      <c r="H2282" s="2">
        <v>401679</v>
      </c>
      <c r="I2282" s="2">
        <v>481930</v>
      </c>
      <c r="J2282" s="2" t="s">
        <v>3889</v>
      </c>
      <c r="K2282" s="2" t="s">
        <v>3893</v>
      </c>
      <c r="L2282" s="2">
        <v>2023</v>
      </c>
      <c r="M2282" s="2">
        <v>-80251</v>
      </c>
      <c r="N2282" s="2">
        <f xml:space="preserve"> (Table1[[#This Row],[Variance (USD)]] / Table1[[#This Row],[Actual Spending (USD)]]) * 100</f>
        <v>-16.652003402983837</v>
      </c>
      <c r="O2282" s="5" t="s">
        <v>3899</v>
      </c>
    </row>
    <row r="2283" spans="1:15" x14ac:dyDescent="0.25">
      <c r="A2283" s="4" t="s">
        <v>2296</v>
      </c>
      <c r="B2283" s="2" t="s">
        <v>3611</v>
      </c>
      <c r="C2283" s="2" t="s">
        <v>3869</v>
      </c>
      <c r="D2283" s="2" t="s">
        <v>3877</v>
      </c>
      <c r="E2283" s="3">
        <v>45123</v>
      </c>
      <c r="F2283" s="3">
        <v>45899</v>
      </c>
      <c r="G2283" s="2" t="s">
        <v>3884</v>
      </c>
      <c r="H2283" s="2">
        <v>53436</v>
      </c>
      <c r="I2283" s="2">
        <v>41780</v>
      </c>
      <c r="J2283" s="2" t="s">
        <v>3892</v>
      </c>
      <c r="K2283" s="2" t="s">
        <v>3895</v>
      </c>
      <c r="L2283" s="2">
        <v>2024</v>
      </c>
      <c r="M2283" s="2">
        <v>11656</v>
      </c>
      <c r="N2283" s="2">
        <f xml:space="preserve"> (Table1[[#This Row],[Variance (USD)]] / Table1[[#This Row],[Actual Spending (USD)]]) * 100</f>
        <v>27.898516036381043</v>
      </c>
      <c r="O2283" s="5" t="s">
        <v>3897</v>
      </c>
    </row>
    <row r="2284" spans="1:15" x14ac:dyDescent="0.25">
      <c r="A2284" s="4" t="s">
        <v>2297</v>
      </c>
      <c r="B2284" s="2" t="s">
        <v>3569</v>
      </c>
      <c r="C2284" s="2" t="s">
        <v>3871</v>
      </c>
      <c r="D2284" s="2" t="s">
        <v>3877</v>
      </c>
      <c r="E2284" s="3">
        <v>45041</v>
      </c>
      <c r="F2284" s="3">
        <v>45317</v>
      </c>
      <c r="G2284" s="2" t="s">
        <v>3884</v>
      </c>
      <c r="H2284" s="2">
        <v>667838</v>
      </c>
      <c r="I2284" s="2">
        <v>892662</v>
      </c>
      <c r="J2284" s="2" t="s">
        <v>3890</v>
      </c>
      <c r="K2284" s="2" t="s">
        <v>3895</v>
      </c>
      <c r="L2284" s="2">
        <v>2025</v>
      </c>
      <c r="M2284" s="2">
        <v>-224824</v>
      </c>
      <c r="N2284" s="2">
        <f xml:space="preserve"> (Table1[[#This Row],[Variance (USD)]] / Table1[[#This Row],[Actual Spending (USD)]]) * 100</f>
        <v>-25.185792606832148</v>
      </c>
      <c r="O2284" s="5" t="s">
        <v>3897</v>
      </c>
    </row>
    <row r="2285" spans="1:15" x14ac:dyDescent="0.25">
      <c r="A2285" s="4" t="s">
        <v>2298</v>
      </c>
      <c r="B2285" s="2" t="s">
        <v>3830</v>
      </c>
      <c r="C2285" s="2" t="s">
        <v>3870</v>
      </c>
      <c r="D2285" s="2" t="s">
        <v>3878</v>
      </c>
      <c r="E2285" s="3">
        <v>45047</v>
      </c>
      <c r="F2285" s="3">
        <v>45914</v>
      </c>
      <c r="G2285" s="2" t="s">
        <v>3885</v>
      </c>
      <c r="H2285" s="2">
        <v>746217</v>
      </c>
      <c r="I2285" s="2">
        <v>544249</v>
      </c>
      <c r="J2285" s="2" t="s">
        <v>3891</v>
      </c>
      <c r="K2285" s="2" t="s">
        <v>3893</v>
      </c>
      <c r="L2285" s="2">
        <v>2023</v>
      </c>
      <c r="M2285" s="2">
        <v>201968</v>
      </c>
      <c r="N2285" s="2">
        <f xml:space="preserve"> (Table1[[#This Row],[Variance (USD)]] / Table1[[#This Row],[Actual Spending (USD)]]) * 100</f>
        <v>37.109484813017573</v>
      </c>
      <c r="O2285" s="5" t="s">
        <v>3898</v>
      </c>
    </row>
    <row r="2286" spans="1:15" x14ac:dyDescent="0.25">
      <c r="A2286" s="4" t="s">
        <v>2299</v>
      </c>
      <c r="B2286" s="2" t="s">
        <v>3638</v>
      </c>
      <c r="C2286" s="2" t="s">
        <v>3870</v>
      </c>
      <c r="D2286" s="2" t="s">
        <v>3876</v>
      </c>
      <c r="E2286" s="3">
        <v>45579</v>
      </c>
      <c r="F2286" s="3">
        <v>45745</v>
      </c>
      <c r="G2286" s="2" t="s">
        <v>3884</v>
      </c>
      <c r="H2286" s="2">
        <v>66057</v>
      </c>
      <c r="I2286" s="2">
        <v>1029602</v>
      </c>
      <c r="J2286" s="2" t="s">
        <v>3888</v>
      </c>
      <c r="K2286" s="2" t="s">
        <v>3895</v>
      </c>
      <c r="L2286" s="2">
        <v>2024</v>
      </c>
      <c r="M2286" s="2">
        <v>-963545</v>
      </c>
      <c r="N2286" s="2">
        <f xml:space="preserve"> (Table1[[#This Row],[Variance (USD)]] / Table1[[#This Row],[Actual Spending (USD)]]) * 100</f>
        <v>-93.58421992187273</v>
      </c>
      <c r="O2286" s="5" t="s">
        <v>3897</v>
      </c>
    </row>
    <row r="2287" spans="1:15" x14ac:dyDescent="0.25">
      <c r="A2287" s="4" t="s">
        <v>2300</v>
      </c>
      <c r="B2287" s="2" t="s">
        <v>3028</v>
      </c>
      <c r="C2287" s="2" t="s">
        <v>3870</v>
      </c>
      <c r="D2287" s="2" t="s">
        <v>3883</v>
      </c>
      <c r="E2287" s="3">
        <v>44991</v>
      </c>
      <c r="F2287" s="3">
        <v>45926</v>
      </c>
      <c r="G2287" s="2" t="s">
        <v>3884</v>
      </c>
      <c r="H2287" s="2">
        <v>575598</v>
      </c>
      <c r="I2287" s="2">
        <v>666984</v>
      </c>
      <c r="J2287" s="2" t="s">
        <v>3890</v>
      </c>
      <c r="K2287" s="2" t="s">
        <v>3893</v>
      </c>
      <c r="L2287" s="2">
        <v>2024</v>
      </c>
      <c r="M2287" s="2">
        <v>-91386</v>
      </c>
      <c r="N2287" s="2">
        <f xml:space="preserve"> (Table1[[#This Row],[Variance (USD)]] / Table1[[#This Row],[Actual Spending (USD)]]) * 100</f>
        <v>-13.701378144003455</v>
      </c>
      <c r="O2287" s="5" t="s">
        <v>3897</v>
      </c>
    </row>
    <row r="2288" spans="1:15" x14ac:dyDescent="0.25">
      <c r="A2288" s="4" t="s">
        <v>2301</v>
      </c>
      <c r="B2288" s="2" t="s">
        <v>3724</v>
      </c>
      <c r="C2288" s="2" t="s">
        <v>3870</v>
      </c>
      <c r="D2288" s="2" t="s">
        <v>3881</v>
      </c>
      <c r="E2288" s="3">
        <v>45202</v>
      </c>
      <c r="F2288" s="3">
        <v>45477</v>
      </c>
      <c r="G2288" s="2" t="s">
        <v>3885</v>
      </c>
      <c r="H2288" s="2">
        <v>701201</v>
      </c>
      <c r="I2288" s="2">
        <v>660363</v>
      </c>
      <c r="J2288" s="2" t="s">
        <v>3891</v>
      </c>
      <c r="K2288" s="2" t="s">
        <v>3893</v>
      </c>
      <c r="L2288" s="2">
        <v>2024</v>
      </c>
      <c r="M2288" s="2">
        <v>40838</v>
      </c>
      <c r="N2288" s="2">
        <f xml:space="preserve"> (Table1[[#This Row],[Variance (USD)]] / Table1[[#This Row],[Actual Spending (USD)]]) * 100</f>
        <v>6.1841744616218657</v>
      </c>
      <c r="O2288" s="5" t="s">
        <v>3898</v>
      </c>
    </row>
    <row r="2289" spans="1:15" x14ac:dyDescent="0.25">
      <c r="A2289" s="4" t="s">
        <v>2302</v>
      </c>
      <c r="B2289" s="2" t="s">
        <v>3294</v>
      </c>
      <c r="C2289" s="2" t="s">
        <v>3873</v>
      </c>
      <c r="D2289" s="2" t="s">
        <v>3877</v>
      </c>
      <c r="E2289" s="3">
        <v>45165</v>
      </c>
      <c r="F2289" s="3">
        <v>45775</v>
      </c>
      <c r="G2289" s="2" t="s">
        <v>3884</v>
      </c>
      <c r="H2289" s="2">
        <v>518571</v>
      </c>
      <c r="I2289" s="2">
        <v>163001</v>
      </c>
      <c r="J2289" s="2" t="s">
        <v>3892</v>
      </c>
      <c r="K2289" s="2" t="s">
        <v>3894</v>
      </c>
      <c r="L2289" s="2">
        <v>2023</v>
      </c>
      <c r="M2289" s="2">
        <v>355570</v>
      </c>
      <c r="N2289" s="2">
        <f xml:space="preserve"> (Table1[[#This Row],[Variance (USD)]] / Table1[[#This Row],[Actual Spending (USD)]]) * 100</f>
        <v>218.13976601370544</v>
      </c>
      <c r="O2289" s="5" t="s">
        <v>3897</v>
      </c>
    </row>
    <row r="2290" spans="1:15" x14ac:dyDescent="0.25">
      <c r="A2290" s="4" t="s">
        <v>2303</v>
      </c>
      <c r="B2290" s="2" t="s">
        <v>3095</v>
      </c>
      <c r="C2290" s="2" t="s">
        <v>3874</v>
      </c>
      <c r="D2290" s="2" t="s">
        <v>3880</v>
      </c>
      <c r="E2290" s="3">
        <v>45228</v>
      </c>
      <c r="F2290" s="3">
        <v>45971</v>
      </c>
      <c r="G2290" s="2" t="s">
        <v>3884</v>
      </c>
      <c r="H2290" s="2">
        <v>819129</v>
      </c>
      <c r="I2290" s="2">
        <v>540452</v>
      </c>
      <c r="J2290" s="2" t="s">
        <v>3892</v>
      </c>
      <c r="K2290" s="2" t="s">
        <v>3893</v>
      </c>
      <c r="L2290" s="2">
        <v>2023</v>
      </c>
      <c r="M2290" s="2">
        <v>278677</v>
      </c>
      <c r="N2290" s="2">
        <f xml:space="preserve"> (Table1[[#This Row],[Variance (USD)]] / Table1[[#This Row],[Actual Spending (USD)]]) * 100</f>
        <v>51.563691132607524</v>
      </c>
      <c r="O2290" s="5" t="s">
        <v>3897</v>
      </c>
    </row>
    <row r="2291" spans="1:15" x14ac:dyDescent="0.25">
      <c r="A2291" s="4" t="s">
        <v>2304</v>
      </c>
      <c r="B2291" s="2" t="s">
        <v>3047</v>
      </c>
      <c r="C2291" s="2" t="s">
        <v>3869</v>
      </c>
      <c r="D2291" s="2" t="s">
        <v>3876</v>
      </c>
      <c r="E2291" s="3">
        <v>45318</v>
      </c>
      <c r="F2291" s="3">
        <v>45342</v>
      </c>
      <c r="G2291" s="2" t="s">
        <v>3886</v>
      </c>
      <c r="H2291" s="2">
        <v>829276</v>
      </c>
      <c r="I2291" s="2">
        <v>935954</v>
      </c>
      <c r="J2291" s="2" t="s">
        <v>3888</v>
      </c>
      <c r="K2291" s="2" t="s">
        <v>3895</v>
      </c>
      <c r="L2291" s="2">
        <v>2023</v>
      </c>
      <c r="M2291" s="2">
        <v>-106678</v>
      </c>
      <c r="N2291" s="2">
        <f xml:space="preserve"> (Table1[[#This Row],[Variance (USD)]] / Table1[[#This Row],[Actual Spending (USD)]]) * 100</f>
        <v>-11.397782369646372</v>
      </c>
      <c r="O2291" s="5" t="s">
        <v>3899</v>
      </c>
    </row>
    <row r="2292" spans="1:15" x14ac:dyDescent="0.25">
      <c r="A2292" s="4" t="s">
        <v>2305</v>
      </c>
      <c r="B2292" s="2" t="s">
        <v>3048</v>
      </c>
      <c r="C2292" s="2" t="s">
        <v>3869</v>
      </c>
      <c r="D2292" s="2" t="s">
        <v>3881</v>
      </c>
      <c r="E2292" s="3">
        <v>45448</v>
      </c>
      <c r="F2292" s="3">
        <v>45296</v>
      </c>
      <c r="G2292" s="2" t="s">
        <v>3886</v>
      </c>
      <c r="H2292" s="2">
        <v>640301</v>
      </c>
      <c r="I2292" s="2">
        <v>914847</v>
      </c>
      <c r="J2292" s="2" t="s">
        <v>3891</v>
      </c>
      <c r="K2292" s="2" t="s">
        <v>3893</v>
      </c>
      <c r="L2292" s="2">
        <v>2024</v>
      </c>
      <c r="M2292" s="2">
        <v>-274546</v>
      </c>
      <c r="N2292" s="2">
        <f xml:space="preserve"> (Table1[[#This Row],[Variance (USD)]] / Table1[[#This Row],[Actual Spending (USD)]]) * 100</f>
        <v>-30.010045395568874</v>
      </c>
      <c r="O2292" s="5" t="s">
        <v>3899</v>
      </c>
    </row>
    <row r="2293" spans="1:15" x14ac:dyDescent="0.25">
      <c r="A2293" s="4" t="s">
        <v>2306</v>
      </c>
      <c r="B2293" s="2" t="s">
        <v>3666</v>
      </c>
      <c r="C2293" s="2" t="s">
        <v>3872</v>
      </c>
      <c r="D2293" s="2" t="s">
        <v>3880</v>
      </c>
      <c r="E2293" s="3">
        <v>45295</v>
      </c>
      <c r="F2293" s="3">
        <v>45880</v>
      </c>
      <c r="G2293" s="2" t="s">
        <v>3885</v>
      </c>
      <c r="H2293" s="2">
        <v>896454</v>
      </c>
      <c r="I2293" s="2">
        <v>926147</v>
      </c>
      <c r="J2293" s="2" t="s">
        <v>3889</v>
      </c>
      <c r="K2293" s="2" t="s">
        <v>3894</v>
      </c>
      <c r="L2293" s="2">
        <v>2023</v>
      </c>
      <c r="M2293" s="2">
        <v>-29693</v>
      </c>
      <c r="N2293" s="2">
        <f xml:space="preserve"> (Table1[[#This Row],[Variance (USD)]] / Table1[[#This Row],[Actual Spending (USD)]]) * 100</f>
        <v>-3.2060785166933545</v>
      </c>
      <c r="O2293" s="5" t="s">
        <v>3898</v>
      </c>
    </row>
    <row r="2294" spans="1:15" x14ac:dyDescent="0.25">
      <c r="A2294" s="4" t="s">
        <v>2307</v>
      </c>
      <c r="B2294" s="2" t="s">
        <v>3536</v>
      </c>
      <c r="C2294" s="2" t="s">
        <v>3871</v>
      </c>
      <c r="D2294" s="2" t="s">
        <v>3883</v>
      </c>
      <c r="E2294" s="3">
        <v>45159</v>
      </c>
      <c r="F2294" s="3">
        <v>45451</v>
      </c>
      <c r="G2294" s="2" t="s">
        <v>3885</v>
      </c>
      <c r="H2294" s="2">
        <v>714266</v>
      </c>
      <c r="I2294" s="2">
        <v>152636</v>
      </c>
      <c r="J2294" s="2" t="s">
        <v>3892</v>
      </c>
      <c r="K2294" s="2" t="s">
        <v>3894</v>
      </c>
      <c r="L2294" s="2">
        <v>2025</v>
      </c>
      <c r="M2294" s="2">
        <v>561630</v>
      </c>
      <c r="N2294" s="2">
        <f xml:space="preserve"> (Table1[[#This Row],[Variance (USD)]] / Table1[[#This Row],[Actual Spending (USD)]]) * 100</f>
        <v>367.95382478576482</v>
      </c>
      <c r="O2294" s="5" t="s">
        <v>3898</v>
      </c>
    </row>
    <row r="2295" spans="1:15" x14ac:dyDescent="0.25">
      <c r="A2295" s="4" t="s">
        <v>2308</v>
      </c>
      <c r="B2295" s="2" t="s">
        <v>3831</v>
      </c>
      <c r="C2295" s="2" t="s">
        <v>3870</v>
      </c>
      <c r="D2295" s="2" t="s">
        <v>3883</v>
      </c>
      <c r="E2295" s="3">
        <v>45121</v>
      </c>
      <c r="F2295" s="3">
        <v>45499</v>
      </c>
      <c r="G2295" s="2" t="s">
        <v>3886</v>
      </c>
      <c r="H2295" s="2">
        <v>715228</v>
      </c>
      <c r="I2295" s="2">
        <v>1089692</v>
      </c>
      <c r="J2295" s="2" t="s">
        <v>3889</v>
      </c>
      <c r="K2295" s="2" t="s">
        <v>3896</v>
      </c>
      <c r="L2295" s="2">
        <v>2023</v>
      </c>
      <c r="M2295" s="2">
        <v>-374464</v>
      </c>
      <c r="N2295" s="2">
        <f xml:space="preserve"> (Table1[[#This Row],[Variance (USD)]] / Table1[[#This Row],[Actual Spending (USD)]]) * 100</f>
        <v>-34.364205665454087</v>
      </c>
      <c r="O2295" s="5" t="s">
        <v>3899</v>
      </c>
    </row>
    <row r="2296" spans="1:15" x14ac:dyDescent="0.25">
      <c r="A2296" s="4" t="s">
        <v>2309</v>
      </c>
      <c r="B2296" s="2" t="s">
        <v>3410</v>
      </c>
      <c r="C2296" s="2" t="s">
        <v>3873</v>
      </c>
      <c r="D2296" s="2" t="s">
        <v>3877</v>
      </c>
      <c r="E2296" s="3">
        <v>44938</v>
      </c>
      <c r="F2296" s="3">
        <v>45548</v>
      </c>
      <c r="G2296" s="2" t="s">
        <v>3884</v>
      </c>
      <c r="H2296" s="2">
        <v>592834</v>
      </c>
      <c r="I2296" s="2">
        <v>459111</v>
      </c>
      <c r="J2296" s="2" t="s">
        <v>3889</v>
      </c>
      <c r="K2296" s="2" t="s">
        <v>3895</v>
      </c>
      <c r="L2296" s="2">
        <v>2023</v>
      </c>
      <c r="M2296" s="2">
        <v>133723</v>
      </c>
      <c r="N2296" s="2">
        <f xml:space="preserve"> (Table1[[#This Row],[Variance (USD)]] / Table1[[#This Row],[Actual Spending (USD)]]) * 100</f>
        <v>29.126507533036673</v>
      </c>
      <c r="O2296" s="5" t="s">
        <v>3897</v>
      </c>
    </row>
    <row r="2297" spans="1:15" x14ac:dyDescent="0.25">
      <c r="A2297" s="4" t="s">
        <v>2310</v>
      </c>
      <c r="B2297" s="2" t="s">
        <v>3832</v>
      </c>
      <c r="C2297" s="2" t="s">
        <v>3871</v>
      </c>
      <c r="D2297" s="2" t="s">
        <v>3877</v>
      </c>
      <c r="E2297" s="3">
        <v>45615</v>
      </c>
      <c r="F2297" s="3">
        <v>45496</v>
      </c>
      <c r="G2297" s="2" t="s">
        <v>3884</v>
      </c>
      <c r="H2297" s="2">
        <v>148812</v>
      </c>
      <c r="I2297" s="2">
        <v>578155</v>
      </c>
      <c r="J2297" s="2" t="s">
        <v>3890</v>
      </c>
      <c r="K2297" s="2" t="s">
        <v>3893</v>
      </c>
      <c r="L2297" s="2">
        <v>2025</v>
      </c>
      <c r="M2297" s="2">
        <v>-429343</v>
      </c>
      <c r="N2297" s="2">
        <f xml:space="preserve"> (Table1[[#This Row],[Variance (USD)]] / Table1[[#This Row],[Actual Spending (USD)]]) * 100</f>
        <v>-74.260881597495469</v>
      </c>
      <c r="O2297" s="5" t="s">
        <v>3897</v>
      </c>
    </row>
    <row r="2298" spans="1:15" x14ac:dyDescent="0.25">
      <c r="A2298" s="4" t="s">
        <v>2311</v>
      </c>
      <c r="B2298" s="2" t="s">
        <v>3058</v>
      </c>
      <c r="C2298" s="2" t="s">
        <v>3870</v>
      </c>
      <c r="D2298" s="2" t="s">
        <v>3882</v>
      </c>
      <c r="E2298" s="3">
        <v>45103</v>
      </c>
      <c r="F2298" s="3">
        <v>45302</v>
      </c>
      <c r="G2298" s="2" t="s">
        <v>3884</v>
      </c>
      <c r="H2298" s="2">
        <v>647143</v>
      </c>
      <c r="I2298" s="2">
        <v>925939</v>
      </c>
      <c r="J2298" s="2" t="s">
        <v>3890</v>
      </c>
      <c r="K2298" s="2" t="s">
        <v>3895</v>
      </c>
      <c r="L2298" s="2">
        <v>2023</v>
      </c>
      <c r="M2298" s="2">
        <v>-278796</v>
      </c>
      <c r="N2298" s="2">
        <f xml:space="preserve"> (Table1[[#This Row],[Variance (USD)]] / Table1[[#This Row],[Actual Spending (USD)]]) * 100</f>
        <v>-30.109542853254911</v>
      </c>
      <c r="O2298" s="5" t="s">
        <v>3897</v>
      </c>
    </row>
    <row r="2299" spans="1:15" x14ac:dyDescent="0.25">
      <c r="A2299" s="4" t="s">
        <v>2312</v>
      </c>
      <c r="B2299" s="2" t="s">
        <v>3759</v>
      </c>
      <c r="C2299" s="2" t="s">
        <v>3873</v>
      </c>
      <c r="D2299" s="2" t="s">
        <v>3882</v>
      </c>
      <c r="E2299" s="3">
        <v>45143</v>
      </c>
      <c r="F2299" s="3">
        <v>45299</v>
      </c>
      <c r="G2299" s="2" t="s">
        <v>3884</v>
      </c>
      <c r="H2299" s="2">
        <v>607437</v>
      </c>
      <c r="I2299" s="2">
        <v>357716</v>
      </c>
      <c r="J2299" s="2" t="s">
        <v>3892</v>
      </c>
      <c r="K2299" s="2" t="s">
        <v>3895</v>
      </c>
      <c r="L2299" s="2">
        <v>2023</v>
      </c>
      <c r="M2299" s="2">
        <v>249721</v>
      </c>
      <c r="N2299" s="2">
        <f xml:space="preserve"> (Table1[[#This Row],[Variance (USD)]] / Table1[[#This Row],[Actual Spending (USD)]]) * 100</f>
        <v>69.80984915407754</v>
      </c>
      <c r="O2299" s="5" t="s">
        <v>3897</v>
      </c>
    </row>
    <row r="2300" spans="1:15" x14ac:dyDescent="0.25">
      <c r="A2300" s="4" t="s">
        <v>2313</v>
      </c>
      <c r="B2300" s="2" t="s">
        <v>3077</v>
      </c>
      <c r="C2300" s="2" t="s">
        <v>3871</v>
      </c>
      <c r="D2300" s="2" t="s">
        <v>3881</v>
      </c>
      <c r="E2300" s="3">
        <v>44937</v>
      </c>
      <c r="F2300" s="3">
        <v>45700</v>
      </c>
      <c r="G2300" s="2" t="s">
        <v>3886</v>
      </c>
      <c r="H2300" s="2">
        <v>425735</v>
      </c>
      <c r="I2300" s="2">
        <v>488450</v>
      </c>
      <c r="J2300" s="2" t="s">
        <v>3889</v>
      </c>
      <c r="K2300" s="2" t="s">
        <v>3893</v>
      </c>
      <c r="L2300" s="2">
        <v>2023</v>
      </c>
      <c r="M2300" s="2">
        <v>-62715</v>
      </c>
      <c r="N2300" s="2">
        <f xml:space="preserve"> (Table1[[#This Row],[Variance (USD)]] / Table1[[#This Row],[Actual Spending (USD)]]) * 100</f>
        <v>-12.839594636093764</v>
      </c>
      <c r="O2300" s="5" t="s">
        <v>3899</v>
      </c>
    </row>
    <row r="2301" spans="1:15" x14ac:dyDescent="0.25">
      <c r="A2301" s="4" t="s">
        <v>2314</v>
      </c>
      <c r="B2301" s="2" t="s">
        <v>3458</v>
      </c>
      <c r="C2301" s="2" t="s">
        <v>3869</v>
      </c>
      <c r="D2301" s="2" t="s">
        <v>3878</v>
      </c>
      <c r="E2301" s="3">
        <v>45372</v>
      </c>
      <c r="F2301" s="3">
        <v>45323</v>
      </c>
      <c r="G2301" s="2" t="s">
        <v>3886</v>
      </c>
      <c r="H2301" s="2">
        <v>248453</v>
      </c>
      <c r="I2301" s="2">
        <v>1162324</v>
      </c>
      <c r="J2301" s="2" t="s">
        <v>3890</v>
      </c>
      <c r="K2301" s="2" t="s">
        <v>3894</v>
      </c>
      <c r="L2301" s="2">
        <v>2023</v>
      </c>
      <c r="M2301" s="2">
        <v>-913871</v>
      </c>
      <c r="N2301" s="2">
        <f xml:space="preserve"> (Table1[[#This Row],[Variance (USD)]] / Table1[[#This Row],[Actual Spending (USD)]]) * 100</f>
        <v>-78.624462714355033</v>
      </c>
      <c r="O2301" s="5" t="s">
        <v>3899</v>
      </c>
    </row>
    <row r="2302" spans="1:15" x14ac:dyDescent="0.25">
      <c r="A2302" s="4" t="s">
        <v>2315</v>
      </c>
      <c r="B2302" s="2" t="s">
        <v>3739</v>
      </c>
      <c r="C2302" s="2" t="s">
        <v>3869</v>
      </c>
      <c r="D2302" s="2" t="s">
        <v>3876</v>
      </c>
      <c r="E2302" s="3">
        <v>45556</v>
      </c>
      <c r="F2302" s="3">
        <v>45831</v>
      </c>
      <c r="G2302" s="2" t="s">
        <v>3884</v>
      </c>
      <c r="H2302" s="2">
        <v>729044</v>
      </c>
      <c r="I2302" s="2">
        <v>172324</v>
      </c>
      <c r="J2302" s="2" t="s">
        <v>3891</v>
      </c>
      <c r="K2302" s="2" t="s">
        <v>3895</v>
      </c>
      <c r="L2302" s="2">
        <v>2024</v>
      </c>
      <c r="M2302" s="2">
        <v>556720</v>
      </c>
      <c r="N2302" s="2">
        <f xml:space="preserve"> (Table1[[#This Row],[Variance (USD)]] / Table1[[#This Row],[Actual Spending (USD)]]) * 100</f>
        <v>323.06585269608411</v>
      </c>
      <c r="O2302" s="5" t="s">
        <v>3897</v>
      </c>
    </row>
    <row r="2303" spans="1:15" x14ac:dyDescent="0.25">
      <c r="A2303" s="4" t="s">
        <v>2316</v>
      </c>
      <c r="B2303" s="2" t="s">
        <v>3624</v>
      </c>
      <c r="C2303" s="2" t="s">
        <v>3874</v>
      </c>
      <c r="D2303" s="2" t="s">
        <v>3881</v>
      </c>
      <c r="E2303" s="3">
        <v>45090</v>
      </c>
      <c r="F2303" s="3">
        <v>46009</v>
      </c>
      <c r="G2303" s="2" t="s">
        <v>3885</v>
      </c>
      <c r="H2303" s="2">
        <v>342002</v>
      </c>
      <c r="I2303" s="2">
        <v>115261</v>
      </c>
      <c r="J2303" s="2" t="s">
        <v>3891</v>
      </c>
      <c r="K2303" s="2" t="s">
        <v>3896</v>
      </c>
      <c r="L2303" s="2">
        <v>2023</v>
      </c>
      <c r="M2303" s="2">
        <v>226741</v>
      </c>
      <c r="N2303" s="2">
        <f xml:space="preserve"> (Table1[[#This Row],[Variance (USD)]] / Table1[[#This Row],[Actual Spending (USD)]]) * 100</f>
        <v>196.71961895177031</v>
      </c>
      <c r="O2303" s="5" t="s">
        <v>3898</v>
      </c>
    </row>
    <row r="2304" spans="1:15" x14ac:dyDescent="0.25">
      <c r="A2304" s="4" t="s">
        <v>2317</v>
      </c>
      <c r="B2304" s="2" t="s">
        <v>3644</v>
      </c>
      <c r="C2304" s="2" t="s">
        <v>3868</v>
      </c>
      <c r="D2304" s="2" t="s">
        <v>3876</v>
      </c>
      <c r="E2304" s="3">
        <v>45477</v>
      </c>
      <c r="F2304" s="3">
        <v>45678</v>
      </c>
      <c r="G2304" s="2" t="s">
        <v>3884</v>
      </c>
      <c r="H2304" s="2">
        <v>95330</v>
      </c>
      <c r="I2304" s="2">
        <v>954510</v>
      </c>
      <c r="J2304" s="2" t="s">
        <v>3891</v>
      </c>
      <c r="K2304" s="2" t="s">
        <v>3895</v>
      </c>
      <c r="L2304" s="2">
        <v>2025</v>
      </c>
      <c r="M2304" s="2">
        <v>-859180</v>
      </c>
      <c r="N2304" s="2">
        <f xml:space="preserve"> (Table1[[#This Row],[Variance (USD)]] / Table1[[#This Row],[Actual Spending (USD)]]) * 100</f>
        <v>-90.01267666132361</v>
      </c>
      <c r="O2304" s="5" t="s">
        <v>3897</v>
      </c>
    </row>
    <row r="2305" spans="1:15" x14ac:dyDescent="0.25">
      <c r="A2305" s="4" t="s">
        <v>2318</v>
      </c>
      <c r="B2305" s="2" t="s">
        <v>3525</v>
      </c>
      <c r="C2305" s="2" t="s">
        <v>3874</v>
      </c>
      <c r="D2305" s="2" t="s">
        <v>3877</v>
      </c>
      <c r="E2305" s="3">
        <v>44979</v>
      </c>
      <c r="F2305" s="3">
        <v>45519</v>
      </c>
      <c r="G2305" s="2" t="s">
        <v>3884</v>
      </c>
      <c r="H2305" s="2">
        <v>829340</v>
      </c>
      <c r="I2305" s="2">
        <v>798731</v>
      </c>
      <c r="J2305" s="2" t="s">
        <v>3891</v>
      </c>
      <c r="K2305" s="2" t="s">
        <v>3894</v>
      </c>
      <c r="L2305" s="2">
        <v>2025</v>
      </c>
      <c r="M2305" s="2">
        <v>30609</v>
      </c>
      <c r="N2305" s="2">
        <f xml:space="preserve"> (Table1[[#This Row],[Variance (USD)]] / Table1[[#This Row],[Actual Spending (USD)]]) * 100</f>
        <v>3.8322038333306203</v>
      </c>
      <c r="O2305" s="5" t="s">
        <v>3897</v>
      </c>
    </row>
    <row r="2306" spans="1:15" x14ac:dyDescent="0.25">
      <c r="A2306" s="4" t="s">
        <v>2319</v>
      </c>
      <c r="B2306" s="2" t="s">
        <v>3197</v>
      </c>
      <c r="C2306" s="2" t="s">
        <v>3875</v>
      </c>
      <c r="D2306" s="2" t="s">
        <v>3883</v>
      </c>
      <c r="E2306" s="3">
        <v>45144</v>
      </c>
      <c r="F2306" s="3">
        <v>45931</v>
      </c>
      <c r="G2306" s="2" t="s">
        <v>3886</v>
      </c>
      <c r="H2306" s="2">
        <v>764564</v>
      </c>
      <c r="I2306" s="2">
        <v>250667</v>
      </c>
      <c r="J2306" s="2" t="s">
        <v>3889</v>
      </c>
      <c r="K2306" s="2" t="s">
        <v>3896</v>
      </c>
      <c r="L2306" s="2">
        <v>2024</v>
      </c>
      <c r="M2306" s="2">
        <v>513897</v>
      </c>
      <c r="N2306" s="2">
        <f xml:space="preserve"> (Table1[[#This Row],[Variance (USD)]] / Table1[[#This Row],[Actual Spending (USD)]]) * 100</f>
        <v>205.01182844171751</v>
      </c>
      <c r="O2306" s="5" t="s">
        <v>3899</v>
      </c>
    </row>
    <row r="2307" spans="1:15" x14ac:dyDescent="0.25">
      <c r="A2307" s="4" t="s">
        <v>2320</v>
      </c>
      <c r="B2307" s="2" t="s">
        <v>3024</v>
      </c>
      <c r="C2307" s="2" t="s">
        <v>3874</v>
      </c>
      <c r="D2307" s="2" t="s">
        <v>3877</v>
      </c>
      <c r="E2307" s="3">
        <v>45644</v>
      </c>
      <c r="F2307" s="3">
        <v>45766</v>
      </c>
      <c r="G2307" s="2" t="s">
        <v>3884</v>
      </c>
      <c r="H2307" s="2">
        <v>404347</v>
      </c>
      <c r="I2307" s="2">
        <v>586459</v>
      </c>
      <c r="J2307" s="2" t="s">
        <v>3891</v>
      </c>
      <c r="K2307" s="2" t="s">
        <v>3896</v>
      </c>
      <c r="L2307" s="2">
        <v>2023</v>
      </c>
      <c r="M2307" s="2">
        <v>-182112</v>
      </c>
      <c r="N2307" s="2">
        <f xml:space="preserve"> (Table1[[#This Row],[Variance (USD)]] / Table1[[#This Row],[Actual Spending (USD)]]) * 100</f>
        <v>-31.052810170872984</v>
      </c>
      <c r="O2307" s="5" t="s">
        <v>3897</v>
      </c>
    </row>
    <row r="2308" spans="1:15" x14ac:dyDescent="0.25">
      <c r="A2308" s="4" t="s">
        <v>2321</v>
      </c>
      <c r="B2308" s="2" t="s">
        <v>3270</v>
      </c>
      <c r="C2308" s="2" t="s">
        <v>3870</v>
      </c>
      <c r="D2308" s="2" t="s">
        <v>3883</v>
      </c>
      <c r="E2308" s="3">
        <v>45286</v>
      </c>
      <c r="F2308" s="3">
        <v>46015</v>
      </c>
      <c r="G2308" s="2" t="s">
        <v>3884</v>
      </c>
      <c r="H2308" s="2">
        <v>337437</v>
      </c>
      <c r="I2308" s="2">
        <v>185346</v>
      </c>
      <c r="J2308" s="2" t="s">
        <v>3889</v>
      </c>
      <c r="K2308" s="2" t="s">
        <v>3896</v>
      </c>
      <c r="L2308" s="2">
        <v>2025</v>
      </c>
      <c r="M2308" s="2">
        <v>152091</v>
      </c>
      <c r="N2308" s="2">
        <f xml:space="preserve"> (Table1[[#This Row],[Variance (USD)]] / Table1[[#This Row],[Actual Spending (USD)]]) * 100</f>
        <v>82.057880936195005</v>
      </c>
      <c r="O2308" s="5" t="s">
        <v>3897</v>
      </c>
    </row>
    <row r="2309" spans="1:15" x14ac:dyDescent="0.25">
      <c r="A2309" s="4" t="s">
        <v>2322</v>
      </c>
      <c r="B2309" s="2" t="s">
        <v>3064</v>
      </c>
      <c r="C2309" s="2" t="s">
        <v>3872</v>
      </c>
      <c r="D2309" s="2" t="s">
        <v>3882</v>
      </c>
      <c r="E2309" s="3">
        <v>45311</v>
      </c>
      <c r="F2309" s="3">
        <v>45498</v>
      </c>
      <c r="G2309" s="2" t="s">
        <v>3884</v>
      </c>
      <c r="H2309" s="2">
        <v>893301</v>
      </c>
      <c r="I2309" s="2">
        <v>581936</v>
      </c>
      <c r="J2309" s="2" t="s">
        <v>3892</v>
      </c>
      <c r="K2309" s="2" t="s">
        <v>3896</v>
      </c>
      <c r="L2309" s="2">
        <v>2024</v>
      </c>
      <c r="M2309" s="2">
        <v>311365</v>
      </c>
      <c r="N2309" s="2">
        <f xml:space="preserve"> (Table1[[#This Row],[Variance (USD)]] / Table1[[#This Row],[Actual Spending (USD)]]) * 100</f>
        <v>53.50502460751698</v>
      </c>
      <c r="O2309" s="5" t="s">
        <v>3897</v>
      </c>
    </row>
    <row r="2310" spans="1:15" x14ac:dyDescent="0.25">
      <c r="A2310" s="4" t="s">
        <v>2323</v>
      </c>
      <c r="B2310" s="2" t="s">
        <v>3321</v>
      </c>
      <c r="C2310" s="2" t="s">
        <v>3871</v>
      </c>
      <c r="D2310" s="2" t="s">
        <v>3881</v>
      </c>
      <c r="E2310" s="3">
        <v>44982</v>
      </c>
      <c r="F2310" s="3">
        <v>45609</v>
      </c>
      <c r="G2310" s="2" t="s">
        <v>3884</v>
      </c>
      <c r="H2310" s="2">
        <v>926861</v>
      </c>
      <c r="I2310" s="2">
        <v>361798</v>
      </c>
      <c r="J2310" s="2" t="s">
        <v>3892</v>
      </c>
      <c r="K2310" s="2" t="s">
        <v>3893</v>
      </c>
      <c r="L2310" s="2">
        <v>2023</v>
      </c>
      <c r="M2310" s="2">
        <v>565063</v>
      </c>
      <c r="N2310" s="2">
        <f xml:space="preserve"> (Table1[[#This Row],[Variance (USD)]] / Table1[[#This Row],[Actual Spending (USD)]]) * 100</f>
        <v>156.18190260863798</v>
      </c>
      <c r="O2310" s="5" t="s">
        <v>3897</v>
      </c>
    </row>
    <row r="2311" spans="1:15" x14ac:dyDescent="0.25">
      <c r="A2311" s="4" t="s">
        <v>2324</v>
      </c>
      <c r="B2311" s="2" t="s">
        <v>3707</v>
      </c>
      <c r="C2311" s="2" t="s">
        <v>3872</v>
      </c>
      <c r="D2311" s="2" t="s">
        <v>3882</v>
      </c>
      <c r="E2311" s="3">
        <v>45044</v>
      </c>
      <c r="F2311" s="3">
        <v>45848</v>
      </c>
      <c r="G2311" s="2" t="s">
        <v>3886</v>
      </c>
      <c r="H2311" s="2">
        <v>185701</v>
      </c>
      <c r="I2311" s="2">
        <v>287471</v>
      </c>
      <c r="J2311" s="2" t="s">
        <v>3891</v>
      </c>
      <c r="K2311" s="2" t="s">
        <v>3893</v>
      </c>
      <c r="L2311" s="2">
        <v>2024</v>
      </c>
      <c r="M2311" s="2">
        <v>-101770</v>
      </c>
      <c r="N2311" s="2">
        <f xml:space="preserve"> (Table1[[#This Row],[Variance (USD)]] / Table1[[#This Row],[Actual Spending (USD)]]) * 100</f>
        <v>-35.401831836950507</v>
      </c>
      <c r="O2311" s="5" t="s">
        <v>3899</v>
      </c>
    </row>
    <row r="2312" spans="1:15" x14ac:dyDescent="0.25">
      <c r="A2312" s="4" t="s">
        <v>2325</v>
      </c>
      <c r="B2312" s="2" t="s">
        <v>3371</v>
      </c>
      <c r="C2312" s="2" t="s">
        <v>3868</v>
      </c>
      <c r="D2312" s="2" t="s">
        <v>3883</v>
      </c>
      <c r="E2312" s="3">
        <v>45179</v>
      </c>
      <c r="F2312" s="3">
        <v>45908</v>
      </c>
      <c r="G2312" s="2" t="s">
        <v>3885</v>
      </c>
      <c r="H2312" s="2">
        <v>55704</v>
      </c>
      <c r="I2312" s="2">
        <v>239691</v>
      </c>
      <c r="J2312" s="2" t="s">
        <v>3891</v>
      </c>
      <c r="K2312" s="2" t="s">
        <v>3893</v>
      </c>
      <c r="L2312" s="2">
        <v>2023</v>
      </c>
      <c r="M2312" s="2">
        <v>-183987</v>
      </c>
      <c r="N2312" s="2">
        <f xml:space="preserve"> (Table1[[#This Row],[Variance (USD)]] / Table1[[#This Row],[Actual Spending (USD)]]) * 100</f>
        <v>-76.760078601199041</v>
      </c>
      <c r="O2312" s="5" t="s">
        <v>3898</v>
      </c>
    </row>
    <row r="2313" spans="1:15" x14ac:dyDescent="0.25">
      <c r="A2313" s="4" t="s">
        <v>2326</v>
      </c>
      <c r="B2313" s="2" t="s">
        <v>3506</v>
      </c>
      <c r="C2313" s="2" t="s">
        <v>3875</v>
      </c>
      <c r="D2313" s="2" t="s">
        <v>3877</v>
      </c>
      <c r="E2313" s="3">
        <v>45106</v>
      </c>
      <c r="F2313" s="3">
        <v>45639</v>
      </c>
      <c r="G2313" s="2" t="s">
        <v>3884</v>
      </c>
      <c r="H2313" s="2">
        <v>182848</v>
      </c>
      <c r="I2313" s="2">
        <v>79647</v>
      </c>
      <c r="J2313" s="2" t="s">
        <v>3891</v>
      </c>
      <c r="K2313" s="2" t="s">
        <v>3896</v>
      </c>
      <c r="L2313" s="2">
        <v>2024</v>
      </c>
      <c r="M2313" s="2">
        <v>103201</v>
      </c>
      <c r="N2313" s="2">
        <f xml:space="preserve"> (Table1[[#This Row],[Variance (USD)]] / Table1[[#This Row],[Actual Spending (USD)]]) * 100</f>
        <v>129.57299082200208</v>
      </c>
      <c r="O2313" s="5" t="s">
        <v>3897</v>
      </c>
    </row>
    <row r="2314" spans="1:15" x14ac:dyDescent="0.25">
      <c r="A2314" s="4" t="s">
        <v>2327</v>
      </c>
      <c r="B2314" s="2" t="s">
        <v>3642</v>
      </c>
      <c r="C2314" s="2" t="s">
        <v>3871</v>
      </c>
      <c r="D2314" s="2" t="s">
        <v>3882</v>
      </c>
      <c r="E2314" s="3">
        <v>45341</v>
      </c>
      <c r="F2314" s="3">
        <v>45525</v>
      </c>
      <c r="G2314" s="2" t="s">
        <v>3884</v>
      </c>
      <c r="H2314" s="2">
        <v>238327</v>
      </c>
      <c r="I2314" s="2">
        <v>501939</v>
      </c>
      <c r="J2314" s="2" t="s">
        <v>3892</v>
      </c>
      <c r="K2314" s="2" t="s">
        <v>3894</v>
      </c>
      <c r="L2314" s="2">
        <v>2024</v>
      </c>
      <c r="M2314" s="2">
        <v>-263612</v>
      </c>
      <c r="N2314" s="2">
        <f xml:space="preserve"> (Table1[[#This Row],[Variance (USD)]] / Table1[[#This Row],[Actual Spending (USD)]]) * 100</f>
        <v>-52.518732355923724</v>
      </c>
      <c r="O2314" s="5" t="s">
        <v>3897</v>
      </c>
    </row>
    <row r="2315" spans="1:15" x14ac:dyDescent="0.25">
      <c r="A2315" s="4" t="s">
        <v>2328</v>
      </c>
      <c r="B2315" s="2" t="s">
        <v>3036</v>
      </c>
      <c r="C2315" s="2" t="s">
        <v>3873</v>
      </c>
      <c r="D2315" s="2" t="s">
        <v>3879</v>
      </c>
      <c r="E2315" s="3">
        <v>45161</v>
      </c>
      <c r="F2315" s="3">
        <v>45992</v>
      </c>
      <c r="G2315" s="2" t="s">
        <v>3886</v>
      </c>
      <c r="H2315" s="2">
        <v>622569</v>
      </c>
      <c r="I2315" s="2">
        <v>982254</v>
      </c>
      <c r="J2315" s="2" t="s">
        <v>3890</v>
      </c>
      <c r="K2315" s="2" t="s">
        <v>3895</v>
      </c>
      <c r="L2315" s="2">
        <v>2025</v>
      </c>
      <c r="M2315" s="2">
        <v>-359685</v>
      </c>
      <c r="N2315" s="2">
        <f xml:space="preserve"> (Table1[[#This Row],[Variance (USD)]] / Table1[[#This Row],[Actual Spending (USD)]]) * 100</f>
        <v>-36.618328864020917</v>
      </c>
      <c r="O2315" s="5" t="s">
        <v>3899</v>
      </c>
    </row>
    <row r="2316" spans="1:15" x14ac:dyDescent="0.25">
      <c r="A2316" s="4" t="s">
        <v>2329</v>
      </c>
      <c r="B2316" s="2" t="s">
        <v>3481</v>
      </c>
      <c r="C2316" s="2" t="s">
        <v>3870</v>
      </c>
      <c r="D2316" s="2" t="s">
        <v>3876</v>
      </c>
      <c r="E2316" s="3">
        <v>45634</v>
      </c>
      <c r="F2316" s="3">
        <v>45335</v>
      </c>
      <c r="G2316" s="2" t="s">
        <v>3885</v>
      </c>
      <c r="H2316" s="2">
        <v>691260</v>
      </c>
      <c r="I2316" s="2">
        <v>414560</v>
      </c>
      <c r="J2316" s="2" t="s">
        <v>3892</v>
      </c>
      <c r="K2316" s="2" t="s">
        <v>3896</v>
      </c>
      <c r="L2316" s="2">
        <v>2025</v>
      </c>
      <c r="M2316" s="2">
        <v>276700</v>
      </c>
      <c r="N2316" s="2">
        <f xml:space="preserve"> (Table1[[#This Row],[Variance (USD)]] / Table1[[#This Row],[Actual Spending (USD)]]) * 100</f>
        <v>66.745465071401</v>
      </c>
      <c r="O2316" s="5" t="s">
        <v>3898</v>
      </c>
    </row>
    <row r="2317" spans="1:15" x14ac:dyDescent="0.25">
      <c r="A2317" s="4" t="s">
        <v>2330</v>
      </c>
      <c r="B2317" s="2" t="s">
        <v>3354</v>
      </c>
      <c r="C2317" s="2" t="s">
        <v>3875</v>
      </c>
      <c r="D2317" s="2" t="s">
        <v>3880</v>
      </c>
      <c r="E2317" s="3">
        <v>45006</v>
      </c>
      <c r="F2317" s="3">
        <v>45433</v>
      </c>
      <c r="G2317" s="2" t="s">
        <v>3884</v>
      </c>
      <c r="H2317" s="2">
        <v>163532</v>
      </c>
      <c r="I2317" s="2">
        <v>1028958</v>
      </c>
      <c r="J2317" s="2" t="s">
        <v>3891</v>
      </c>
      <c r="K2317" s="2" t="s">
        <v>3894</v>
      </c>
      <c r="L2317" s="2">
        <v>2024</v>
      </c>
      <c r="M2317" s="2">
        <v>-865426</v>
      </c>
      <c r="N2317" s="2">
        <f xml:space="preserve"> (Table1[[#This Row],[Variance (USD)]] / Table1[[#This Row],[Actual Spending (USD)]]) * 100</f>
        <v>-84.10702866394935</v>
      </c>
      <c r="O2317" s="5" t="s">
        <v>3897</v>
      </c>
    </row>
    <row r="2318" spans="1:15" x14ac:dyDescent="0.25">
      <c r="A2318" s="4" t="s">
        <v>2331</v>
      </c>
      <c r="B2318" s="2" t="s">
        <v>3833</v>
      </c>
      <c r="C2318" s="2" t="s">
        <v>3869</v>
      </c>
      <c r="D2318" s="2" t="s">
        <v>3883</v>
      </c>
      <c r="E2318" s="3">
        <v>45573</v>
      </c>
      <c r="F2318" s="3">
        <v>45939</v>
      </c>
      <c r="G2318" s="2" t="s">
        <v>3884</v>
      </c>
      <c r="H2318" s="2">
        <v>474452</v>
      </c>
      <c r="I2318" s="2">
        <v>708514</v>
      </c>
      <c r="J2318" s="2" t="s">
        <v>3890</v>
      </c>
      <c r="K2318" s="2" t="s">
        <v>3895</v>
      </c>
      <c r="L2318" s="2">
        <v>2023</v>
      </c>
      <c r="M2318" s="2">
        <v>-234062</v>
      </c>
      <c r="N2318" s="2">
        <f xml:space="preserve"> (Table1[[#This Row],[Variance (USD)]] / Table1[[#This Row],[Actual Spending (USD)]]) * 100</f>
        <v>-33.035621032188494</v>
      </c>
      <c r="O2318" s="5" t="s">
        <v>3897</v>
      </c>
    </row>
    <row r="2319" spans="1:15" x14ac:dyDescent="0.25">
      <c r="A2319" s="4" t="s">
        <v>2332</v>
      </c>
      <c r="B2319" s="2" t="s">
        <v>3643</v>
      </c>
      <c r="C2319" s="2" t="s">
        <v>3868</v>
      </c>
      <c r="D2319" s="2" t="s">
        <v>3883</v>
      </c>
      <c r="E2319" s="3">
        <v>44948</v>
      </c>
      <c r="F2319" s="3">
        <v>45467</v>
      </c>
      <c r="G2319" s="2" t="s">
        <v>3886</v>
      </c>
      <c r="H2319" s="2">
        <v>116780</v>
      </c>
      <c r="I2319" s="2">
        <v>733526</v>
      </c>
      <c r="J2319" s="2" t="s">
        <v>3890</v>
      </c>
      <c r="K2319" s="2" t="s">
        <v>3896</v>
      </c>
      <c r="L2319" s="2">
        <v>2023</v>
      </c>
      <c r="M2319" s="2">
        <v>-616746</v>
      </c>
      <c r="N2319" s="2">
        <f xml:space="preserve"> (Table1[[#This Row],[Variance (USD)]] / Table1[[#This Row],[Actual Spending (USD)]]) * 100</f>
        <v>-84.079637258938334</v>
      </c>
      <c r="O2319" s="5" t="s">
        <v>3899</v>
      </c>
    </row>
    <row r="2320" spans="1:15" x14ac:dyDescent="0.25">
      <c r="A2320" s="4" t="s">
        <v>2333</v>
      </c>
      <c r="B2320" s="2" t="s">
        <v>3565</v>
      </c>
      <c r="C2320" s="2" t="s">
        <v>3875</v>
      </c>
      <c r="D2320" s="2" t="s">
        <v>3879</v>
      </c>
      <c r="E2320" s="3">
        <v>45403</v>
      </c>
      <c r="F2320" s="3">
        <v>45945</v>
      </c>
      <c r="G2320" s="2" t="s">
        <v>3886</v>
      </c>
      <c r="H2320" s="2">
        <v>968837</v>
      </c>
      <c r="I2320" s="2">
        <v>1016059</v>
      </c>
      <c r="J2320" s="2" t="s">
        <v>3888</v>
      </c>
      <c r="K2320" s="2" t="s">
        <v>3895</v>
      </c>
      <c r="L2320" s="2">
        <v>2023</v>
      </c>
      <c r="M2320" s="2">
        <v>-47222</v>
      </c>
      <c r="N2320" s="2">
        <f xml:space="preserve"> (Table1[[#This Row],[Variance (USD)]] / Table1[[#This Row],[Actual Spending (USD)]]) * 100</f>
        <v>-4.6475647575583698</v>
      </c>
      <c r="O2320" s="5" t="s">
        <v>3899</v>
      </c>
    </row>
    <row r="2321" spans="1:15" x14ac:dyDescent="0.25">
      <c r="A2321" s="4" t="s">
        <v>2334</v>
      </c>
      <c r="B2321" s="2" t="s">
        <v>3726</v>
      </c>
      <c r="C2321" s="2" t="s">
        <v>3870</v>
      </c>
      <c r="D2321" s="2" t="s">
        <v>3881</v>
      </c>
      <c r="E2321" s="3">
        <v>45366</v>
      </c>
      <c r="F2321" s="3">
        <v>45740</v>
      </c>
      <c r="G2321" s="2" t="s">
        <v>3884</v>
      </c>
      <c r="H2321" s="2">
        <v>250277</v>
      </c>
      <c r="I2321" s="2">
        <v>31304</v>
      </c>
      <c r="J2321" s="2" t="s">
        <v>3889</v>
      </c>
      <c r="K2321" s="2" t="s">
        <v>3893</v>
      </c>
      <c r="L2321" s="2">
        <v>2023</v>
      </c>
      <c r="M2321" s="2">
        <v>218973</v>
      </c>
      <c r="N2321" s="2">
        <f xml:space="preserve"> (Table1[[#This Row],[Variance (USD)]] / Table1[[#This Row],[Actual Spending (USD)]]) * 100</f>
        <v>699.50485560950676</v>
      </c>
      <c r="O2321" s="5" t="s">
        <v>3897</v>
      </c>
    </row>
    <row r="2322" spans="1:15" x14ac:dyDescent="0.25">
      <c r="A2322" s="4" t="s">
        <v>2335</v>
      </c>
      <c r="B2322" s="2" t="s">
        <v>3035</v>
      </c>
      <c r="C2322" s="2" t="s">
        <v>3874</v>
      </c>
      <c r="D2322" s="2" t="s">
        <v>3881</v>
      </c>
      <c r="E2322" s="3">
        <v>45496</v>
      </c>
      <c r="F2322" s="3">
        <v>45883</v>
      </c>
      <c r="G2322" s="2" t="s">
        <v>3886</v>
      </c>
      <c r="H2322" s="2">
        <v>494162</v>
      </c>
      <c r="I2322" s="2">
        <v>677010</v>
      </c>
      <c r="J2322" s="2" t="s">
        <v>3891</v>
      </c>
      <c r="K2322" s="2" t="s">
        <v>3893</v>
      </c>
      <c r="L2322" s="2">
        <v>2023</v>
      </c>
      <c r="M2322" s="2">
        <v>-182848</v>
      </c>
      <c r="N2322" s="2">
        <f xml:space="preserve"> (Table1[[#This Row],[Variance (USD)]] / Table1[[#This Row],[Actual Spending (USD)]]) * 100</f>
        <v>-27.008168269301784</v>
      </c>
      <c r="O2322" s="5" t="s">
        <v>3899</v>
      </c>
    </row>
    <row r="2323" spans="1:15" x14ac:dyDescent="0.25">
      <c r="A2323" s="4" t="s">
        <v>2336</v>
      </c>
      <c r="B2323" s="2" t="s">
        <v>3834</v>
      </c>
      <c r="C2323" s="2" t="s">
        <v>3875</v>
      </c>
      <c r="D2323" s="2" t="s">
        <v>3881</v>
      </c>
      <c r="E2323" s="3">
        <v>45019</v>
      </c>
      <c r="F2323" s="3">
        <v>45373</v>
      </c>
      <c r="G2323" s="2" t="s">
        <v>3884</v>
      </c>
      <c r="H2323" s="2">
        <v>294955</v>
      </c>
      <c r="I2323" s="2">
        <v>928880</v>
      </c>
      <c r="J2323" s="2" t="s">
        <v>3889</v>
      </c>
      <c r="K2323" s="2" t="s">
        <v>3893</v>
      </c>
      <c r="L2323" s="2">
        <v>2025</v>
      </c>
      <c r="M2323" s="2">
        <v>-633925</v>
      </c>
      <c r="N2323" s="2">
        <f xml:space="preserve"> (Table1[[#This Row],[Variance (USD)]] / Table1[[#This Row],[Actual Spending (USD)]]) * 100</f>
        <v>-68.246167427439502</v>
      </c>
      <c r="O2323" s="5" t="s">
        <v>3897</v>
      </c>
    </row>
    <row r="2324" spans="1:15" x14ac:dyDescent="0.25">
      <c r="A2324" s="4" t="s">
        <v>2337</v>
      </c>
      <c r="B2324" s="2" t="s">
        <v>3835</v>
      </c>
      <c r="C2324" s="2" t="s">
        <v>3874</v>
      </c>
      <c r="D2324" s="2" t="s">
        <v>3880</v>
      </c>
      <c r="E2324" s="3">
        <v>45118</v>
      </c>
      <c r="F2324" s="3">
        <v>45426</v>
      </c>
      <c r="G2324" s="2" t="s">
        <v>3884</v>
      </c>
      <c r="H2324" s="2">
        <v>367477</v>
      </c>
      <c r="I2324" s="2">
        <v>996788</v>
      </c>
      <c r="J2324" s="2" t="s">
        <v>3888</v>
      </c>
      <c r="K2324" s="2" t="s">
        <v>3894</v>
      </c>
      <c r="L2324" s="2">
        <v>2024</v>
      </c>
      <c r="M2324" s="2">
        <v>-629311</v>
      </c>
      <c r="N2324" s="2">
        <f xml:space="preserve"> (Table1[[#This Row],[Variance (USD)]] / Table1[[#This Row],[Actual Spending (USD)]]) * 100</f>
        <v>-63.133886041966804</v>
      </c>
      <c r="O2324" s="5" t="s">
        <v>3897</v>
      </c>
    </row>
    <row r="2325" spans="1:15" x14ac:dyDescent="0.25">
      <c r="A2325" s="4" t="s">
        <v>2338</v>
      </c>
      <c r="B2325" s="2" t="s">
        <v>3637</v>
      </c>
      <c r="C2325" s="2" t="s">
        <v>3870</v>
      </c>
      <c r="D2325" s="2" t="s">
        <v>3878</v>
      </c>
      <c r="E2325" s="3">
        <v>45029</v>
      </c>
      <c r="F2325" s="3">
        <v>46010</v>
      </c>
      <c r="G2325" s="2" t="s">
        <v>3884</v>
      </c>
      <c r="H2325" s="2">
        <v>732637</v>
      </c>
      <c r="I2325" s="2">
        <v>898800</v>
      </c>
      <c r="J2325" s="2" t="s">
        <v>3889</v>
      </c>
      <c r="K2325" s="2" t="s">
        <v>3893</v>
      </c>
      <c r="L2325" s="2">
        <v>2025</v>
      </c>
      <c r="M2325" s="2">
        <v>-166163</v>
      </c>
      <c r="N2325" s="2">
        <f xml:space="preserve"> (Table1[[#This Row],[Variance (USD)]] / Table1[[#This Row],[Actual Spending (USD)]]) * 100</f>
        <v>-18.487205162438809</v>
      </c>
      <c r="O2325" s="5" t="s">
        <v>3897</v>
      </c>
    </row>
    <row r="2326" spans="1:15" x14ac:dyDescent="0.25">
      <c r="A2326" s="4" t="s">
        <v>2339</v>
      </c>
      <c r="B2326" s="2" t="s">
        <v>3483</v>
      </c>
      <c r="C2326" s="2" t="s">
        <v>3869</v>
      </c>
      <c r="D2326" s="2" t="s">
        <v>3879</v>
      </c>
      <c r="E2326" s="3">
        <v>45322</v>
      </c>
      <c r="F2326" s="3">
        <v>45468</v>
      </c>
      <c r="G2326" s="2" t="s">
        <v>3885</v>
      </c>
      <c r="H2326" s="2">
        <v>755966</v>
      </c>
      <c r="I2326" s="2">
        <v>1166903</v>
      </c>
      <c r="J2326" s="2" t="s">
        <v>3891</v>
      </c>
      <c r="K2326" s="2" t="s">
        <v>3894</v>
      </c>
      <c r="L2326" s="2">
        <v>2023</v>
      </c>
      <c r="M2326" s="2">
        <v>-410937</v>
      </c>
      <c r="N2326" s="2">
        <f xml:space="preserve"> (Table1[[#This Row],[Variance (USD)]] / Table1[[#This Row],[Actual Spending (USD)]]) * 100</f>
        <v>-35.2160376655129</v>
      </c>
      <c r="O2326" s="5" t="s">
        <v>3898</v>
      </c>
    </row>
    <row r="2327" spans="1:15" x14ac:dyDescent="0.25">
      <c r="A2327" s="4" t="s">
        <v>2340</v>
      </c>
      <c r="B2327" s="2" t="s">
        <v>3054</v>
      </c>
      <c r="C2327" s="2" t="s">
        <v>3871</v>
      </c>
      <c r="D2327" s="2" t="s">
        <v>3880</v>
      </c>
      <c r="E2327" s="3">
        <v>44933</v>
      </c>
      <c r="F2327" s="3">
        <v>45674</v>
      </c>
      <c r="G2327" s="2" t="s">
        <v>3884</v>
      </c>
      <c r="H2327" s="2">
        <v>707293</v>
      </c>
      <c r="I2327" s="2">
        <v>826454</v>
      </c>
      <c r="J2327" s="2" t="s">
        <v>3888</v>
      </c>
      <c r="K2327" s="2" t="s">
        <v>3893</v>
      </c>
      <c r="L2327" s="2">
        <v>2024</v>
      </c>
      <c r="M2327" s="2">
        <v>-119161</v>
      </c>
      <c r="N2327" s="2">
        <f xml:space="preserve"> (Table1[[#This Row],[Variance (USD)]] / Table1[[#This Row],[Actual Spending (USD)]]) * 100</f>
        <v>-14.418346332645255</v>
      </c>
      <c r="O2327" s="5" t="s">
        <v>3897</v>
      </c>
    </row>
    <row r="2328" spans="1:15" x14ac:dyDescent="0.25">
      <c r="A2328" s="4" t="s">
        <v>2341</v>
      </c>
      <c r="B2328" s="2" t="s">
        <v>3168</v>
      </c>
      <c r="C2328" s="2" t="s">
        <v>3873</v>
      </c>
      <c r="D2328" s="2" t="s">
        <v>3882</v>
      </c>
      <c r="E2328" s="3">
        <v>45566</v>
      </c>
      <c r="F2328" s="3">
        <v>45534</v>
      </c>
      <c r="G2328" s="2" t="s">
        <v>3884</v>
      </c>
      <c r="H2328" s="2">
        <v>738874</v>
      </c>
      <c r="I2328" s="2">
        <v>107354</v>
      </c>
      <c r="J2328" s="2" t="s">
        <v>3889</v>
      </c>
      <c r="K2328" s="2" t="s">
        <v>3893</v>
      </c>
      <c r="L2328" s="2">
        <v>2023</v>
      </c>
      <c r="M2328" s="2">
        <v>631520</v>
      </c>
      <c r="N2328" s="2">
        <f xml:space="preserve"> (Table1[[#This Row],[Variance (USD)]] / Table1[[#This Row],[Actual Spending (USD)]]) * 100</f>
        <v>588.25940346889729</v>
      </c>
      <c r="O2328" s="5" t="s">
        <v>3897</v>
      </c>
    </row>
    <row r="2329" spans="1:15" x14ac:dyDescent="0.25">
      <c r="A2329" s="4" t="s">
        <v>2342</v>
      </c>
      <c r="B2329" s="2" t="s">
        <v>3531</v>
      </c>
      <c r="C2329" s="2" t="s">
        <v>3869</v>
      </c>
      <c r="D2329" s="2" t="s">
        <v>3879</v>
      </c>
      <c r="E2329" s="3">
        <v>45493</v>
      </c>
      <c r="F2329" s="3">
        <v>45858</v>
      </c>
      <c r="G2329" s="2" t="s">
        <v>3884</v>
      </c>
      <c r="H2329" s="2">
        <v>303130</v>
      </c>
      <c r="I2329" s="2">
        <v>456833</v>
      </c>
      <c r="J2329" s="2" t="s">
        <v>3892</v>
      </c>
      <c r="K2329" s="2" t="s">
        <v>3893</v>
      </c>
      <c r="L2329" s="2">
        <v>2023</v>
      </c>
      <c r="M2329" s="2">
        <v>-153703</v>
      </c>
      <c r="N2329" s="2">
        <f xml:space="preserve"> (Table1[[#This Row],[Variance (USD)]] / Table1[[#This Row],[Actual Spending (USD)]]) * 100</f>
        <v>-33.645336479632597</v>
      </c>
      <c r="O2329" s="5" t="s">
        <v>3897</v>
      </c>
    </row>
    <row r="2330" spans="1:15" x14ac:dyDescent="0.25">
      <c r="A2330" s="4" t="s">
        <v>2343</v>
      </c>
      <c r="B2330" s="2" t="s">
        <v>3700</v>
      </c>
      <c r="C2330" s="2" t="s">
        <v>3874</v>
      </c>
      <c r="D2330" s="2" t="s">
        <v>3883</v>
      </c>
      <c r="E2330" s="3">
        <v>45157</v>
      </c>
      <c r="F2330" s="3">
        <v>45432</v>
      </c>
      <c r="G2330" s="2" t="s">
        <v>3885</v>
      </c>
      <c r="H2330" s="2">
        <v>288408</v>
      </c>
      <c r="I2330" s="2">
        <v>1198621</v>
      </c>
      <c r="J2330" s="2" t="s">
        <v>3890</v>
      </c>
      <c r="K2330" s="2" t="s">
        <v>3894</v>
      </c>
      <c r="L2330" s="2">
        <v>2024</v>
      </c>
      <c r="M2330" s="2">
        <v>-910213</v>
      </c>
      <c r="N2330" s="2">
        <f xml:space="preserve"> (Table1[[#This Row],[Variance (USD)]] / Table1[[#This Row],[Actual Spending (USD)]]) * 100</f>
        <v>-75.938349152901537</v>
      </c>
      <c r="O2330" s="5" t="s">
        <v>3898</v>
      </c>
    </row>
    <row r="2331" spans="1:15" x14ac:dyDescent="0.25">
      <c r="A2331" s="4" t="s">
        <v>2344</v>
      </c>
      <c r="B2331" s="2" t="s">
        <v>3090</v>
      </c>
      <c r="C2331" s="2" t="s">
        <v>3874</v>
      </c>
      <c r="D2331" s="2" t="s">
        <v>3876</v>
      </c>
      <c r="E2331" s="3">
        <v>45500</v>
      </c>
      <c r="F2331" s="3">
        <v>45748</v>
      </c>
      <c r="G2331" s="2" t="s">
        <v>3884</v>
      </c>
      <c r="H2331" s="2">
        <v>664181</v>
      </c>
      <c r="I2331" s="2">
        <v>219896</v>
      </c>
      <c r="J2331" s="2" t="s">
        <v>3888</v>
      </c>
      <c r="K2331" s="2" t="s">
        <v>3895</v>
      </c>
      <c r="L2331" s="2">
        <v>2023</v>
      </c>
      <c r="M2331" s="2">
        <v>444285</v>
      </c>
      <c r="N2331" s="2">
        <f xml:space="preserve"> (Table1[[#This Row],[Variance (USD)]] / Table1[[#This Row],[Actual Spending (USD)]]) * 100</f>
        <v>202.04323862189401</v>
      </c>
      <c r="O2331" s="5" t="s">
        <v>3897</v>
      </c>
    </row>
    <row r="2332" spans="1:15" x14ac:dyDescent="0.25">
      <c r="A2332" s="4" t="s">
        <v>2345</v>
      </c>
      <c r="B2332" s="2" t="s">
        <v>3491</v>
      </c>
      <c r="C2332" s="2" t="s">
        <v>3873</v>
      </c>
      <c r="D2332" s="2" t="s">
        <v>3879</v>
      </c>
      <c r="E2332" s="3">
        <v>45166</v>
      </c>
      <c r="F2332" s="3">
        <v>45731</v>
      </c>
      <c r="G2332" s="2" t="s">
        <v>3884</v>
      </c>
      <c r="H2332" s="2">
        <v>797967</v>
      </c>
      <c r="I2332" s="2">
        <v>755750</v>
      </c>
      <c r="J2332" s="2" t="s">
        <v>3892</v>
      </c>
      <c r="K2332" s="2" t="s">
        <v>3894</v>
      </c>
      <c r="L2332" s="2">
        <v>2025</v>
      </c>
      <c r="M2332" s="2">
        <v>42217</v>
      </c>
      <c r="N2332" s="2">
        <f xml:space="preserve"> (Table1[[#This Row],[Variance (USD)]] / Table1[[#This Row],[Actual Spending (USD)]]) * 100</f>
        <v>5.5861065167052599</v>
      </c>
      <c r="O2332" s="5" t="s">
        <v>3897</v>
      </c>
    </row>
    <row r="2333" spans="1:15" x14ac:dyDescent="0.25">
      <c r="A2333" s="4" t="s">
        <v>2346</v>
      </c>
      <c r="B2333" s="2" t="s">
        <v>3619</v>
      </c>
      <c r="C2333" s="2" t="s">
        <v>3871</v>
      </c>
      <c r="D2333" s="2" t="s">
        <v>3878</v>
      </c>
      <c r="E2333" s="3">
        <v>45016</v>
      </c>
      <c r="F2333" s="3">
        <v>45347</v>
      </c>
      <c r="G2333" s="2" t="s">
        <v>3884</v>
      </c>
      <c r="H2333" s="2">
        <v>899390</v>
      </c>
      <c r="I2333" s="2">
        <v>1112883</v>
      </c>
      <c r="J2333" s="2" t="s">
        <v>3891</v>
      </c>
      <c r="K2333" s="2" t="s">
        <v>3896</v>
      </c>
      <c r="L2333" s="2">
        <v>2025</v>
      </c>
      <c r="M2333" s="2">
        <v>-213493</v>
      </c>
      <c r="N2333" s="2">
        <f xml:space="preserve"> (Table1[[#This Row],[Variance (USD)]] / Table1[[#This Row],[Actual Spending (USD)]]) * 100</f>
        <v>-19.183777629813736</v>
      </c>
      <c r="O2333" s="5" t="s">
        <v>3897</v>
      </c>
    </row>
    <row r="2334" spans="1:15" x14ac:dyDescent="0.25">
      <c r="A2334" s="4" t="s">
        <v>2347</v>
      </c>
      <c r="B2334" s="2" t="s">
        <v>3177</v>
      </c>
      <c r="C2334" s="2" t="s">
        <v>3875</v>
      </c>
      <c r="D2334" s="2" t="s">
        <v>3877</v>
      </c>
      <c r="E2334" s="3">
        <v>45158</v>
      </c>
      <c r="F2334" s="3">
        <v>45818</v>
      </c>
      <c r="G2334" s="2" t="s">
        <v>3886</v>
      </c>
      <c r="H2334" s="2">
        <v>974331</v>
      </c>
      <c r="I2334" s="2">
        <v>277659</v>
      </c>
      <c r="J2334" s="2" t="s">
        <v>3890</v>
      </c>
      <c r="K2334" s="2" t="s">
        <v>3896</v>
      </c>
      <c r="L2334" s="2">
        <v>2025</v>
      </c>
      <c r="M2334" s="2">
        <v>696672</v>
      </c>
      <c r="N2334" s="2">
        <f xml:space="preserve"> (Table1[[#This Row],[Variance (USD)]] / Table1[[#This Row],[Actual Spending (USD)]]) * 100</f>
        <v>250.90920877767334</v>
      </c>
      <c r="O2334" s="5" t="s">
        <v>3899</v>
      </c>
    </row>
    <row r="2335" spans="1:15" x14ac:dyDescent="0.25">
      <c r="A2335" s="4" t="s">
        <v>2348</v>
      </c>
      <c r="B2335" s="2" t="s">
        <v>3806</v>
      </c>
      <c r="C2335" s="2" t="s">
        <v>3873</v>
      </c>
      <c r="D2335" s="2" t="s">
        <v>3882</v>
      </c>
      <c r="E2335" s="3">
        <v>45383</v>
      </c>
      <c r="F2335" s="3">
        <v>45988</v>
      </c>
      <c r="G2335" s="2" t="s">
        <v>3884</v>
      </c>
      <c r="H2335" s="2">
        <v>80844</v>
      </c>
      <c r="I2335" s="2">
        <v>815244</v>
      </c>
      <c r="J2335" s="2" t="s">
        <v>3888</v>
      </c>
      <c r="K2335" s="2" t="s">
        <v>3894</v>
      </c>
      <c r="L2335" s="2">
        <v>2023</v>
      </c>
      <c r="M2335" s="2">
        <v>-734400</v>
      </c>
      <c r="N2335" s="2">
        <f xml:space="preserve"> (Table1[[#This Row],[Variance (USD)]] / Table1[[#This Row],[Actual Spending (USD)]]) * 100</f>
        <v>-90.083459675876171</v>
      </c>
      <c r="O2335" s="5" t="s">
        <v>3897</v>
      </c>
    </row>
    <row r="2336" spans="1:15" x14ac:dyDescent="0.25">
      <c r="A2336" s="4" t="s">
        <v>2349</v>
      </c>
      <c r="B2336" s="2" t="s">
        <v>3800</v>
      </c>
      <c r="C2336" s="2" t="s">
        <v>3868</v>
      </c>
      <c r="D2336" s="2" t="s">
        <v>3880</v>
      </c>
      <c r="E2336" s="3">
        <v>45159</v>
      </c>
      <c r="F2336" s="3">
        <v>45710</v>
      </c>
      <c r="G2336" s="2" t="s">
        <v>3884</v>
      </c>
      <c r="H2336" s="2">
        <v>426645</v>
      </c>
      <c r="I2336" s="2">
        <v>1103666</v>
      </c>
      <c r="J2336" s="2" t="s">
        <v>3890</v>
      </c>
      <c r="K2336" s="2" t="s">
        <v>3894</v>
      </c>
      <c r="L2336" s="2">
        <v>2025</v>
      </c>
      <c r="M2336" s="2">
        <v>-677021</v>
      </c>
      <c r="N2336" s="2">
        <f xml:space="preserve"> (Table1[[#This Row],[Variance (USD)]] / Table1[[#This Row],[Actual Spending (USD)]]) * 100</f>
        <v>-61.342924399229481</v>
      </c>
      <c r="O2336" s="5" t="s">
        <v>3897</v>
      </c>
    </row>
    <row r="2337" spans="1:15" x14ac:dyDescent="0.25">
      <c r="A2337" s="4" t="s">
        <v>2350</v>
      </c>
      <c r="B2337" s="2" t="s">
        <v>3678</v>
      </c>
      <c r="C2337" s="2" t="s">
        <v>3868</v>
      </c>
      <c r="D2337" s="2" t="s">
        <v>3882</v>
      </c>
      <c r="E2337" s="3">
        <v>45280</v>
      </c>
      <c r="F2337" s="3">
        <v>45379</v>
      </c>
      <c r="G2337" s="2" t="s">
        <v>3884</v>
      </c>
      <c r="H2337" s="2">
        <v>927632</v>
      </c>
      <c r="I2337" s="2">
        <v>356421</v>
      </c>
      <c r="J2337" s="2" t="s">
        <v>3888</v>
      </c>
      <c r="K2337" s="2" t="s">
        <v>3895</v>
      </c>
      <c r="L2337" s="2">
        <v>2023</v>
      </c>
      <c r="M2337" s="2">
        <v>571211</v>
      </c>
      <c r="N2337" s="2">
        <f xml:space="preserve"> (Table1[[#This Row],[Variance (USD)]] / Table1[[#This Row],[Actual Spending (USD)]]) * 100</f>
        <v>160.26300358284163</v>
      </c>
      <c r="O2337" s="5" t="s">
        <v>3897</v>
      </c>
    </row>
    <row r="2338" spans="1:15" x14ac:dyDescent="0.25">
      <c r="A2338" s="4" t="s">
        <v>2351</v>
      </c>
      <c r="B2338" s="2" t="s">
        <v>3836</v>
      </c>
      <c r="C2338" s="2" t="s">
        <v>3870</v>
      </c>
      <c r="D2338" s="2" t="s">
        <v>3882</v>
      </c>
      <c r="E2338" s="3">
        <v>45259</v>
      </c>
      <c r="F2338" s="3">
        <v>45900</v>
      </c>
      <c r="G2338" s="2" t="s">
        <v>3885</v>
      </c>
      <c r="H2338" s="2">
        <v>575080</v>
      </c>
      <c r="I2338" s="2">
        <v>665847</v>
      </c>
      <c r="J2338" s="2" t="s">
        <v>3888</v>
      </c>
      <c r="K2338" s="2" t="s">
        <v>3894</v>
      </c>
      <c r="L2338" s="2">
        <v>2023</v>
      </c>
      <c r="M2338" s="2">
        <v>-90767</v>
      </c>
      <c r="N2338" s="2">
        <f xml:space="preserve"> (Table1[[#This Row],[Variance (USD)]] / Table1[[#This Row],[Actual Spending (USD)]]) * 100</f>
        <v>-13.631810310777102</v>
      </c>
      <c r="O2338" s="5" t="s">
        <v>3898</v>
      </c>
    </row>
    <row r="2339" spans="1:15" x14ac:dyDescent="0.25">
      <c r="A2339" s="4" t="s">
        <v>2352</v>
      </c>
      <c r="B2339" s="2" t="s">
        <v>3116</v>
      </c>
      <c r="C2339" s="2" t="s">
        <v>3869</v>
      </c>
      <c r="D2339" s="2" t="s">
        <v>3879</v>
      </c>
      <c r="E2339" s="3">
        <v>45365</v>
      </c>
      <c r="F2339" s="3">
        <v>45947</v>
      </c>
      <c r="G2339" s="2" t="s">
        <v>3886</v>
      </c>
      <c r="H2339" s="2">
        <v>482911</v>
      </c>
      <c r="I2339" s="2">
        <v>129895</v>
      </c>
      <c r="J2339" s="2" t="s">
        <v>3889</v>
      </c>
      <c r="K2339" s="2" t="s">
        <v>3893</v>
      </c>
      <c r="L2339" s="2">
        <v>2025</v>
      </c>
      <c r="M2339" s="2">
        <v>353016</v>
      </c>
      <c r="N2339" s="2">
        <f xml:space="preserve"> (Table1[[#This Row],[Variance (USD)]] / Table1[[#This Row],[Actual Spending (USD)]]) * 100</f>
        <v>271.7702759921475</v>
      </c>
      <c r="O2339" s="5" t="s">
        <v>3899</v>
      </c>
    </row>
    <row r="2340" spans="1:15" x14ac:dyDescent="0.25">
      <c r="A2340" s="4" t="s">
        <v>2353</v>
      </c>
      <c r="B2340" s="2" t="s">
        <v>3696</v>
      </c>
      <c r="C2340" s="2" t="s">
        <v>3874</v>
      </c>
      <c r="D2340" s="2" t="s">
        <v>3879</v>
      </c>
      <c r="E2340" s="3">
        <v>45301</v>
      </c>
      <c r="F2340" s="3">
        <v>45299</v>
      </c>
      <c r="G2340" s="2" t="s">
        <v>3886</v>
      </c>
      <c r="H2340" s="2">
        <v>657475</v>
      </c>
      <c r="I2340" s="2">
        <v>471752</v>
      </c>
      <c r="J2340" s="2" t="s">
        <v>3890</v>
      </c>
      <c r="K2340" s="2" t="s">
        <v>3895</v>
      </c>
      <c r="L2340" s="2">
        <v>2025</v>
      </c>
      <c r="M2340" s="2">
        <v>185723</v>
      </c>
      <c r="N2340" s="2">
        <f xml:space="preserve"> (Table1[[#This Row],[Variance (USD)]] / Table1[[#This Row],[Actual Spending (USD)]]) * 100</f>
        <v>39.368778510742928</v>
      </c>
      <c r="O2340" s="5" t="s">
        <v>3899</v>
      </c>
    </row>
    <row r="2341" spans="1:15" x14ac:dyDescent="0.25">
      <c r="A2341" s="4" t="s">
        <v>2354</v>
      </c>
      <c r="B2341" s="2" t="s">
        <v>3837</v>
      </c>
      <c r="C2341" s="2" t="s">
        <v>3871</v>
      </c>
      <c r="D2341" s="2" t="s">
        <v>3878</v>
      </c>
      <c r="E2341" s="3">
        <v>45218</v>
      </c>
      <c r="F2341" s="3">
        <v>45768</v>
      </c>
      <c r="G2341" s="2" t="s">
        <v>3885</v>
      </c>
      <c r="H2341" s="2">
        <v>92510</v>
      </c>
      <c r="I2341" s="2">
        <v>299999</v>
      </c>
      <c r="J2341" s="2" t="s">
        <v>3890</v>
      </c>
      <c r="K2341" s="2" t="s">
        <v>3894</v>
      </c>
      <c r="L2341" s="2">
        <v>2023</v>
      </c>
      <c r="M2341" s="2">
        <v>-207489</v>
      </c>
      <c r="N2341" s="2">
        <f xml:space="preserve"> (Table1[[#This Row],[Variance (USD)]] / Table1[[#This Row],[Actual Spending (USD)]]) * 100</f>
        <v>-69.163230544101822</v>
      </c>
      <c r="O2341" s="5" t="s">
        <v>3898</v>
      </c>
    </row>
    <row r="2342" spans="1:15" x14ac:dyDescent="0.25">
      <c r="A2342" s="4" t="s">
        <v>2355</v>
      </c>
      <c r="B2342" s="2" t="s">
        <v>3295</v>
      </c>
      <c r="C2342" s="2" t="s">
        <v>3870</v>
      </c>
      <c r="D2342" s="2" t="s">
        <v>3876</v>
      </c>
      <c r="E2342" s="3">
        <v>45271</v>
      </c>
      <c r="F2342" s="3">
        <v>45506</v>
      </c>
      <c r="G2342" s="2" t="s">
        <v>3885</v>
      </c>
      <c r="H2342" s="2">
        <v>482353</v>
      </c>
      <c r="I2342" s="2">
        <v>283555</v>
      </c>
      <c r="J2342" s="2" t="s">
        <v>3892</v>
      </c>
      <c r="K2342" s="2" t="s">
        <v>3894</v>
      </c>
      <c r="L2342" s="2">
        <v>2023</v>
      </c>
      <c r="M2342" s="2">
        <v>198798</v>
      </c>
      <c r="N2342" s="2">
        <f xml:space="preserve"> (Table1[[#This Row],[Variance (USD)]] / Table1[[#This Row],[Actual Spending (USD)]]) * 100</f>
        <v>70.10914990037206</v>
      </c>
      <c r="O2342" s="5" t="s">
        <v>3898</v>
      </c>
    </row>
    <row r="2343" spans="1:15" x14ac:dyDescent="0.25">
      <c r="A2343" s="4" t="s">
        <v>2356</v>
      </c>
      <c r="B2343" s="2" t="s">
        <v>3161</v>
      </c>
      <c r="C2343" s="2" t="s">
        <v>3869</v>
      </c>
      <c r="D2343" s="2" t="s">
        <v>3879</v>
      </c>
      <c r="E2343" s="3">
        <v>45590</v>
      </c>
      <c r="F2343" s="3">
        <v>45976</v>
      </c>
      <c r="G2343" s="2" t="s">
        <v>3884</v>
      </c>
      <c r="H2343" s="2">
        <v>163104</v>
      </c>
      <c r="I2343" s="2">
        <v>939395</v>
      </c>
      <c r="J2343" s="2" t="s">
        <v>3891</v>
      </c>
      <c r="K2343" s="2" t="s">
        <v>3896</v>
      </c>
      <c r="L2343" s="2">
        <v>2023</v>
      </c>
      <c r="M2343" s="2">
        <v>-776291</v>
      </c>
      <c r="N2343" s="2">
        <f xml:space="preserve"> (Table1[[#This Row],[Variance (USD)]] / Table1[[#This Row],[Actual Spending (USD)]]) * 100</f>
        <v>-82.637335732040313</v>
      </c>
      <c r="O2343" s="5" t="s">
        <v>3897</v>
      </c>
    </row>
    <row r="2344" spans="1:15" x14ac:dyDescent="0.25">
      <c r="A2344" s="4" t="s">
        <v>2357</v>
      </c>
      <c r="B2344" s="2" t="s">
        <v>3332</v>
      </c>
      <c r="C2344" s="2" t="s">
        <v>3869</v>
      </c>
      <c r="D2344" s="2" t="s">
        <v>3879</v>
      </c>
      <c r="E2344" s="3">
        <v>45354</v>
      </c>
      <c r="F2344" s="3">
        <v>45843</v>
      </c>
      <c r="G2344" s="2" t="s">
        <v>3887</v>
      </c>
      <c r="H2344" s="2">
        <v>778770</v>
      </c>
      <c r="I2344" s="2">
        <v>933247</v>
      </c>
      <c r="J2344" s="2" t="s">
        <v>3892</v>
      </c>
      <c r="K2344" s="2" t="s">
        <v>3895</v>
      </c>
      <c r="L2344" s="2">
        <v>2023</v>
      </c>
      <c r="M2344" s="2">
        <v>-154477</v>
      </c>
      <c r="N2344" s="2">
        <f xml:space="preserve"> (Table1[[#This Row],[Variance (USD)]] / Table1[[#This Row],[Actual Spending (USD)]]) * 100</f>
        <v>-16.552638261896369</v>
      </c>
      <c r="O2344" s="5" t="s">
        <v>3900</v>
      </c>
    </row>
    <row r="2345" spans="1:15" x14ac:dyDescent="0.25">
      <c r="A2345" s="4" t="s">
        <v>2358</v>
      </c>
      <c r="B2345" s="2" t="s">
        <v>3559</v>
      </c>
      <c r="C2345" s="2" t="s">
        <v>3870</v>
      </c>
      <c r="D2345" s="2" t="s">
        <v>3876</v>
      </c>
      <c r="E2345" s="3">
        <v>45583</v>
      </c>
      <c r="F2345" s="3">
        <v>45788</v>
      </c>
      <c r="G2345" s="2" t="s">
        <v>3884</v>
      </c>
      <c r="H2345" s="2">
        <v>525428</v>
      </c>
      <c r="I2345" s="2">
        <v>979456</v>
      </c>
      <c r="J2345" s="2" t="s">
        <v>3889</v>
      </c>
      <c r="K2345" s="2" t="s">
        <v>3896</v>
      </c>
      <c r="L2345" s="2">
        <v>2025</v>
      </c>
      <c r="M2345" s="2">
        <v>-454028</v>
      </c>
      <c r="N2345" s="2">
        <f xml:space="preserve"> (Table1[[#This Row],[Variance (USD)]] / Table1[[#This Row],[Actual Spending (USD)]]) * 100</f>
        <v>-46.355119576581288</v>
      </c>
      <c r="O2345" s="5" t="s">
        <v>3897</v>
      </c>
    </row>
    <row r="2346" spans="1:15" x14ac:dyDescent="0.25">
      <c r="A2346" s="4" t="s">
        <v>2359</v>
      </c>
      <c r="B2346" s="2" t="s">
        <v>3750</v>
      </c>
      <c r="C2346" s="2" t="s">
        <v>3872</v>
      </c>
      <c r="D2346" s="2" t="s">
        <v>3878</v>
      </c>
      <c r="E2346" s="3">
        <v>45056</v>
      </c>
      <c r="F2346" s="3">
        <v>45985</v>
      </c>
      <c r="G2346" s="2" t="s">
        <v>3884</v>
      </c>
      <c r="H2346" s="2">
        <v>876064</v>
      </c>
      <c r="I2346" s="2">
        <v>1189689</v>
      </c>
      <c r="J2346" s="2" t="s">
        <v>3888</v>
      </c>
      <c r="K2346" s="2" t="s">
        <v>3894</v>
      </c>
      <c r="L2346" s="2">
        <v>2023</v>
      </c>
      <c r="M2346" s="2">
        <v>-313625</v>
      </c>
      <c r="N2346" s="2">
        <f xml:space="preserve"> (Table1[[#This Row],[Variance (USD)]] / Table1[[#This Row],[Actual Spending (USD)]]) * 100</f>
        <v>-26.361931563627135</v>
      </c>
      <c r="O2346" s="5" t="s">
        <v>3897</v>
      </c>
    </row>
    <row r="2347" spans="1:15" x14ac:dyDescent="0.25">
      <c r="A2347" s="4" t="s">
        <v>2360</v>
      </c>
      <c r="B2347" s="2" t="s">
        <v>3818</v>
      </c>
      <c r="C2347" s="2" t="s">
        <v>3869</v>
      </c>
      <c r="D2347" s="2" t="s">
        <v>3880</v>
      </c>
      <c r="E2347" s="3">
        <v>45067</v>
      </c>
      <c r="F2347" s="3">
        <v>45794</v>
      </c>
      <c r="G2347" s="2" t="s">
        <v>3885</v>
      </c>
      <c r="H2347" s="2">
        <v>742150</v>
      </c>
      <c r="I2347" s="2">
        <v>953194</v>
      </c>
      <c r="J2347" s="2" t="s">
        <v>3889</v>
      </c>
      <c r="K2347" s="2" t="s">
        <v>3895</v>
      </c>
      <c r="L2347" s="2">
        <v>2023</v>
      </c>
      <c r="M2347" s="2">
        <v>-211044</v>
      </c>
      <c r="N2347" s="2">
        <f xml:space="preserve"> (Table1[[#This Row],[Variance (USD)]] / Table1[[#This Row],[Actual Spending (USD)]]) * 100</f>
        <v>-22.140718468643321</v>
      </c>
      <c r="O2347" s="5" t="s">
        <v>3898</v>
      </c>
    </row>
    <row r="2348" spans="1:15" x14ac:dyDescent="0.25">
      <c r="A2348" s="4" t="s">
        <v>2361</v>
      </c>
      <c r="B2348" s="2" t="s">
        <v>3549</v>
      </c>
      <c r="C2348" s="2" t="s">
        <v>3872</v>
      </c>
      <c r="D2348" s="2" t="s">
        <v>3882</v>
      </c>
      <c r="E2348" s="3">
        <v>45341</v>
      </c>
      <c r="F2348" s="3">
        <v>45990</v>
      </c>
      <c r="G2348" s="2" t="s">
        <v>3884</v>
      </c>
      <c r="H2348" s="2">
        <v>395712</v>
      </c>
      <c r="I2348" s="2">
        <v>566809</v>
      </c>
      <c r="J2348" s="2" t="s">
        <v>3889</v>
      </c>
      <c r="K2348" s="2" t="s">
        <v>3893</v>
      </c>
      <c r="L2348" s="2">
        <v>2023</v>
      </c>
      <c r="M2348" s="2">
        <v>-171097</v>
      </c>
      <c r="N2348" s="2">
        <f xml:space="preserve"> (Table1[[#This Row],[Variance (USD)]] / Table1[[#This Row],[Actual Spending (USD)]]) * 100</f>
        <v>-30.186006220790425</v>
      </c>
      <c r="O2348" s="5" t="s">
        <v>3897</v>
      </c>
    </row>
    <row r="2349" spans="1:15" x14ac:dyDescent="0.25">
      <c r="A2349" s="4" t="s">
        <v>2362</v>
      </c>
      <c r="B2349" s="2" t="s">
        <v>3296</v>
      </c>
      <c r="C2349" s="2" t="s">
        <v>3868</v>
      </c>
      <c r="D2349" s="2" t="s">
        <v>3880</v>
      </c>
      <c r="E2349" s="3">
        <v>45019</v>
      </c>
      <c r="F2349" s="3">
        <v>45536</v>
      </c>
      <c r="G2349" s="2" t="s">
        <v>3884</v>
      </c>
      <c r="H2349" s="2">
        <v>835139</v>
      </c>
      <c r="I2349" s="2">
        <v>654434</v>
      </c>
      <c r="J2349" s="2" t="s">
        <v>3892</v>
      </c>
      <c r="K2349" s="2" t="s">
        <v>3894</v>
      </c>
      <c r="L2349" s="2">
        <v>2023</v>
      </c>
      <c r="M2349" s="2">
        <v>180705</v>
      </c>
      <c r="N2349" s="2">
        <f xml:space="preserve"> (Table1[[#This Row],[Variance (USD)]] / Table1[[#This Row],[Actual Spending (USD)]]) * 100</f>
        <v>27.61241011316649</v>
      </c>
      <c r="O2349" s="5" t="s">
        <v>3897</v>
      </c>
    </row>
    <row r="2350" spans="1:15" x14ac:dyDescent="0.25">
      <c r="A2350" s="4" t="s">
        <v>2363</v>
      </c>
      <c r="B2350" s="2" t="s">
        <v>3093</v>
      </c>
      <c r="C2350" s="2" t="s">
        <v>3868</v>
      </c>
      <c r="D2350" s="2" t="s">
        <v>3879</v>
      </c>
      <c r="E2350" s="3">
        <v>45552</v>
      </c>
      <c r="F2350" s="3">
        <v>45769</v>
      </c>
      <c r="G2350" s="2" t="s">
        <v>3884</v>
      </c>
      <c r="H2350" s="2">
        <v>474101</v>
      </c>
      <c r="I2350" s="2">
        <v>174776</v>
      </c>
      <c r="J2350" s="2" t="s">
        <v>3888</v>
      </c>
      <c r="K2350" s="2" t="s">
        <v>3894</v>
      </c>
      <c r="L2350" s="2">
        <v>2023</v>
      </c>
      <c r="M2350" s="2">
        <v>299325</v>
      </c>
      <c r="N2350" s="2">
        <f xml:space="preserve"> (Table1[[#This Row],[Variance (USD)]] / Table1[[#This Row],[Actual Spending (USD)]]) * 100</f>
        <v>171.26207259577976</v>
      </c>
      <c r="O2350" s="5" t="s">
        <v>3897</v>
      </c>
    </row>
    <row r="2351" spans="1:15" x14ac:dyDescent="0.25">
      <c r="A2351" s="4" t="s">
        <v>2364</v>
      </c>
      <c r="B2351" s="2" t="s">
        <v>3478</v>
      </c>
      <c r="C2351" s="2" t="s">
        <v>3869</v>
      </c>
      <c r="D2351" s="2" t="s">
        <v>3876</v>
      </c>
      <c r="E2351" s="3">
        <v>45210</v>
      </c>
      <c r="F2351" s="3">
        <v>45600</v>
      </c>
      <c r="G2351" s="2" t="s">
        <v>3886</v>
      </c>
      <c r="H2351" s="2">
        <v>115214</v>
      </c>
      <c r="I2351" s="2">
        <v>88933</v>
      </c>
      <c r="J2351" s="2" t="s">
        <v>3891</v>
      </c>
      <c r="K2351" s="2" t="s">
        <v>3896</v>
      </c>
      <c r="L2351" s="2">
        <v>2024</v>
      </c>
      <c r="M2351" s="2">
        <v>26281</v>
      </c>
      <c r="N2351" s="2">
        <f xml:space="preserve"> (Table1[[#This Row],[Variance (USD)]] / Table1[[#This Row],[Actual Spending (USD)]]) * 100</f>
        <v>29.551460087931364</v>
      </c>
      <c r="O2351" s="5" t="s">
        <v>3899</v>
      </c>
    </row>
    <row r="2352" spans="1:15" x14ac:dyDescent="0.25">
      <c r="A2352" s="4" t="s">
        <v>2365</v>
      </c>
      <c r="B2352" s="2" t="s">
        <v>3227</v>
      </c>
      <c r="C2352" s="2" t="s">
        <v>3868</v>
      </c>
      <c r="D2352" s="2" t="s">
        <v>3879</v>
      </c>
      <c r="E2352" s="3">
        <v>45581</v>
      </c>
      <c r="F2352" s="3">
        <v>45522</v>
      </c>
      <c r="G2352" s="2" t="s">
        <v>3884</v>
      </c>
      <c r="H2352" s="2">
        <v>619158</v>
      </c>
      <c r="I2352" s="2">
        <v>73856</v>
      </c>
      <c r="J2352" s="2" t="s">
        <v>3889</v>
      </c>
      <c r="K2352" s="2" t="s">
        <v>3893</v>
      </c>
      <c r="L2352" s="2">
        <v>2024</v>
      </c>
      <c r="M2352" s="2">
        <v>545302</v>
      </c>
      <c r="N2352" s="2">
        <f xml:space="preserve"> (Table1[[#This Row],[Variance (USD)]] / Table1[[#This Row],[Actual Spending (USD)]]) * 100</f>
        <v>738.33134748700172</v>
      </c>
      <c r="O2352" s="5" t="s">
        <v>3897</v>
      </c>
    </row>
    <row r="2353" spans="1:15" x14ac:dyDescent="0.25">
      <c r="A2353" s="4" t="s">
        <v>2366</v>
      </c>
      <c r="B2353" s="2" t="s">
        <v>3466</v>
      </c>
      <c r="C2353" s="2" t="s">
        <v>3871</v>
      </c>
      <c r="D2353" s="2" t="s">
        <v>3881</v>
      </c>
      <c r="E2353" s="3">
        <v>45149</v>
      </c>
      <c r="F2353" s="3">
        <v>45674</v>
      </c>
      <c r="G2353" s="2" t="s">
        <v>3886</v>
      </c>
      <c r="H2353" s="2">
        <v>833577</v>
      </c>
      <c r="I2353" s="2">
        <v>591544</v>
      </c>
      <c r="J2353" s="2" t="s">
        <v>3891</v>
      </c>
      <c r="K2353" s="2" t="s">
        <v>3894</v>
      </c>
      <c r="L2353" s="2">
        <v>2024</v>
      </c>
      <c r="M2353" s="2">
        <v>242033</v>
      </c>
      <c r="N2353" s="2">
        <f xml:space="preserve"> (Table1[[#This Row],[Variance (USD)]] / Table1[[#This Row],[Actual Spending (USD)]]) * 100</f>
        <v>40.915468671814779</v>
      </c>
      <c r="O2353" s="5" t="s">
        <v>3899</v>
      </c>
    </row>
    <row r="2354" spans="1:15" x14ac:dyDescent="0.25">
      <c r="A2354" s="4" t="s">
        <v>2367</v>
      </c>
      <c r="B2354" s="2" t="s">
        <v>3301</v>
      </c>
      <c r="C2354" s="2" t="s">
        <v>3872</v>
      </c>
      <c r="D2354" s="2" t="s">
        <v>3877</v>
      </c>
      <c r="E2354" s="3">
        <v>45389</v>
      </c>
      <c r="F2354" s="3">
        <v>45446</v>
      </c>
      <c r="G2354" s="2" t="s">
        <v>3885</v>
      </c>
      <c r="H2354" s="2">
        <v>98110</v>
      </c>
      <c r="I2354" s="2">
        <v>453831</v>
      </c>
      <c r="J2354" s="2" t="s">
        <v>3888</v>
      </c>
      <c r="K2354" s="2" t="s">
        <v>3896</v>
      </c>
      <c r="L2354" s="2">
        <v>2025</v>
      </c>
      <c r="M2354" s="2">
        <v>-355721</v>
      </c>
      <c r="N2354" s="2">
        <f xml:space="preserve"> (Table1[[#This Row],[Variance (USD)]] / Table1[[#This Row],[Actual Spending (USD)]]) * 100</f>
        <v>-78.381820545533458</v>
      </c>
      <c r="O2354" s="5" t="s">
        <v>3898</v>
      </c>
    </row>
    <row r="2355" spans="1:15" x14ac:dyDescent="0.25">
      <c r="A2355" s="4" t="s">
        <v>2368</v>
      </c>
      <c r="B2355" s="2" t="s">
        <v>3590</v>
      </c>
      <c r="C2355" s="2" t="s">
        <v>3872</v>
      </c>
      <c r="D2355" s="2" t="s">
        <v>3880</v>
      </c>
      <c r="E2355" s="3">
        <v>45471</v>
      </c>
      <c r="F2355" s="3">
        <v>45466</v>
      </c>
      <c r="G2355" s="2" t="s">
        <v>3886</v>
      </c>
      <c r="H2355" s="2">
        <v>945846</v>
      </c>
      <c r="I2355" s="2">
        <v>151638</v>
      </c>
      <c r="J2355" s="2" t="s">
        <v>3888</v>
      </c>
      <c r="K2355" s="2" t="s">
        <v>3896</v>
      </c>
      <c r="L2355" s="2">
        <v>2023</v>
      </c>
      <c r="M2355" s="2">
        <v>794208</v>
      </c>
      <c r="N2355" s="2">
        <f xml:space="preserve"> (Table1[[#This Row],[Variance (USD)]] / Table1[[#This Row],[Actual Spending (USD)]]) * 100</f>
        <v>523.75262137458947</v>
      </c>
      <c r="O2355" s="5" t="s">
        <v>3899</v>
      </c>
    </row>
    <row r="2356" spans="1:15" x14ac:dyDescent="0.25">
      <c r="A2356" s="4" t="s">
        <v>2369</v>
      </c>
      <c r="B2356" s="2" t="s">
        <v>3408</v>
      </c>
      <c r="C2356" s="2" t="s">
        <v>3869</v>
      </c>
      <c r="D2356" s="2" t="s">
        <v>3881</v>
      </c>
      <c r="E2356" s="3">
        <v>45202</v>
      </c>
      <c r="F2356" s="3">
        <v>45406</v>
      </c>
      <c r="G2356" s="2" t="s">
        <v>3884</v>
      </c>
      <c r="H2356" s="2">
        <v>573538</v>
      </c>
      <c r="I2356" s="2">
        <v>963016</v>
      </c>
      <c r="J2356" s="2" t="s">
        <v>3892</v>
      </c>
      <c r="K2356" s="2" t="s">
        <v>3894</v>
      </c>
      <c r="L2356" s="2">
        <v>2025</v>
      </c>
      <c r="M2356" s="2">
        <v>-389478</v>
      </c>
      <c r="N2356" s="2">
        <f xml:space="preserve"> (Table1[[#This Row],[Variance (USD)]] / Table1[[#This Row],[Actual Spending (USD)]]) * 100</f>
        <v>-40.443564800584831</v>
      </c>
      <c r="O2356" s="5" t="s">
        <v>3897</v>
      </c>
    </row>
    <row r="2357" spans="1:15" x14ac:dyDescent="0.25">
      <c r="A2357" s="4" t="s">
        <v>2370</v>
      </c>
      <c r="B2357" s="2" t="s">
        <v>3773</v>
      </c>
      <c r="C2357" s="2" t="s">
        <v>3868</v>
      </c>
      <c r="D2357" s="2" t="s">
        <v>3883</v>
      </c>
      <c r="E2357" s="3">
        <v>45608</v>
      </c>
      <c r="F2357" s="3">
        <v>45681</v>
      </c>
      <c r="G2357" s="2" t="s">
        <v>3885</v>
      </c>
      <c r="H2357" s="2">
        <v>710531</v>
      </c>
      <c r="I2357" s="2">
        <v>824733</v>
      </c>
      <c r="J2357" s="2" t="s">
        <v>3890</v>
      </c>
      <c r="K2357" s="2" t="s">
        <v>3895</v>
      </c>
      <c r="L2357" s="2">
        <v>2023</v>
      </c>
      <c r="M2357" s="2">
        <v>-114202</v>
      </c>
      <c r="N2357" s="2">
        <f xml:space="preserve"> (Table1[[#This Row],[Variance (USD)]] / Table1[[#This Row],[Actual Spending (USD)]]) * 100</f>
        <v>-13.847148107326856</v>
      </c>
      <c r="O2357" s="5" t="s">
        <v>3898</v>
      </c>
    </row>
    <row r="2358" spans="1:15" x14ac:dyDescent="0.25">
      <c r="A2358" s="4" t="s">
        <v>2371</v>
      </c>
      <c r="B2358" s="2" t="s">
        <v>3334</v>
      </c>
      <c r="C2358" s="2" t="s">
        <v>3873</v>
      </c>
      <c r="D2358" s="2" t="s">
        <v>3877</v>
      </c>
      <c r="E2358" s="3">
        <v>45066</v>
      </c>
      <c r="F2358" s="3">
        <v>45602</v>
      </c>
      <c r="G2358" s="2" t="s">
        <v>3884</v>
      </c>
      <c r="H2358" s="2">
        <v>190661</v>
      </c>
      <c r="I2358" s="2">
        <v>1165425</v>
      </c>
      <c r="J2358" s="2" t="s">
        <v>3892</v>
      </c>
      <c r="K2358" s="2" t="s">
        <v>3894</v>
      </c>
      <c r="L2358" s="2">
        <v>2024</v>
      </c>
      <c r="M2358" s="2">
        <v>-974764</v>
      </c>
      <c r="N2358" s="2">
        <f xml:space="preserve"> (Table1[[#This Row],[Variance (USD)]] / Table1[[#This Row],[Actual Spending (USD)]]) * 100</f>
        <v>-83.640217088186702</v>
      </c>
      <c r="O2358" s="5" t="s">
        <v>3897</v>
      </c>
    </row>
    <row r="2359" spans="1:15" x14ac:dyDescent="0.25">
      <c r="A2359" s="4" t="s">
        <v>2372</v>
      </c>
      <c r="B2359" s="2" t="s">
        <v>3560</v>
      </c>
      <c r="C2359" s="2" t="s">
        <v>3874</v>
      </c>
      <c r="D2359" s="2" t="s">
        <v>3879</v>
      </c>
      <c r="E2359" s="3">
        <v>45283</v>
      </c>
      <c r="F2359" s="3">
        <v>45591</v>
      </c>
      <c r="G2359" s="2" t="s">
        <v>3884</v>
      </c>
      <c r="H2359" s="2">
        <v>68077</v>
      </c>
      <c r="I2359" s="2">
        <v>759353</v>
      </c>
      <c r="J2359" s="2" t="s">
        <v>3891</v>
      </c>
      <c r="K2359" s="2" t="s">
        <v>3893</v>
      </c>
      <c r="L2359" s="2">
        <v>2023</v>
      </c>
      <c r="M2359" s="2">
        <v>-691276</v>
      </c>
      <c r="N2359" s="2">
        <f xml:space="preserve"> (Table1[[#This Row],[Variance (USD)]] / Table1[[#This Row],[Actual Spending (USD)]]) * 100</f>
        <v>-91.034867841438697</v>
      </c>
      <c r="O2359" s="5" t="s">
        <v>3897</v>
      </c>
    </row>
    <row r="2360" spans="1:15" x14ac:dyDescent="0.25">
      <c r="A2360" s="4" t="s">
        <v>2373</v>
      </c>
      <c r="B2360" s="2" t="s">
        <v>3200</v>
      </c>
      <c r="C2360" s="2" t="s">
        <v>3870</v>
      </c>
      <c r="D2360" s="2" t="s">
        <v>3878</v>
      </c>
      <c r="E2360" s="3">
        <v>45639</v>
      </c>
      <c r="F2360" s="3">
        <v>45309</v>
      </c>
      <c r="G2360" s="2" t="s">
        <v>3884</v>
      </c>
      <c r="H2360" s="2">
        <v>901306</v>
      </c>
      <c r="I2360" s="2">
        <v>904479</v>
      </c>
      <c r="J2360" s="2" t="s">
        <v>3892</v>
      </c>
      <c r="K2360" s="2" t="s">
        <v>3894</v>
      </c>
      <c r="L2360" s="2">
        <v>2025</v>
      </c>
      <c r="M2360" s="2">
        <v>-3173</v>
      </c>
      <c r="N2360" s="2">
        <f xml:space="preserve"> (Table1[[#This Row],[Variance (USD)]] / Table1[[#This Row],[Actual Spending (USD)]]) * 100</f>
        <v>-0.35080969265179179</v>
      </c>
      <c r="O2360" s="5" t="s">
        <v>3897</v>
      </c>
    </row>
    <row r="2361" spans="1:15" x14ac:dyDescent="0.25">
      <c r="A2361" s="4" t="s">
        <v>2374</v>
      </c>
      <c r="B2361" s="2" t="s">
        <v>3600</v>
      </c>
      <c r="C2361" s="2" t="s">
        <v>3870</v>
      </c>
      <c r="D2361" s="2" t="s">
        <v>3880</v>
      </c>
      <c r="E2361" s="3">
        <v>44949</v>
      </c>
      <c r="F2361" s="3">
        <v>45303</v>
      </c>
      <c r="G2361" s="2" t="s">
        <v>3886</v>
      </c>
      <c r="H2361" s="2">
        <v>515462</v>
      </c>
      <c r="I2361" s="2">
        <v>379135</v>
      </c>
      <c r="J2361" s="2" t="s">
        <v>3888</v>
      </c>
      <c r="K2361" s="2" t="s">
        <v>3895</v>
      </c>
      <c r="L2361" s="2">
        <v>2025</v>
      </c>
      <c r="M2361" s="2">
        <v>136327</v>
      </c>
      <c r="N2361" s="2">
        <f xml:space="preserve"> (Table1[[#This Row],[Variance (USD)]] / Table1[[#This Row],[Actual Spending (USD)]]) * 100</f>
        <v>35.95737666002875</v>
      </c>
      <c r="O2361" s="5" t="s">
        <v>3899</v>
      </c>
    </row>
    <row r="2362" spans="1:15" x14ac:dyDescent="0.25">
      <c r="A2362" s="4" t="s">
        <v>2375</v>
      </c>
      <c r="B2362" s="2" t="s">
        <v>3464</v>
      </c>
      <c r="C2362" s="2" t="s">
        <v>3872</v>
      </c>
      <c r="D2362" s="2" t="s">
        <v>3883</v>
      </c>
      <c r="E2362" s="3">
        <v>45196</v>
      </c>
      <c r="F2362" s="3">
        <v>45695</v>
      </c>
      <c r="G2362" s="2" t="s">
        <v>3884</v>
      </c>
      <c r="H2362" s="2">
        <v>296797</v>
      </c>
      <c r="I2362" s="2">
        <v>879490</v>
      </c>
      <c r="J2362" s="2" t="s">
        <v>3889</v>
      </c>
      <c r="K2362" s="2" t="s">
        <v>3896</v>
      </c>
      <c r="L2362" s="2">
        <v>2023</v>
      </c>
      <c r="M2362" s="2">
        <v>-582693</v>
      </c>
      <c r="N2362" s="2">
        <f xml:space="preserve"> (Table1[[#This Row],[Variance (USD)]] / Table1[[#This Row],[Actual Spending (USD)]]) * 100</f>
        <v>-66.253510557254771</v>
      </c>
      <c r="O2362" s="5" t="s">
        <v>3897</v>
      </c>
    </row>
    <row r="2363" spans="1:15" x14ac:dyDescent="0.25">
      <c r="A2363" s="4" t="s">
        <v>2376</v>
      </c>
      <c r="B2363" s="2" t="s">
        <v>3392</v>
      </c>
      <c r="C2363" s="2" t="s">
        <v>3869</v>
      </c>
      <c r="D2363" s="2" t="s">
        <v>3877</v>
      </c>
      <c r="E2363" s="3">
        <v>45591</v>
      </c>
      <c r="F2363" s="3">
        <v>45995</v>
      </c>
      <c r="G2363" s="2" t="s">
        <v>3884</v>
      </c>
      <c r="H2363" s="2">
        <v>528988</v>
      </c>
      <c r="I2363" s="2">
        <v>522474</v>
      </c>
      <c r="J2363" s="2" t="s">
        <v>3890</v>
      </c>
      <c r="K2363" s="2" t="s">
        <v>3893</v>
      </c>
      <c r="L2363" s="2">
        <v>2025</v>
      </c>
      <c r="M2363" s="2">
        <v>6514</v>
      </c>
      <c r="N2363" s="2">
        <f xml:space="preserve"> (Table1[[#This Row],[Variance (USD)]] / Table1[[#This Row],[Actual Spending (USD)]]) * 100</f>
        <v>1.246760604355432</v>
      </c>
      <c r="O2363" s="5" t="s">
        <v>3897</v>
      </c>
    </row>
    <row r="2364" spans="1:15" x14ac:dyDescent="0.25">
      <c r="A2364" s="4" t="s">
        <v>2377</v>
      </c>
      <c r="B2364" s="2" t="s">
        <v>3682</v>
      </c>
      <c r="C2364" s="2" t="s">
        <v>3869</v>
      </c>
      <c r="D2364" s="2" t="s">
        <v>3880</v>
      </c>
      <c r="E2364" s="3">
        <v>45259</v>
      </c>
      <c r="F2364" s="3">
        <v>45523</v>
      </c>
      <c r="G2364" s="2" t="s">
        <v>3884</v>
      </c>
      <c r="H2364" s="2">
        <v>219299</v>
      </c>
      <c r="I2364" s="2">
        <v>1012430</v>
      </c>
      <c r="J2364" s="2" t="s">
        <v>3888</v>
      </c>
      <c r="K2364" s="2" t="s">
        <v>3893</v>
      </c>
      <c r="L2364" s="2">
        <v>2024</v>
      </c>
      <c r="M2364" s="2">
        <v>-793131</v>
      </c>
      <c r="N2364" s="2">
        <f xml:space="preserve"> (Table1[[#This Row],[Variance (USD)]] / Table1[[#This Row],[Actual Spending (USD)]]) * 100</f>
        <v>-78.339341979198565</v>
      </c>
      <c r="O2364" s="5" t="s">
        <v>3897</v>
      </c>
    </row>
    <row r="2365" spans="1:15" x14ac:dyDescent="0.25">
      <c r="A2365" s="4" t="s">
        <v>2378</v>
      </c>
      <c r="B2365" s="2" t="s">
        <v>3700</v>
      </c>
      <c r="C2365" s="2" t="s">
        <v>3871</v>
      </c>
      <c r="D2365" s="2" t="s">
        <v>3876</v>
      </c>
      <c r="E2365" s="3">
        <v>45011</v>
      </c>
      <c r="F2365" s="3">
        <v>45896</v>
      </c>
      <c r="G2365" s="2" t="s">
        <v>3884</v>
      </c>
      <c r="H2365" s="2">
        <v>458153</v>
      </c>
      <c r="I2365" s="2">
        <v>962511</v>
      </c>
      <c r="J2365" s="2" t="s">
        <v>3889</v>
      </c>
      <c r="K2365" s="2" t="s">
        <v>3893</v>
      </c>
      <c r="L2365" s="2">
        <v>2023</v>
      </c>
      <c r="M2365" s="2">
        <v>-504358</v>
      </c>
      <c r="N2365" s="2">
        <f xml:space="preserve"> (Table1[[#This Row],[Variance (USD)]] / Table1[[#This Row],[Actual Spending (USD)]]) * 100</f>
        <v>-52.400232309033356</v>
      </c>
      <c r="O2365" s="5" t="s">
        <v>3897</v>
      </c>
    </row>
    <row r="2366" spans="1:15" x14ac:dyDescent="0.25">
      <c r="A2366" s="4" t="s">
        <v>2379</v>
      </c>
      <c r="B2366" s="2" t="s">
        <v>3714</v>
      </c>
      <c r="C2366" s="2" t="s">
        <v>3875</v>
      </c>
      <c r="D2366" s="2" t="s">
        <v>3878</v>
      </c>
      <c r="E2366" s="3">
        <v>45547</v>
      </c>
      <c r="F2366" s="3">
        <v>46021</v>
      </c>
      <c r="G2366" s="2" t="s">
        <v>3886</v>
      </c>
      <c r="H2366" s="2">
        <v>321898</v>
      </c>
      <c r="I2366" s="2">
        <v>872252</v>
      </c>
      <c r="J2366" s="2" t="s">
        <v>3891</v>
      </c>
      <c r="K2366" s="2" t="s">
        <v>3893</v>
      </c>
      <c r="L2366" s="2">
        <v>2024</v>
      </c>
      <c r="M2366" s="2">
        <v>-550354</v>
      </c>
      <c r="N2366" s="2">
        <f xml:space="preserve"> (Table1[[#This Row],[Variance (USD)]] / Table1[[#This Row],[Actual Spending (USD)]]) * 100</f>
        <v>-63.095756730853012</v>
      </c>
      <c r="O2366" s="5" t="s">
        <v>3899</v>
      </c>
    </row>
    <row r="2367" spans="1:15" x14ac:dyDescent="0.25">
      <c r="A2367" s="4" t="s">
        <v>2380</v>
      </c>
      <c r="B2367" s="2" t="s">
        <v>3504</v>
      </c>
      <c r="C2367" s="2" t="s">
        <v>3874</v>
      </c>
      <c r="D2367" s="2" t="s">
        <v>3877</v>
      </c>
      <c r="E2367" s="3">
        <v>44957</v>
      </c>
      <c r="F2367" s="3">
        <v>45569</v>
      </c>
      <c r="G2367" s="2" t="s">
        <v>3885</v>
      </c>
      <c r="H2367" s="2">
        <v>337832</v>
      </c>
      <c r="I2367" s="2">
        <v>962930</v>
      </c>
      <c r="J2367" s="2" t="s">
        <v>3891</v>
      </c>
      <c r="K2367" s="2" t="s">
        <v>3895</v>
      </c>
      <c r="L2367" s="2">
        <v>2024</v>
      </c>
      <c r="M2367" s="2">
        <v>-625098</v>
      </c>
      <c r="N2367" s="2">
        <f xml:space="preserve"> (Table1[[#This Row],[Variance (USD)]] / Table1[[#This Row],[Actual Spending (USD)]]) * 100</f>
        <v>-64.916245209932185</v>
      </c>
      <c r="O2367" s="5" t="s">
        <v>3898</v>
      </c>
    </row>
    <row r="2368" spans="1:15" x14ac:dyDescent="0.25">
      <c r="A2368" s="4" t="s">
        <v>2381</v>
      </c>
      <c r="B2368" s="2" t="s">
        <v>3361</v>
      </c>
      <c r="C2368" s="2" t="s">
        <v>3875</v>
      </c>
      <c r="D2368" s="2" t="s">
        <v>3876</v>
      </c>
      <c r="E2368" s="3">
        <v>45166</v>
      </c>
      <c r="F2368" s="3">
        <v>45644</v>
      </c>
      <c r="G2368" s="2" t="s">
        <v>3886</v>
      </c>
      <c r="H2368" s="2">
        <v>843480</v>
      </c>
      <c r="I2368" s="2">
        <v>1020135</v>
      </c>
      <c r="J2368" s="2" t="s">
        <v>3891</v>
      </c>
      <c r="K2368" s="2" t="s">
        <v>3895</v>
      </c>
      <c r="L2368" s="2">
        <v>2025</v>
      </c>
      <c r="M2368" s="2">
        <v>-176655</v>
      </c>
      <c r="N2368" s="2">
        <f xml:space="preserve"> (Table1[[#This Row],[Variance (USD)]] / Table1[[#This Row],[Actual Spending (USD)]]) * 100</f>
        <v>-17.316825714243702</v>
      </c>
      <c r="O2368" s="5" t="s">
        <v>3899</v>
      </c>
    </row>
    <row r="2369" spans="1:15" x14ac:dyDescent="0.25">
      <c r="A2369" s="4" t="s">
        <v>2382</v>
      </c>
      <c r="B2369" s="2" t="s">
        <v>3684</v>
      </c>
      <c r="C2369" s="2" t="s">
        <v>3872</v>
      </c>
      <c r="D2369" s="2" t="s">
        <v>3881</v>
      </c>
      <c r="E2369" s="3">
        <v>45289</v>
      </c>
      <c r="F2369" s="3">
        <v>45594</v>
      </c>
      <c r="G2369" s="2" t="s">
        <v>3884</v>
      </c>
      <c r="H2369" s="2">
        <v>334712</v>
      </c>
      <c r="I2369" s="2">
        <v>250712</v>
      </c>
      <c r="J2369" s="2" t="s">
        <v>3892</v>
      </c>
      <c r="K2369" s="2" t="s">
        <v>3895</v>
      </c>
      <c r="L2369" s="2">
        <v>2023</v>
      </c>
      <c r="M2369" s="2">
        <v>84000</v>
      </c>
      <c r="N2369" s="2">
        <f xml:space="preserve"> (Table1[[#This Row],[Variance (USD)]] / Table1[[#This Row],[Actual Spending (USD)]]) * 100</f>
        <v>33.504578959124416</v>
      </c>
      <c r="O2369" s="5" t="s">
        <v>3897</v>
      </c>
    </row>
    <row r="2370" spans="1:15" x14ac:dyDescent="0.25">
      <c r="A2370" s="4" t="s">
        <v>2383</v>
      </c>
      <c r="B2370" s="2" t="s">
        <v>3234</v>
      </c>
      <c r="C2370" s="2" t="s">
        <v>3870</v>
      </c>
      <c r="D2370" s="2" t="s">
        <v>3879</v>
      </c>
      <c r="E2370" s="3">
        <v>45315</v>
      </c>
      <c r="F2370" s="3">
        <v>45832</v>
      </c>
      <c r="G2370" s="2" t="s">
        <v>3884</v>
      </c>
      <c r="H2370" s="2">
        <v>934015</v>
      </c>
      <c r="I2370" s="2">
        <v>1047765</v>
      </c>
      <c r="J2370" s="2" t="s">
        <v>3891</v>
      </c>
      <c r="K2370" s="2" t="s">
        <v>3895</v>
      </c>
      <c r="L2370" s="2">
        <v>2024</v>
      </c>
      <c r="M2370" s="2">
        <v>-113750</v>
      </c>
      <c r="N2370" s="2">
        <f xml:space="preserve"> (Table1[[#This Row],[Variance (USD)]] / Table1[[#This Row],[Actual Spending (USD)]]) * 100</f>
        <v>-10.856442045687725</v>
      </c>
      <c r="O2370" s="5" t="s">
        <v>3897</v>
      </c>
    </row>
    <row r="2371" spans="1:15" x14ac:dyDescent="0.25">
      <c r="A2371" s="4" t="s">
        <v>2384</v>
      </c>
      <c r="B2371" s="2" t="s">
        <v>3168</v>
      </c>
      <c r="C2371" s="2" t="s">
        <v>3871</v>
      </c>
      <c r="D2371" s="2" t="s">
        <v>3876</v>
      </c>
      <c r="E2371" s="3">
        <v>45579</v>
      </c>
      <c r="F2371" s="3">
        <v>45761</v>
      </c>
      <c r="G2371" s="2" t="s">
        <v>3887</v>
      </c>
      <c r="H2371" s="2">
        <v>460761</v>
      </c>
      <c r="I2371" s="2">
        <v>821376</v>
      </c>
      <c r="J2371" s="2" t="s">
        <v>3891</v>
      </c>
      <c r="K2371" s="2" t="s">
        <v>3896</v>
      </c>
      <c r="L2371" s="2">
        <v>2024</v>
      </c>
      <c r="M2371" s="2">
        <v>-360615</v>
      </c>
      <c r="N2371" s="2">
        <f xml:space="preserve"> (Table1[[#This Row],[Variance (USD)]] / Table1[[#This Row],[Actual Spending (USD)]]) * 100</f>
        <v>-43.903766362786349</v>
      </c>
      <c r="O2371" s="5" t="s">
        <v>3900</v>
      </c>
    </row>
    <row r="2372" spans="1:15" x14ac:dyDescent="0.25">
      <c r="A2372" s="4" t="s">
        <v>2385</v>
      </c>
      <c r="B2372" s="2" t="s">
        <v>3418</v>
      </c>
      <c r="C2372" s="2" t="s">
        <v>3871</v>
      </c>
      <c r="D2372" s="2" t="s">
        <v>3877</v>
      </c>
      <c r="E2372" s="3">
        <v>45594</v>
      </c>
      <c r="F2372" s="3">
        <v>45368</v>
      </c>
      <c r="G2372" s="2" t="s">
        <v>3884</v>
      </c>
      <c r="H2372" s="2">
        <v>144449</v>
      </c>
      <c r="I2372" s="2">
        <v>461042</v>
      </c>
      <c r="J2372" s="2" t="s">
        <v>3892</v>
      </c>
      <c r="K2372" s="2" t="s">
        <v>3894</v>
      </c>
      <c r="L2372" s="2">
        <v>2023</v>
      </c>
      <c r="M2372" s="2">
        <v>-316593</v>
      </c>
      <c r="N2372" s="2">
        <f xml:space="preserve"> (Table1[[#This Row],[Variance (USD)]] / Table1[[#This Row],[Actual Spending (USD)]]) * 100</f>
        <v>-68.669014970436535</v>
      </c>
      <c r="O2372" s="5" t="s">
        <v>3897</v>
      </c>
    </row>
    <row r="2373" spans="1:15" x14ac:dyDescent="0.25">
      <c r="A2373" s="4" t="s">
        <v>2386</v>
      </c>
      <c r="B2373" s="2" t="s">
        <v>3838</v>
      </c>
      <c r="C2373" s="2" t="s">
        <v>3871</v>
      </c>
      <c r="D2373" s="2" t="s">
        <v>3882</v>
      </c>
      <c r="E2373" s="3">
        <v>45225</v>
      </c>
      <c r="F2373" s="3">
        <v>45812</v>
      </c>
      <c r="G2373" s="2" t="s">
        <v>3885</v>
      </c>
      <c r="H2373" s="2">
        <v>619505</v>
      </c>
      <c r="I2373" s="2">
        <v>846929</v>
      </c>
      <c r="J2373" s="2" t="s">
        <v>3889</v>
      </c>
      <c r="K2373" s="2" t="s">
        <v>3895</v>
      </c>
      <c r="L2373" s="2">
        <v>2025</v>
      </c>
      <c r="M2373" s="2">
        <v>-227424</v>
      </c>
      <c r="N2373" s="2">
        <f xml:space="preserve"> (Table1[[#This Row],[Variance (USD)]] / Table1[[#This Row],[Actual Spending (USD)]]) * 100</f>
        <v>-26.852782228498494</v>
      </c>
      <c r="O2373" s="5" t="s">
        <v>3898</v>
      </c>
    </row>
    <row r="2374" spans="1:15" x14ac:dyDescent="0.25">
      <c r="A2374" s="4" t="s">
        <v>2387</v>
      </c>
      <c r="B2374" s="2" t="s">
        <v>3754</v>
      </c>
      <c r="C2374" s="2" t="s">
        <v>3872</v>
      </c>
      <c r="D2374" s="2" t="s">
        <v>3877</v>
      </c>
      <c r="E2374" s="3">
        <v>45297</v>
      </c>
      <c r="F2374" s="3">
        <v>45315</v>
      </c>
      <c r="G2374" s="2" t="s">
        <v>3884</v>
      </c>
      <c r="H2374" s="2">
        <v>229194</v>
      </c>
      <c r="I2374" s="2">
        <v>844155</v>
      </c>
      <c r="J2374" s="2" t="s">
        <v>3888</v>
      </c>
      <c r="K2374" s="2" t="s">
        <v>3894</v>
      </c>
      <c r="L2374" s="2">
        <v>2024</v>
      </c>
      <c r="M2374" s="2">
        <v>-614961</v>
      </c>
      <c r="N2374" s="2">
        <f xml:space="preserve"> (Table1[[#This Row],[Variance (USD)]] / Table1[[#This Row],[Actual Spending (USD)]]) * 100</f>
        <v>-72.849299003145148</v>
      </c>
      <c r="O2374" s="5" t="s">
        <v>3897</v>
      </c>
    </row>
    <row r="2375" spans="1:15" x14ac:dyDescent="0.25">
      <c r="A2375" s="4" t="s">
        <v>2388</v>
      </c>
      <c r="B2375" s="2" t="s">
        <v>3022</v>
      </c>
      <c r="C2375" s="2" t="s">
        <v>3875</v>
      </c>
      <c r="D2375" s="2" t="s">
        <v>3882</v>
      </c>
      <c r="E2375" s="3">
        <v>45025</v>
      </c>
      <c r="F2375" s="3">
        <v>45306</v>
      </c>
      <c r="G2375" s="2" t="s">
        <v>3885</v>
      </c>
      <c r="H2375" s="2">
        <v>573048</v>
      </c>
      <c r="I2375" s="2">
        <v>982791</v>
      </c>
      <c r="J2375" s="2" t="s">
        <v>3890</v>
      </c>
      <c r="K2375" s="2" t="s">
        <v>3893</v>
      </c>
      <c r="L2375" s="2">
        <v>2023</v>
      </c>
      <c r="M2375" s="2">
        <v>-409743</v>
      </c>
      <c r="N2375" s="2">
        <f xml:space="preserve"> (Table1[[#This Row],[Variance (USD)]] / Table1[[#This Row],[Actual Spending (USD)]]) * 100</f>
        <v>-41.691773734191706</v>
      </c>
      <c r="O2375" s="5" t="s">
        <v>3898</v>
      </c>
    </row>
    <row r="2376" spans="1:15" x14ac:dyDescent="0.25">
      <c r="A2376" s="4" t="s">
        <v>2389</v>
      </c>
      <c r="B2376" s="2" t="s">
        <v>3839</v>
      </c>
      <c r="C2376" s="2" t="s">
        <v>3870</v>
      </c>
      <c r="D2376" s="2" t="s">
        <v>3881</v>
      </c>
      <c r="E2376" s="3">
        <v>44973</v>
      </c>
      <c r="F2376" s="3">
        <v>45967</v>
      </c>
      <c r="G2376" s="2" t="s">
        <v>3884</v>
      </c>
      <c r="H2376" s="2">
        <v>214818</v>
      </c>
      <c r="I2376" s="2">
        <v>828277</v>
      </c>
      <c r="J2376" s="2" t="s">
        <v>3891</v>
      </c>
      <c r="K2376" s="2" t="s">
        <v>3896</v>
      </c>
      <c r="L2376" s="2">
        <v>2023</v>
      </c>
      <c r="M2376" s="2">
        <v>-613459</v>
      </c>
      <c r="N2376" s="2">
        <f xml:space="preserve"> (Table1[[#This Row],[Variance (USD)]] / Table1[[#This Row],[Actual Spending (USD)]]) * 100</f>
        <v>-74.064473600015461</v>
      </c>
      <c r="O2376" s="5" t="s">
        <v>3897</v>
      </c>
    </row>
    <row r="2377" spans="1:15" x14ac:dyDescent="0.25">
      <c r="A2377" s="4" t="s">
        <v>2390</v>
      </c>
      <c r="B2377" s="2" t="s">
        <v>3366</v>
      </c>
      <c r="C2377" s="2" t="s">
        <v>3871</v>
      </c>
      <c r="D2377" s="2" t="s">
        <v>3879</v>
      </c>
      <c r="E2377" s="3">
        <v>45348</v>
      </c>
      <c r="F2377" s="3">
        <v>45816</v>
      </c>
      <c r="G2377" s="2" t="s">
        <v>3884</v>
      </c>
      <c r="H2377" s="2">
        <v>976213</v>
      </c>
      <c r="I2377" s="2">
        <v>491322</v>
      </c>
      <c r="J2377" s="2" t="s">
        <v>3891</v>
      </c>
      <c r="K2377" s="2" t="s">
        <v>3896</v>
      </c>
      <c r="L2377" s="2">
        <v>2024</v>
      </c>
      <c r="M2377" s="2">
        <v>484891</v>
      </c>
      <c r="N2377" s="2">
        <f xml:space="preserve"> (Table1[[#This Row],[Variance (USD)]] / Table1[[#This Row],[Actual Spending (USD)]]) * 100</f>
        <v>98.691082426595997</v>
      </c>
      <c r="O2377" s="5" t="s">
        <v>3897</v>
      </c>
    </row>
    <row r="2378" spans="1:15" x14ac:dyDescent="0.25">
      <c r="A2378" s="4" t="s">
        <v>2391</v>
      </c>
      <c r="B2378" s="2" t="s">
        <v>3626</v>
      </c>
      <c r="C2378" s="2" t="s">
        <v>3870</v>
      </c>
      <c r="D2378" s="2" t="s">
        <v>3882</v>
      </c>
      <c r="E2378" s="3">
        <v>45406</v>
      </c>
      <c r="F2378" s="3">
        <v>45638</v>
      </c>
      <c r="G2378" s="2" t="s">
        <v>3886</v>
      </c>
      <c r="H2378" s="2">
        <v>177873</v>
      </c>
      <c r="I2378" s="2">
        <v>246879</v>
      </c>
      <c r="J2378" s="2" t="s">
        <v>3891</v>
      </c>
      <c r="K2378" s="2" t="s">
        <v>3894</v>
      </c>
      <c r="L2378" s="2">
        <v>2024</v>
      </c>
      <c r="M2378" s="2">
        <v>-69006</v>
      </c>
      <c r="N2378" s="2">
        <f xml:space="preserve"> (Table1[[#This Row],[Variance (USD)]] / Table1[[#This Row],[Actual Spending (USD)]]) * 100</f>
        <v>-27.951344585809242</v>
      </c>
      <c r="O2378" s="5" t="s">
        <v>3899</v>
      </c>
    </row>
    <row r="2379" spans="1:15" x14ac:dyDescent="0.25">
      <c r="A2379" s="4" t="s">
        <v>2392</v>
      </c>
      <c r="B2379" s="2" t="s">
        <v>3614</v>
      </c>
      <c r="C2379" s="2" t="s">
        <v>3868</v>
      </c>
      <c r="D2379" s="2" t="s">
        <v>3882</v>
      </c>
      <c r="E2379" s="3">
        <v>45505</v>
      </c>
      <c r="F2379" s="3">
        <v>45463</v>
      </c>
      <c r="G2379" s="2" t="s">
        <v>3886</v>
      </c>
      <c r="H2379" s="2">
        <v>337502</v>
      </c>
      <c r="I2379" s="2">
        <v>1134145</v>
      </c>
      <c r="J2379" s="2" t="s">
        <v>3892</v>
      </c>
      <c r="K2379" s="2" t="s">
        <v>3894</v>
      </c>
      <c r="L2379" s="2">
        <v>2024</v>
      </c>
      <c r="M2379" s="2">
        <v>-796643</v>
      </c>
      <c r="N2379" s="2">
        <f xml:space="preserve"> (Table1[[#This Row],[Variance (USD)]] / Table1[[#This Row],[Actual Spending (USD)]]) * 100</f>
        <v>-70.24172394182402</v>
      </c>
      <c r="O2379" s="5" t="s">
        <v>3899</v>
      </c>
    </row>
    <row r="2380" spans="1:15" x14ac:dyDescent="0.25">
      <c r="A2380" s="4" t="s">
        <v>2393</v>
      </c>
      <c r="B2380" s="2" t="s">
        <v>3031</v>
      </c>
      <c r="C2380" s="2" t="s">
        <v>3869</v>
      </c>
      <c r="D2380" s="2" t="s">
        <v>3876</v>
      </c>
      <c r="E2380" s="3">
        <v>44988</v>
      </c>
      <c r="F2380" s="3">
        <v>45618</v>
      </c>
      <c r="G2380" s="2" t="s">
        <v>3884</v>
      </c>
      <c r="H2380" s="2">
        <v>164064</v>
      </c>
      <c r="I2380" s="2">
        <v>111434</v>
      </c>
      <c r="J2380" s="2" t="s">
        <v>3892</v>
      </c>
      <c r="K2380" s="2" t="s">
        <v>3894</v>
      </c>
      <c r="L2380" s="2">
        <v>2025</v>
      </c>
      <c r="M2380" s="2">
        <v>52630</v>
      </c>
      <c r="N2380" s="2">
        <f xml:space="preserve"> (Table1[[#This Row],[Variance (USD)]] / Table1[[#This Row],[Actual Spending (USD)]]) * 100</f>
        <v>47.229750345495994</v>
      </c>
      <c r="O2380" s="5" t="s">
        <v>3897</v>
      </c>
    </row>
    <row r="2381" spans="1:15" x14ac:dyDescent="0.25">
      <c r="A2381" s="4" t="s">
        <v>2394</v>
      </c>
      <c r="B2381" s="2" t="s">
        <v>3260</v>
      </c>
      <c r="C2381" s="2" t="s">
        <v>3869</v>
      </c>
      <c r="D2381" s="2" t="s">
        <v>3876</v>
      </c>
      <c r="E2381" s="3">
        <v>45035</v>
      </c>
      <c r="F2381" s="3">
        <v>46003</v>
      </c>
      <c r="G2381" s="2" t="s">
        <v>3886</v>
      </c>
      <c r="H2381" s="2">
        <v>847455</v>
      </c>
      <c r="I2381" s="2">
        <v>972967</v>
      </c>
      <c r="J2381" s="2" t="s">
        <v>3892</v>
      </c>
      <c r="K2381" s="2" t="s">
        <v>3896</v>
      </c>
      <c r="L2381" s="2">
        <v>2025</v>
      </c>
      <c r="M2381" s="2">
        <v>-125512</v>
      </c>
      <c r="N2381" s="2">
        <f xml:space="preserve"> (Table1[[#This Row],[Variance (USD)]] / Table1[[#This Row],[Actual Spending (USD)]]) * 100</f>
        <v>-12.899923635642319</v>
      </c>
      <c r="O2381" s="5" t="s">
        <v>3899</v>
      </c>
    </row>
    <row r="2382" spans="1:15" x14ac:dyDescent="0.25">
      <c r="A2382" s="4" t="s">
        <v>2395</v>
      </c>
      <c r="B2382" s="2" t="s">
        <v>3692</v>
      </c>
      <c r="C2382" s="2" t="s">
        <v>3870</v>
      </c>
      <c r="D2382" s="2" t="s">
        <v>3879</v>
      </c>
      <c r="E2382" s="3">
        <v>45605</v>
      </c>
      <c r="F2382" s="3">
        <v>45776</v>
      </c>
      <c r="G2382" s="2" t="s">
        <v>3886</v>
      </c>
      <c r="H2382" s="2">
        <v>669675</v>
      </c>
      <c r="I2382" s="2">
        <v>1035844</v>
      </c>
      <c r="J2382" s="2" t="s">
        <v>3890</v>
      </c>
      <c r="K2382" s="2" t="s">
        <v>3895</v>
      </c>
      <c r="L2382" s="2">
        <v>2023</v>
      </c>
      <c r="M2382" s="2">
        <v>-366169</v>
      </c>
      <c r="N2382" s="2">
        <f xml:space="preserve"> (Table1[[#This Row],[Variance (USD)]] / Table1[[#This Row],[Actual Spending (USD)]]) * 100</f>
        <v>-35.349821015519709</v>
      </c>
      <c r="O2382" s="5" t="s">
        <v>3899</v>
      </c>
    </row>
    <row r="2383" spans="1:15" x14ac:dyDescent="0.25">
      <c r="A2383" s="4" t="s">
        <v>2396</v>
      </c>
      <c r="B2383" s="2" t="s">
        <v>3757</v>
      </c>
      <c r="C2383" s="2" t="s">
        <v>3873</v>
      </c>
      <c r="D2383" s="2" t="s">
        <v>3876</v>
      </c>
      <c r="E2383" s="3">
        <v>45475</v>
      </c>
      <c r="F2383" s="3">
        <v>45780</v>
      </c>
      <c r="G2383" s="2" t="s">
        <v>3884</v>
      </c>
      <c r="H2383" s="2">
        <v>734116</v>
      </c>
      <c r="I2383" s="2">
        <v>1130658</v>
      </c>
      <c r="J2383" s="2" t="s">
        <v>3888</v>
      </c>
      <c r="K2383" s="2" t="s">
        <v>3896</v>
      </c>
      <c r="L2383" s="2">
        <v>2023</v>
      </c>
      <c r="M2383" s="2">
        <v>-396542</v>
      </c>
      <c r="N2383" s="2">
        <f xml:space="preserve"> (Table1[[#This Row],[Variance (USD)]] / Table1[[#This Row],[Actual Spending (USD)]]) * 100</f>
        <v>-35.071790054994523</v>
      </c>
      <c r="O2383" s="5" t="s">
        <v>3897</v>
      </c>
    </row>
    <row r="2384" spans="1:15" x14ac:dyDescent="0.25">
      <c r="A2384" s="4" t="s">
        <v>2397</v>
      </c>
      <c r="B2384" s="2" t="s">
        <v>3280</v>
      </c>
      <c r="C2384" s="2" t="s">
        <v>3873</v>
      </c>
      <c r="D2384" s="2" t="s">
        <v>3880</v>
      </c>
      <c r="E2384" s="3">
        <v>45045</v>
      </c>
      <c r="F2384" s="3">
        <v>45753</v>
      </c>
      <c r="G2384" s="2" t="s">
        <v>3884</v>
      </c>
      <c r="H2384" s="2">
        <v>759641</v>
      </c>
      <c r="I2384" s="2">
        <v>477905</v>
      </c>
      <c r="J2384" s="2" t="s">
        <v>3891</v>
      </c>
      <c r="K2384" s="2" t="s">
        <v>3895</v>
      </c>
      <c r="L2384" s="2">
        <v>2024</v>
      </c>
      <c r="M2384" s="2">
        <v>281736</v>
      </c>
      <c r="N2384" s="2">
        <f xml:space="preserve"> (Table1[[#This Row],[Variance (USD)]] / Table1[[#This Row],[Actual Spending (USD)]]) * 100</f>
        <v>58.952302235800005</v>
      </c>
      <c r="O2384" s="5" t="s">
        <v>3897</v>
      </c>
    </row>
    <row r="2385" spans="1:15" x14ac:dyDescent="0.25">
      <c r="A2385" s="4" t="s">
        <v>2398</v>
      </c>
      <c r="B2385" s="2" t="s">
        <v>3551</v>
      </c>
      <c r="C2385" s="2" t="s">
        <v>3872</v>
      </c>
      <c r="D2385" s="2" t="s">
        <v>3879</v>
      </c>
      <c r="E2385" s="3">
        <v>45524</v>
      </c>
      <c r="F2385" s="3">
        <v>45669</v>
      </c>
      <c r="G2385" s="2" t="s">
        <v>3884</v>
      </c>
      <c r="H2385" s="2">
        <v>136728</v>
      </c>
      <c r="I2385" s="2">
        <v>368551</v>
      </c>
      <c r="J2385" s="2" t="s">
        <v>3889</v>
      </c>
      <c r="K2385" s="2" t="s">
        <v>3893</v>
      </c>
      <c r="L2385" s="2">
        <v>2023</v>
      </c>
      <c r="M2385" s="2">
        <v>-231823</v>
      </c>
      <c r="N2385" s="2">
        <f xml:space="preserve"> (Table1[[#This Row],[Variance (USD)]] / Table1[[#This Row],[Actual Spending (USD)]]) * 100</f>
        <v>-62.901199562611424</v>
      </c>
      <c r="O2385" s="5" t="s">
        <v>3897</v>
      </c>
    </row>
    <row r="2386" spans="1:15" x14ac:dyDescent="0.25">
      <c r="A2386" s="4" t="s">
        <v>2399</v>
      </c>
      <c r="B2386" s="2" t="s">
        <v>3679</v>
      </c>
      <c r="C2386" s="2" t="s">
        <v>3872</v>
      </c>
      <c r="D2386" s="2" t="s">
        <v>3878</v>
      </c>
      <c r="E2386" s="3">
        <v>45308</v>
      </c>
      <c r="F2386" s="3">
        <v>45879</v>
      </c>
      <c r="G2386" s="2" t="s">
        <v>3884</v>
      </c>
      <c r="H2386" s="2">
        <v>228331</v>
      </c>
      <c r="I2386" s="2">
        <v>1036137</v>
      </c>
      <c r="J2386" s="2" t="s">
        <v>3891</v>
      </c>
      <c r="K2386" s="2" t="s">
        <v>3895</v>
      </c>
      <c r="L2386" s="2">
        <v>2025</v>
      </c>
      <c r="M2386" s="2">
        <v>-807806</v>
      </c>
      <c r="N2386" s="2">
        <f xml:space="preserve"> (Table1[[#This Row],[Variance (USD)]] / Table1[[#This Row],[Actual Spending (USD)]]) * 100</f>
        <v>-77.96324231255133</v>
      </c>
      <c r="O2386" s="5" t="s">
        <v>3897</v>
      </c>
    </row>
    <row r="2387" spans="1:15" x14ac:dyDescent="0.25">
      <c r="A2387" s="4" t="s">
        <v>2400</v>
      </c>
      <c r="B2387" s="2" t="s">
        <v>3094</v>
      </c>
      <c r="C2387" s="2" t="s">
        <v>3869</v>
      </c>
      <c r="D2387" s="2" t="s">
        <v>3882</v>
      </c>
      <c r="E2387" s="3">
        <v>45318</v>
      </c>
      <c r="F2387" s="3">
        <v>45455</v>
      </c>
      <c r="G2387" s="2" t="s">
        <v>3886</v>
      </c>
      <c r="H2387" s="2">
        <v>724199</v>
      </c>
      <c r="I2387" s="2">
        <v>881198</v>
      </c>
      <c r="J2387" s="2" t="s">
        <v>3891</v>
      </c>
      <c r="K2387" s="2" t="s">
        <v>3894</v>
      </c>
      <c r="L2387" s="2">
        <v>2023</v>
      </c>
      <c r="M2387" s="2">
        <v>-156999</v>
      </c>
      <c r="N2387" s="2">
        <f xml:space="preserve"> (Table1[[#This Row],[Variance (USD)]] / Table1[[#This Row],[Actual Spending (USD)]]) * 100</f>
        <v>-17.816540663959746</v>
      </c>
      <c r="O2387" s="5" t="s">
        <v>3899</v>
      </c>
    </row>
    <row r="2388" spans="1:15" x14ac:dyDescent="0.25">
      <c r="A2388" s="4" t="s">
        <v>2401</v>
      </c>
      <c r="B2388" s="2" t="s">
        <v>3320</v>
      </c>
      <c r="C2388" s="2" t="s">
        <v>3868</v>
      </c>
      <c r="D2388" s="2" t="s">
        <v>3877</v>
      </c>
      <c r="E2388" s="3">
        <v>44978</v>
      </c>
      <c r="F2388" s="3">
        <v>45663</v>
      </c>
      <c r="G2388" s="2" t="s">
        <v>3884</v>
      </c>
      <c r="H2388" s="2">
        <v>863842</v>
      </c>
      <c r="I2388" s="2">
        <v>1144287</v>
      </c>
      <c r="J2388" s="2" t="s">
        <v>3891</v>
      </c>
      <c r="K2388" s="2" t="s">
        <v>3895</v>
      </c>
      <c r="L2388" s="2">
        <v>2023</v>
      </c>
      <c r="M2388" s="2">
        <v>-280445</v>
      </c>
      <c r="N2388" s="2">
        <f xml:space="preserve"> (Table1[[#This Row],[Variance (USD)]] / Table1[[#This Row],[Actual Spending (USD)]]) * 100</f>
        <v>-24.508274584959892</v>
      </c>
      <c r="O2388" s="5" t="s">
        <v>3897</v>
      </c>
    </row>
    <row r="2389" spans="1:15" x14ac:dyDescent="0.25">
      <c r="A2389" s="4" t="s">
        <v>2402</v>
      </c>
      <c r="B2389" s="2" t="s">
        <v>3790</v>
      </c>
      <c r="C2389" s="2" t="s">
        <v>3874</v>
      </c>
      <c r="D2389" s="2" t="s">
        <v>3878</v>
      </c>
      <c r="E2389" s="3">
        <v>45529</v>
      </c>
      <c r="F2389" s="3">
        <v>45864</v>
      </c>
      <c r="G2389" s="2" t="s">
        <v>3884</v>
      </c>
      <c r="H2389" s="2">
        <v>155696</v>
      </c>
      <c r="I2389" s="2">
        <v>538469</v>
      </c>
      <c r="J2389" s="2" t="s">
        <v>3891</v>
      </c>
      <c r="K2389" s="2" t="s">
        <v>3895</v>
      </c>
      <c r="L2389" s="2">
        <v>2024</v>
      </c>
      <c r="M2389" s="2">
        <v>-382773</v>
      </c>
      <c r="N2389" s="2">
        <f xml:space="preserve"> (Table1[[#This Row],[Variance (USD)]] / Table1[[#This Row],[Actual Spending (USD)]]) * 100</f>
        <v>-71.085429244766189</v>
      </c>
      <c r="O2389" s="5" t="s">
        <v>3897</v>
      </c>
    </row>
    <row r="2390" spans="1:15" x14ac:dyDescent="0.25">
      <c r="A2390" s="4" t="s">
        <v>2403</v>
      </c>
      <c r="B2390" s="2" t="s">
        <v>3256</v>
      </c>
      <c r="C2390" s="2" t="s">
        <v>3875</v>
      </c>
      <c r="D2390" s="2" t="s">
        <v>3882</v>
      </c>
      <c r="E2390" s="3">
        <v>45215</v>
      </c>
      <c r="F2390" s="3">
        <v>45715</v>
      </c>
      <c r="G2390" s="2" t="s">
        <v>3884</v>
      </c>
      <c r="H2390" s="2">
        <v>323591</v>
      </c>
      <c r="I2390" s="2">
        <v>666288</v>
      </c>
      <c r="J2390" s="2" t="s">
        <v>3888</v>
      </c>
      <c r="K2390" s="2" t="s">
        <v>3896</v>
      </c>
      <c r="L2390" s="2">
        <v>2024</v>
      </c>
      <c r="M2390" s="2">
        <v>-342697</v>
      </c>
      <c r="N2390" s="2">
        <f xml:space="preserve"> (Table1[[#This Row],[Variance (USD)]] / Table1[[#This Row],[Actual Spending (USD)]]) * 100</f>
        <v>-51.433764378166799</v>
      </c>
      <c r="O2390" s="5" t="s">
        <v>3897</v>
      </c>
    </row>
    <row r="2391" spans="1:15" x14ac:dyDescent="0.25">
      <c r="A2391" s="4" t="s">
        <v>2404</v>
      </c>
      <c r="B2391" s="2" t="s">
        <v>3827</v>
      </c>
      <c r="C2391" s="2" t="s">
        <v>3875</v>
      </c>
      <c r="D2391" s="2" t="s">
        <v>3880</v>
      </c>
      <c r="E2391" s="3">
        <v>45263</v>
      </c>
      <c r="F2391" s="3">
        <v>45768</v>
      </c>
      <c r="G2391" s="2" t="s">
        <v>3884</v>
      </c>
      <c r="H2391" s="2">
        <v>167954</v>
      </c>
      <c r="I2391" s="2">
        <v>869941</v>
      </c>
      <c r="J2391" s="2" t="s">
        <v>3889</v>
      </c>
      <c r="K2391" s="2" t="s">
        <v>3894</v>
      </c>
      <c r="L2391" s="2">
        <v>2025</v>
      </c>
      <c r="M2391" s="2">
        <v>-701987</v>
      </c>
      <c r="N2391" s="2">
        <f xml:space="preserve"> (Table1[[#This Row],[Variance (USD)]] / Table1[[#This Row],[Actual Spending (USD)]]) * 100</f>
        <v>-80.693633246392565</v>
      </c>
      <c r="O2391" s="5" t="s">
        <v>3897</v>
      </c>
    </row>
    <row r="2392" spans="1:15" x14ac:dyDescent="0.25">
      <c r="A2392" s="4" t="s">
        <v>2405</v>
      </c>
      <c r="B2392" s="2" t="s">
        <v>3221</v>
      </c>
      <c r="C2392" s="2" t="s">
        <v>3872</v>
      </c>
      <c r="D2392" s="2" t="s">
        <v>3882</v>
      </c>
      <c r="E2392" s="3">
        <v>45130</v>
      </c>
      <c r="F2392" s="3">
        <v>45673</v>
      </c>
      <c r="G2392" s="2" t="s">
        <v>3884</v>
      </c>
      <c r="H2392" s="2">
        <v>136569</v>
      </c>
      <c r="I2392" s="2">
        <v>858786</v>
      </c>
      <c r="J2392" s="2" t="s">
        <v>3892</v>
      </c>
      <c r="K2392" s="2" t="s">
        <v>3893</v>
      </c>
      <c r="L2392" s="2">
        <v>2023</v>
      </c>
      <c r="M2392" s="2">
        <v>-722217</v>
      </c>
      <c r="N2392" s="2">
        <f xml:space="preserve"> (Table1[[#This Row],[Variance (USD)]] / Table1[[#This Row],[Actual Spending (USD)]]) * 100</f>
        <v>-84.097435216689604</v>
      </c>
      <c r="O2392" s="5" t="s">
        <v>3897</v>
      </c>
    </row>
    <row r="2393" spans="1:15" x14ac:dyDescent="0.25">
      <c r="A2393" s="4" t="s">
        <v>2406</v>
      </c>
      <c r="B2393" s="2" t="s">
        <v>3561</v>
      </c>
      <c r="C2393" s="2" t="s">
        <v>3868</v>
      </c>
      <c r="D2393" s="2" t="s">
        <v>3882</v>
      </c>
      <c r="E2393" s="3">
        <v>45164</v>
      </c>
      <c r="F2393" s="3">
        <v>45446</v>
      </c>
      <c r="G2393" s="2" t="s">
        <v>3884</v>
      </c>
      <c r="H2393" s="2">
        <v>287963</v>
      </c>
      <c r="I2393" s="2">
        <v>330714</v>
      </c>
      <c r="J2393" s="2" t="s">
        <v>3889</v>
      </c>
      <c r="K2393" s="2" t="s">
        <v>3895</v>
      </c>
      <c r="L2393" s="2">
        <v>2023</v>
      </c>
      <c r="M2393" s="2">
        <v>-42751</v>
      </c>
      <c r="N2393" s="2">
        <f xml:space="preserve"> (Table1[[#This Row],[Variance (USD)]] / Table1[[#This Row],[Actual Spending (USD)]]) * 100</f>
        <v>-12.926879418470341</v>
      </c>
      <c r="O2393" s="5" t="s">
        <v>3897</v>
      </c>
    </row>
    <row r="2394" spans="1:15" x14ac:dyDescent="0.25">
      <c r="A2394" s="4" t="s">
        <v>2407</v>
      </c>
      <c r="B2394" s="2" t="s">
        <v>3369</v>
      </c>
      <c r="C2394" s="2" t="s">
        <v>3872</v>
      </c>
      <c r="D2394" s="2" t="s">
        <v>3882</v>
      </c>
      <c r="E2394" s="3">
        <v>45308</v>
      </c>
      <c r="F2394" s="3">
        <v>45548</v>
      </c>
      <c r="G2394" s="2" t="s">
        <v>3884</v>
      </c>
      <c r="H2394" s="2">
        <v>781025</v>
      </c>
      <c r="I2394" s="2">
        <v>46263</v>
      </c>
      <c r="J2394" s="2" t="s">
        <v>3891</v>
      </c>
      <c r="K2394" s="2" t="s">
        <v>3893</v>
      </c>
      <c r="L2394" s="2">
        <v>2023</v>
      </c>
      <c r="M2394" s="2">
        <v>734762</v>
      </c>
      <c r="N2394" s="2">
        <f xml:space="preserve"> (Table1[[#This Row],[Variance (USD)]] / Table1[[#This Row],[Actual Spending (USD)]]) * 100</f>
        <v>1588.2281737025269</v>
      </c>
      <c r="O2394" s="5" t="s">
        <v>3897</v>
      </c>
    </row>
    <row r="2395" spans="1:15" x14ac:dyDescent="0.25">
      <c r="A2395" s="4" t="s">
        <v>2408</v>
      </c>
      <c r="B2395" s="2" t="s">
        <v>3744</v>
      </c>
      <c r="C2395" s="2" t="s">
        <v>3874</v>
      </c>
      <c r="D2395" s="2" t="s">
        <v>3881</v>
      </c>
      <c r="E2395" s="3">
        <v>45593</v>
      </c>
      <c r="F2395" s="3">
        <v>45965</v>
      </c>
      <c r="G2395" s="2" t="s">
        <v>3887</v>
      </c>
      <c r="H2395" s="2">
        <v>932326</v>
      </c>
      <c r="I2395" s="2">
        <v>532574</v>
      </c>
      <c r="J2395" s="2" t="s">
        <v>3889</v>
      </c>
      <c r="K2395" s="2" t="s">
        <v>3894</v>
      </c>
      <c r="L2395" s="2">
        <v>2024</v>
      </c>
      <c r="M2395" s="2">
        <v>399752</v>
      </c>
      <c r="N2395" s="2">
        <f xml:space="preserve"> (Table1[[#This Row],[Variance (USD)]] / Table1[[#This Row],[Actual Spending (USD)]]) * 100</f>
        <v>75.060367197797859</v>
      </c>
      <c r="O2395" s="5" t="s">
        <v>3900</v>
      </c>
    </row>
    <row r="2396" spans="1:15" x14ac:dyDescent="0.25">
      <c r="A2396" s="4" t="s">
        <v>2409</v>
      </c>
      <c r="B2396" s="2" t="s">
        <v>3640</v>
      </c>
      <c r="C2396" s="2" t="s">
        <v>3875</v>
      </c>
      <c r="D2396" s="2" t="s">
        <v>3880</v>
      </c>
      <c r="E2396" s="3">
        <v>45062</v>
      </c>
      <c r="F2396" s="3">
        <v>45359</v>
      </c>
      <c r="G2396" s="2" t="s">
        <v>3884</v>
      </c>
      <c r="H2396" s="2">
        <v>850339</v>
      </c>
      <c r="I2396" s="2">
        <v>1153924</v>
      </c>
      <c r="J2396" s="2" t="s">
        <v>3891</v>
      </c>
      <c r="K2396" s="2" t="s">
        <v>3895</v>
      </c>
      <c r="L2396" s="2">
        <v>2025</v>
      </c>
      <c r="M2396" s="2">
        <v>-303585</v>
      </c>
      <c r="N2396" s="2">
        <f xml:space="preserve"> (Table1[[#This Row],[Variance (USD)]] / Table1[[#This Row],[Actual Spending (USD)]]) * 100</f>
        <v>-26.30892502452501</v>
      </c>
      <c r="O2396" s="5" t="s">
        <v>3897</v>
      </c>
    </row>
    <row r="2397" spans="1:15" x14ac:dyDescent="0.25">
      <c r="A2397" s="4" t="s">
        <v>2410</v>
      </c>
      <c r="B2397" s="2" t="s">
        <v>3077</v>
      </c>
      <c r="C2397" s="2" t="s">
        <v>3870</v>
      </c>
      <c r="D2397" s="2" t="s">
        <v>3883</v>
      </c>
      <c r="E2397" s="3">
        <v>45333</v>
      </c>
      <c r="F2397" s="3">
        <v>45635</v>
      </c>
      <c r="G2397" s="2" t="s">
        <v>3886</v>
      </c>
      <c r="H2397" s="2">
        <v>71637</v>
      </c>
      <c r="I2397" s="2">
        <v>639563</v>
      </c>
      <c r="J2397" s="2" t="s">
        <v>3889</v>
      </c>
      <c r="K2397" s="2" t="s">
        <v>3896</v>
      </c>
      <c r="L2397" s="2">
        <v>2023</v>
      </c>
      <c r="M2397" s="2">
        <v>-567926</v>
      </c>
      <c r="N2397" s="2">
        <f xml:space="preserve"> (Table1[[#This Row],[Variance (USD)]] / Table1[[#This Row],[Actual Spending (USD)]]) * 100</f>
        <v>-88.799070615404588</v>
      </c>
      <c r="O2397" s="5" t="s">
        <v>3899</v>
      </c>
    </row>
    <row r="2398" spans="1:15" x14ac:dyDescent="0.25">
      <c r="A2398" s="4" t="s">
        <v>2411</v>
      </c>
      <c r="B2398" s="2" t="s">
        <v>3315</v>
      </c>
      <c r="C2398" s="2" t="s">
        <v>3872</v>
      </c>
      <c r="D2398" s="2" t="s">
        <v>3883</v>
      </c>
      <c r="E2398" s="3">
        <v>45434</v>
      </c>
      <c r="F2398" s="3">
        <v>45568</v>
      </c>
      <c r="G2398" s="2" t="s">
        <v>3884</v>
      </c>
      <c r="H2398" s="2">
        <v>743556</v>
      </c>
      <c r="I2398" s="2">
        <v>805299</v>
      </c>
      <c r="J2398" s="2" t="s">
        <v>3890</v>
      </c>
      <c r="K2398" s="2" t="s">
        <v>3893</v>
      </c>
      <c r="L2398" s="2">
        <v>2023</v>
      </c>
      <c r="M2398" s="2">
        <v>-61743</v>
      </c>
      <c r="N2398" s="2">
        <f xml:space="preserve"> (Table1[[#This Row],[Variance (USD)]] / Table1[[#This Row],[Actual Spending (USD)]]) * 100</f>
        <v>-7.6670901118714916</v>
      </c>
      <c r="O2398" s="5" t="s">
        <v>3897</v>
      </c>
    </row>
    <row r="2399" spans="1:15" x14ac:dyDescent="0.25">
      <c r="A2399" s="4" t="s">
        <v>2412</v>
      </c>
      <c r="B2399" s="2" t="s">
        <v>3149</v>
      </c>
      <c r="C2399" s="2" t="s">
        <v>3871</v>
      </c>
      <c r="D2399" s="2" t="s">
        <v>3883</v>
      </c>
      <c r="E2399" s="3">
        <v>45288</v>
      </c>
      <c r="F2399" s="3">
        <v>45964</v>
      </c>
      <c r="G2399" s="2" t="s">
        <v>3884</v>
      </c>
      <c r="H2399" s="2">
        <v>989873</v>
      </c>
      <c r="I2399" s="2">
        <v>1100807</v>
      </c>
      <c r="J2399" s="2" t="s">
        <v>3889</v>
      </c>
      <c r="K2399" s="2" t="s">
        <v>3896</v>
      </c>
      <c r="L2399" s="2">
        <v>2023</v>
      </c>
      <c r="M2399" s="2">
        <v>-110934</v>
      </c>
      <c r="N2399" s="2">
        <f xml:space="preserve"> (Table1[[#This Row],[Variance (USD)]] / Table1[[#This Row],[Actual Spending (USD)]]) * 100</f>
        <v>-10.077515858819938</v>
      </c>
      <c r="O2399" s="5" t="s">
        <v>3897</v>
      </c>
    </row>
    <row r="2400" spans="1:15" x14ac:dyDescent="0.25">
      <c r="A2400" s="4" t="s">
        <v>2413</v>
      </c>
      <c r="B2400" s="2" t="s">
        <v>3724</v>
      </c>
      <c r="C2400" s="2" t="s">
        <v>3870</v>
      </c>
      <c r="D2400" s="2" t="s">
        <v>3879</v>
      </c>
      <c r="E2400" s="3">
        <v>45307</v>
      </c>
      <c r="F2400" s="3">
        <v>45682</v>
      </c>
      <c r="G2400" s="2" t="s">
        <v>3884</v>
      </c>
      <c r="H2400" s="2">
        <v>800377</v>
      </c>
      <c r="I2400" s="2">
        <v>733091</v>
      </c>
      <c r="J2400" s="2" t="s">
        <v>3892</v>
      </c>
      <c r="K2400" s="2" t="s">
        <v>3893</v>
      </c>
      <c r="L2400" s="2">
        <v>2023</v>
      </c>
      <c r="M2400" s="2">
        <v>67286</v>
      </c>
      <c r="N2400" s="2">
        <f xml:space="preserve"> (Table1[[#This Row],[Variance (USD)]] / Table1[[#This Row],[Actual Spending (USD)]]) * 100</f>
        <v>9.1783966792662852</v>
      </c>
      <c r="O2400" s="5" t="s">
        <v>3897</v>
      </c>
    </row>
    <row r="2401" spans="1:15" x14ac:dyDescent="0.25">
      <c r="A2401" s="4" t="s">
        <v>2414</v>
      </c>
      <c r="B2401" s="2" t="s">
        <v>3245</v>
      </c>
      <c r="C2401" s="2" t="s">
        <v>3874</v>
      </c>
      <c r="D2401" s="2" t="s">
        <v>3876</v>
      </c>
      <c r="E2401" s="3">
        <v>45502</v>
      </c>
      <c r="F2401" s="3">
        <v>45740</v>
      </c>
      <c r="G2401" s="2" t="s">
        <v>3884</v>
      </c>
      <c r="H2401" s="2">
        <v>278289</v>
      </c>
      <c r="I2401" s="2">
        <v>839532</v>
      </c>
      <c r="J2401" s="2" t="s">
        <v>3892</v>
      </c>
      <c r="K2401" s="2" t="s">
        <v>3894</v>
      </c>
      <c r="L2401" s="2">
        <v>2025</v>
      </c>
      <c r="M2401" s="2">
        <v>-561243</v>
      </c>
      <c r="N2401" s="2">
        <f xml:space="preserve"> (Table1[[#This Row],[Variance (USD)]] / Table1[[#This Row],[Actual Spending (USD)]]) * 100</f>
        <v>-66.851888909535319</v>
      </c>
      <c r="O2401" s="5" t="s">
        <v>3897</v>
      </c>
    </row>
    <row r="2402" spans="1:15" x14ac:dyDescent="0.25">
      <c r="A2402" s="4" t="s">
        <v>2415</v>
      </c>
      <c r="B2402" s="2" t="s">
        <v>3185</v>
      </c>
      <c r="C2402" s="2" t="s">
        <v>3874</v>
      </c>
      <c r="D2402" s="2" t="s">
        <v>3880</v>
      </c>
      <c r="E2402" s="3">
        <v>45561</v>
      </c>
      <c r="F2402" s="3">
        <v>45550</v>
      </c>
      <c r="G2402" s="2" t="s">
        <v>3887</v>
      </c>
      <c r="H2402" s="2">
        <v>707949</v>
      </c>
      <c r="I2402" s="2">
        <v>1046339</v>
      </c>
      <c r="J2402" s="2" t="s">
        <v>3889</v>
      </c>
      <c r="K2402" s="2" t="s">
        <v>3895</v>
      </c>
      <c r="L2402" s="2">
        <v>2025</v>
      </c>
      <c r="M2402" s="2">
        <v>-338390</v>
      </c>
      <c r="N2402" s="2">
        <f xml:space="preserve"> (Table1[[#This Row],[Variance (USD)]] / Table1[[#This Row],[Actual Spending (USD)]]) * 100</f>
        <v>-32.340379169657254</v>
      </c>
      <c r="O2402" s="5" t="s">
        <v>3900</v>
      </c>
    </row>
    <row r="2403" spans="1:15" x14ac:dyDescent="0.25">
      <c r="A2403" s="4" t="s">
        <v>2416</v>
      </c>
      <c r="B2403" s="2" t="s">
        <v>3388</v>
      </c>
      <c r="C2403" s="2" t="s">
        <v>3872</v>
      </c>
      <c r="D2403" s="2" t="s">
        <v>3878</v>
      </c>
      <c r="E2403" s="3">
        <v>45180</v>
      </c>
      <c r="F2403" s="3">
        <v>45598</v>
      </c>
      <c r="G2403" s="2" t="s">
        <v>3885</v>
      </c>
      <c r="H2403" s="2">
        <v>73560</v>
      </c>
      <c r="I2403" s="2">
        <v>220409</v>
      </c>
      <c r="J2403" s="2" t="s">
        <v>3889</v>
      </c>
      <c r="K2403" s="2" t="s">
        <v>3893</v>
      </c>
      <c r="L2403" s="2">
        <v>2025</v>
      </c>
      <c r="M2403" s="2">
        <v>-146849</v>
      </c>
      <c r="N2403" s="2">
        <f xml:space="preserve"> (Table1[[#This Row],[Variance (USD)]] / Table1[[#This Row],[Actual Spending (USD)]]) * 100</f>
        <v>-66.625682254354402</v>
      </c>
      <c r="O2403" s="5" t="s">
        <v>3898</v>
      </c>
    </row>
    <row r="2404" spans="1:15" x14ac:dyDescent="0.25">
      <c r="A2404" s="4" t="s">
        <v>2417</v>
      </c>
      <c r="B2404" s="2" t="s">
        <v>3562</v>
      </c>
      <c r="C2404" s="2" t="s">
        <v>3869</v>
      </c>
      <c r="D2404" s="2" t="s">
        <v>3881</v>
      </c>
      <c r="E2404" s="3">
        <v>45403</v>
      </c>
      <c r="F2404" s="3">
        <v>45386</v>
      </c>
      <c r="G2404" s="2" t="s">
        <v>3886</v>
      </c>
      <c r="H2404" s="2">
        <v>839466</v>
      </c>
      <c r="I2404" s="2">
        <v>803418</v>
      </c>
      <c r="J2404" s="2" t="s">
        <v>3888</v>
      </c>
      <c r="K2404" s="2" t="s">
        <v>3896</v>
      </c>
      <c r="L2404" s="2">
        <v>2024</v>
      </c>
      <c r="M2404" s="2">
        <v>36048</v>
      </c>
      <c r="N2404" s="2">
        <f xml:space="preserve"> (Table1[[#This Row],[Variance (USD)]] / Table1[[#This Row],[Actual Spending (USD)]]) * 100</f>
        <v>4.4868300187449126</v>
      </c>
      <c r="O2404" s="5" t="s">
        <v>3899</v>
      </c>
    </row>
    <row r="2405" spans="1:15" x14ac:dyDescent="0.25">
      <c r="A2405" s="4" t="s">
        <v>2418</v>
      </c>
      <c r="B2405" s="2" t="s">
        <v>3497</v>
      </c>
      <c r="C2405" s="2" t="s">
        <v>3872</v>
      </c>
      <c r="D2405" s="2" t="s">
        <v>3878</v>
      </c>
      <c r="E2405" s="3">
        <v>45040</v>
      </c>
      <c r="F2405" s="3">
        <v>45755</v>
      </c>
      <c r="G2405" s="2" t="s">
        <v>3886</v>
      </c>
      <c r="H2405" s="2">
        <v>181241</v>
      </c>
      <c r="I2405" s="2">
        <v>41357</v>
      </c>
      <c r="J2405" s="2" t="s">
        <v>3889</v>
      </c>
      <c r="K2405" s="2" t="s">
        <v>3893</v>
      </c>
      <c r="L2405" s="2">
        <v>2023</v>
      </c>
      <c r="M2405" s="2">
        <v>139884</v>
      </c>
      <c r="N2405" s="2">
        <f xml:space="preserve"> (Table1[[#This Row],[Variance (USD)]] / Table1[[#This Row],[Actual Spending (USD)]]) * 100</f>
        <v>338.23536523442226</v>
      </c>
      <c r="O2405" s="5" t="s">
        <v>3899</v>
      </c>
    </row>
    <row r="2406" spans="1:15" x14ac:dyDescent="0.25">
      <c r="A2406" s="4" t="s">
        <v>2419</v>
      </c>
      <c r="B2406" s="2" t="s">
        <v>3051</v>
      </c>
      <c r="C2406" s="2" t="s">
        <v>3869</v>
      </c>
      <c r="D2406" s="2" t="s">
        <v>3878</v>
      </c>
      <c r="E2406" s="3">
        <v>44946</v>
      </c>
      <c r="F2406" s="3">
        <v>45537</v>
      </c>
      <c r="G2406" s="2" t="s">
        <v>3884</v>
      </c>
      <c r="H2406" s="2">
        <v>666737</v>
      </c>
      <c r="I2406" s="2">
        <v>490189</v>
      </c>
      <c r="J2406" s="2" t="s">
        <v>3892</v>
      </c>
      <c r="K2406" s="2" t="s">
        <v>3893</v>
      </c>
      <c r="L2406" s="2">
        <v>2023</v>
      </c>
      <c r="M2406" s="2">
        <v>176548</v>
      </c>
      <c r="N2406" s="2">
        <f xml:space="preserve"> (Table1[[#This Row],[Variance (USD)]] / Table1[[#This Row],[Actual Spending (USD)]]) * 100</f>
        <v>36.016312075546367</v>
      </c>
      <c r="O2406" s="5" t="s">
        <v>3897</v>
      </c>
    </row>
    <row r="2407" spans="1:15" x14ac:dyDescent="0.25">
      <c r="A2407" s="4" t="s">
        <v>2420</v>
      </c>
      <c r="B2407" s="2" t="s">
        <v>3150</v>
      </c>
      <c r="C2407" s="2" t="s">
        <v>3874</v>
      </c>
      <c r="D2407" s="2" t="s">
        <v>3878</v>
      </c>
      <c r="E2407" s="3">
        <v>45454</v>
      </c>
      <c r="F2407" s="3">
        <v>45926</v>
      </c>
      <c r="G2407" s="2" t="s">
        <v>3884</v>
      </c>
      <c r="H2407" s="2">
        <v>577527</v>
      </c>
      <c r="I2407" s="2">
        <v>710306</v>
      </c>
      <c r="J2407" s="2" t="s">
        <v>3890</v>
      </c>
      <c r="K2407" s="2" t="s">
        <v>3893</v>
      </c>
      <c r="L2407" s="2">
        <v>2023</v>
      </c>
      <c r="M2407" s="2">
        <v>-132779</v>
      </c>
      <c r="N2407" s="2">
        <f xml:space="preserve"> (Table1[[#This Row],[Variance (USD)]] / Table1[[#This Row],[Actual Spending (USD)]]) * 100</f>
        <v>-18.693211094936547</v>
      </c>
      <c r="O2407" s="5" t="s">
        <v>3897</v>
      </c>
    </row>
    <row r="2408" spans="1:15" x14ac:dyDescent="0.25">
      <c r="A2408" s="4" t="s">
        <v>2421</v>
      </c>
      <c r="B2408" s="2" t="s">
        <v>3840</v>
      </c>
      <c r="C2408" s="2" t="s">
        <v>3868</v>
      </c>
      <c r="D2408" s="2" t="s">
        <v>3881</v>
      </c>
      <c r="E2408" s="3">
        <v>45071</v>
      </c>
      <c r="F2408" s="3">
        <v>45478</v>
      </c>
      <c r="G2408" s="2" t="s">
        <v>3885</v>
      </c>
      <c r="H2408" s="2">
        <v>577703</v>
      </c>
      <c r="I2408" s="2">
        <v>609437</v>
      </c>
      <c r="J2408" s="2" t="s">
        <v>3892</v>
      </c>
      <c r="K2408" s="2" t="s">
        <v>3893</v>
      </c>
      <c r="L2408" s="2">
        <v>2023</v>
      </c>
      <c r="M2408" s="2">
        <v>-31734</v>
      </c>
      <c r="N2408" s="2">
        <f xml:space="preserve"> (Table1[[#This Row],[Variance (USD)]] / Table1[[#This Row],[Actual Spending (USD)]]) * 100</f>
        <v>-5.2071009800848982</v>
      </c>
      <c r="O2408" s="5" t="s">
        <v>3898</v>
      </c>
    </row>
    <row r="2409" spans="1:15" x14ac:dyDescent="0.25">
      <c r="A2409" s="4" t="s">
        <v>2422</v>
      </c>
      <c r="B2409" s="2" t="s">
        <v>3311</v>
      </c>
      <c r="C2409" s="2" t="s">
        <v>3874</v>
      </c>
      <c r="D2409" s="2" t="s">
        <v>3883</v>
      </c>
      <c r="E2409" s="3">
        <v>45134</v>
      </c>
      <c r="F2409" s="3">
        <v>45664</v>
      </c>
      <c r="G2409" s="2" t="s">
        <v>3886</v>
      </c>
      <c r="H2409" s="2">
        <v>528704</v>
      </c>
      <c r="I2409" s="2">
        <v>1084142</v>
      </c>
      <c r="J2409" s="2" t="s">
        <v>3888</v>
      </c>
      <c r="K2409" s="2" t="s">
        <v>3893</v>
      </c>
      <c r="L2409" s="2">
        <v>2025</v>
      </c>
      <c r="M2409" s="2">
        <v>-555438</v>
      </c>
      <c r="N2409" s="2">
        <f xml:space="preserve"> (Table1[[#This Row],[Variance (USD)]] / Table1[[#This Row],[Actual Spending (USD)]]) * 100</f>
        <v>-51.232956568420008</v>
      </c>
      <c r="O2409" s="5" t="s">
        <v>3899</v>
      </c>
    </row>
    <row r="2410" spans="1:15" x14ac:dyDescent="0.25">
      <c r="A2410" s="4" t="s">
        <v>2423</v>
      </c>
      <c r="B2410" s="2" t="s">
        <v>3548</v>
      </c>
      <c r="C2410" s="2" t="s">
        <v>3875</v>
      </c>
      <c r="D2410" s="2" t="s">
        <v>3878</v>
      </c>
      <c r="E2410" s="3">
        <v>45457</v>
      </c>
      <c r="F2410" s="3">
        <v>45863</v>
      </c>
      <c r="G2410" s="2" t="s">
        <v>3886</v>
      </c>
      <c r="H2410" s="2">
        <v>913376</v>
      </c>
      <c r="I2410" s="2">
        <v>676762</v>
      </c>
      <c r="J2410" s="2" t="s">
        <v>3889</v>
      </c>
      <c r="K2410" s="2" t="s">
        <v>3893</v>
      </c>
      <c r="L2410" s="2">
        <v>2024</v>
      </c>
      <c r="M2410" s="2">
        <v>236614</v>
      </c>
      <c r="N2410" s="2">
        <f xml:space="preserve"> (Table1[[#This Row],[Variance (USD)]] / Table1[[#This Row],[Actual Spending (USD)]]) * 100</f>
        <v>34.96266043306214</v>
      </c>
      <c r="O2410" s="5" t="s">
        <v>3899</v>
      </c>
    </row>
    <row r="2411" spans="1:15" x14ac:dyDescent="0.25">
      <c r="A2411" s="4" t="s">
        <v>2424</v>
      </c>
      <c r="B2411" s="2" t="s">
        <v>3673</v>
      </c>
      <c r="C2411" s="2" t="s">
        <v>3870</v>
      </c>
      <c r="D2411" s="2" t="s">
        <v>3881</v>
      </c>
      <c r="E2411" s="3">
        <v>45302</v>
      </c>
      <c r="F2411" s="3">
        <v>45697</v>
      </c>
      <c r="G2411" s="2" t="s">
        <v>3884</v>
      </c>
      <c r="H2411" s="2">
        <v>184556</v>
      </c>
      <c r="I2411" s="2">
        <v>858008</v>
      </c>
      <c r="J2411" s="2" t="s">
        <v>3890</v>
      </c>
      <c r="K2411" s="2" t="s">
        <v>3896</v>
      </c>
      <c r="L2411" s="2">
        <v>2024</v>
      </c>
      <c r="M2411" s="2">
        <v>-673452</v>
      </c>
      <c r="N2411" s="2">
        <f xml:space="preserve"> (Table1[[#This Row],[Variance (USD)]] / Table1[[#This Row],[Actual Spending (USD)]]) * 100</f>
        <v>-78.490177247764592</v>
      </c>
      <c r="O2411" s="5" t="s">
        <v>3897</v>
      </c>
    </row>
    <row r="2412" spans="1:15" x14ac:dyDescent="0.25">
      <c r="A2412" s="4" t="s">
        <v>2425</v>
      </c>
      <c r="B2412" s="2" t="s">
        <v>3587</v>
      </c>
      <c r="C2412" s="2" t="s">
        <v>3870</v>
      </c>
      <c r="D2412" s="2" t="s">
        <v>3881</v>
      </c>
      <c r="E2412" s="3">
        <v>45430</v>
      </c>
      <c r="F2412" s="3">
        <v>45699</v>
      </c>
      <c r="G2412" s="2" t="s">
        <v>3884</v>
      </c>
      <c r="H2412" s="2">
        <v>366131</v>
      </c>
      <c r="I2412" s="2">
        <v>419203</v>
      </c>
      <c r="J2412" s="2" t="s">
        <v>3892</v>
      </c>
      <c r="K2412" s="2" t="s">
        <v>3893</v>
      </c>
      <c r="L2412" s="2">
        <v>2023</v>
      </c>
      <c r="M2412" s="2">
        <v>-53072</v>
      </c>
      <c r="N2412" s="2">
        <f xml:space="preserve"> (Table1[[#This Row],[Variance (USD)]] / Table1[[#This Row],[Actual Spending (USD)]]) * 100</f>
        <v>-12.660214740829623</v>
      </c>
      <c r="O2412" s="5" t="s">
        <v>3897</v>
      </c>
    </row>
    <row r="2413" spans="1:15" x14ac:dyDescent="0.25">
      <c r="A2413" s="4" t="s">
        <v>2426</v>
      </c>
      <c r="B2413" s="2" t="s">
        <v>3730</v>
      </c>
      <c r="C2413" s="2" t="s">
        <v>3873</v>
      </c>
      <c r="D2413" s="2" t="s">
        <v>3876</v>
      </c>
      <c r="E2413" s="3">
        <v>45092</v>
      </c>
      <c r="F2413" s="3">
        <v>45416</v>
      </c>
      <c r="G2413" s="2" t="s">
        <v>3885</v>
      </c>
      <c r="H2413" s="2">
        <v>68225</v>
      </c>
      <c r="I2413" s="2">
        <v>803358</v>
      </c>
      <c r="J2413" s="2" t="s">
        <v>3890</v>
      </c>
      <c r="K2413" s="2" t="s">
        <v>3893</v>
      </c>
      <c r="L2413" s="2">
        <v>2025</v>
      </c>
      <c r="M2413" s="2">
        <v>-735133</v>
      </c>
      <c r="N2413" s="2">
        <f xml:space="preserve"> (Table1[[#This Row],[Variance (USD)]] / Table1[[#This Row],[Actual Spending (USD)]]) * 100</f>
        <v>-91.507522175667631</v>
      </c>
      <c r="O2413" s="5" t="s">
        <v>3898</v>
      </c>
    </row>
    <row r="2414" spans="1:15" x14ac:dyDescent="0.25">
      <c r="A2414" s="4" t="s">
        <v>2427</v>
      </c>
      <c r="B2414" s="2" t="s">
        <v>3046</v>
      </c>
      <c r="C2414" s="2" t="s">
        <v>3873</v>
      </c>
      <c r="D2414" s="2" t="s">
        <v>3881</v>
      </c>
      <c r="E2414" s="3">
        <v>45476</v>
      </c>
      <c r="F2414" s="3">
        <v>45628</v>
      </c>
      <c r="G2414" s="2" t="s">
        <v>3884</v>
      </c>
      <c r="H2414" s="2">
        <v>130459</v>
      </c>
      <c r="I2414" s="2">
        <v>371293</v>
      </c>
      <c r="J2414" s="2" t="s">
        <v>3891</v>
      </c>
      <c r="K2414" s="2" t="s">
        <v>3893</v>
      </c>
      <c r="L2414" s="2">
        <v>2024</v>
      </c>
      <c r="M2414" s="2">
        <v>-240834</v>
      </c>
      <c r="N2414" s="2">
        <f xml:space="preserve"> (Table1[[#This Row],[Variance (USD)]] / Table1[[#This Row],[Actual Spending (USD)]]) * 100</f>
        <v>-64.863598290299038</v>
      </c>
      <c r="O2414" s="5" t="s">
        <v>3897</v>
      </c>
    </row>
    <row r="2415" spans="1:15" x14ac:dyDescent="0.25">
      <c r="A2415" s="4" t="s">
        <v>2428</v>
      </c>
      <c r="B2415" s="2" t="s">
        <v>3474</v>
      </c>
      <c r="C2415" s="2" t="s">
        <v>3874</v>
      </c>
      <c r="D2415" s="2" t="s">
        <v>3883</v>
      </c>
      <c r="E2415" s="3">
        <v>45107</v>
      </c>
      <c r="F2415" s="3">
        <v>45632</v>
      </c>
      <c r="G2415" s="2" t="s">
        <v>3884</v>
      </c>
      <c r="H2415" s="2">
        <v>564782</v>
      </c>
      <c r="I2415" s="2">
        <v>325843</v>
      </c>
      <c r="J2415" s="2" t="s">
        <v>3892</v>
      </c>
      <c r="K2415" s="2" t="s">
        <v>3895</v>
      </c>
      <c r="L2415" s="2">
        <v>2024</v>
      </c>
      <c r="M2415" s="2">
        <v>238939</v>
      </c>
      <c r="N2415" s="2">
        <f xml:space="preserve"> (Table1[[#This Row],[Variance (USD)]] / Table1[[#This Row],[Actual Spending (USD)]]) * 100</f>
        <v>73.329486900132892</v>
      </c>
      <c r="O2415" s="5" t="s">
        <v>3897</v>
      </c>
    </row>
    <row r="2416" spans="1:15" x14ac:dyDescent="0.25">
      <c r="A2416" s="4" t="s">
        <v>2429</v>
      </c>
      <c r="B2416" s="2" t="s">
        <v>3525</v>
      </c>
      <c r="C2416" s="2" t="s">
        <v>3875</v>
      </c>
      <c r="D2416" s="2" t="s">
        <v>3878</v>
      </c>
      <c r="E2416" s="3">
        <v>45543</v>
      </c>
      <c r="F2416" s="3">
        <v>45854</v>
      </c>
      <c r="G2416" s="2" t="s">
        <v>3884</v>
      </c>
      <c r="H2416" s="2">
        <v>766464</v>
      </c>
      <c r="I2416" s="2">
        <v>523985</v>
      </c>
      <c r="J2416" s="2" t="s">
        <v>3891</v>
      </c>
      <c r="K2416" s="2" t="s">
        <v>3894</v>
      </c>
      <c r="L2416" s="2">
        <v>2023</v>
      </c>
      <c r="M2416" s="2">
        <v>242479</v>
      </c>
      <c r="N2416" s="2">
        <f xml:space="preserve"> (Table1[[#This Row],[Variance (USD)]] / Table1[[#This Row],[Actual Spending (USD)]]) * 100</f>
        <v>46.275943013635882</v>
      </c>
      <c r="O2416" s="5" t="s">
        <v>3897</v>
      </c>
    </row>
    <row r="2417" spans="1:15" x14ac:dyDescent="0.25">
      <c r="A2417" s="4" t="s">
        <v>2430</v>
      </c>
      <c r="B2417" s="2" t="s">
        <v>3596</v>
      </c>
      <c r="C2417" s="2" t="s">
        <v>3873</v>
      </c>
      <c r="D2417" s="2" t="s">
        <v>3881</v>
      </c>
      <c r="E2417" s="3">
        <v>45538</v>
      </c>
      <c r="F2417" s="3">
        <v>45469</v>
      </c>
      <c r="G2417" s="2" t="s">
        <v>3885</v>
      </c>
      <c r="H2417" s="2">
        <v>333080</v>
      </c>
      <c r="I2417" s="2">
        <v>248422</v>
      </c>
      <c r="J2417" s="2" t="s">
        <v>3890</v>
      </c>
      <c r="K2417" s="2" t="s">
        <v>3894</v>
      </c>
      <c r="L2417" s="2">
        <v>2024</v>
      </c>
      <c r="M2417" s="2">
        <v>84658</v>
      </c>
      <c r="N2417" s="2">
        <f xml:space="preserve"> (Table1[[#This Row],[Variance (USD)]] / Table1[[#This Row],[Actual Spending (USD)]]) * 100</f>
        <v>34.078302243762629</v>
      </c>
      <c r="O2417" s="5" t="s">
        <v>3898</v>
      </c>
    </row>
    <row r="2418" spans="1:15" x14ac:dyDescent="0.25">
      <c r="A2418" s="4" t="s">
        <v>2431</v>
      </c>
      <c r="B2418" s="2" t="s">
        <v>3760</v>
      </c>
      <c r="C2418" s="2" t="s">
        <v>3870</v>
      </c>
      <c r="D2418" s="2" t="s">
        <v>3879</v>
      </c>
      <c r="E2418" s="3">
        <v>45528</v>
      </c>
      <c r="F2418" s="3">
        <v>45942</v>
      </c>
      <c r="G2418" s="2" t="s">
        <v>3884</v>
      </c>
      <c r="H2418" s="2">
        <v>876044</v>
      </c>
      <c r="I2418" s="2">
        <v>839818</v>
      </c>
      <c r="J2418" s="2" t="s">
        <v>3889</v>
      </c>
      <c r="K2418" s="2" t="s">
        <v>3894</v>
      </c>
      <c r="L2418" s="2">
        <v>2023</v>
      </c>
      <c r="M2418" s="2">
        <v>36226</v>
      </c>
      <c r="N2418" s="2">
        <f xml:space="preserve"> (Table1[[#This Row],[Variance (USD)]] / Table1[[#This Row],[Actual Spending (USD)]]) * 100</f>
        <v>4.3135536509100785</v>
      </c>
      <c r="O2418" s="5" t="s">
        <v>3897</v>
      </c>
    </row>
    <row r="2419" spans="1:15" x14ac:dyDescent="0.25">
      <c r="A2419" s="4" t="s">
        <v>2432</v>
      </c>
      <c r="B2419" s="2" t="s">
        <v>3802</v>
      </c>
      <c r="C2419" s="2" t="s">
        <v>3872</v>
      </c>
      <c r="D2419" s="2" t="s">
        <v>3881</v>
      </c>
      <c r="E2419" s="3">
        <v>45370</v>
      </c>
      <c r="F2419" s="3">
        <v>45461</v>
      </c>
      <c r="G2419" s="2" t="s">
        <v>3885</v>
      </c>
      <c r="H2419" s="2">
        <v>931965</v>
      </c>
      <c r="I2419" s="2">
        <v>858017</v>
      </c>
      <c r="J2419" s="2" t="s">
        <v>3889</v>
      </c>
      <c r="K2419" s="2" t="s">
        <v>3896</v>
      </c>
      <c r="L2419" s="2">
        <v>2025</v>
      </c>
      <c r="M2419" s="2">
        <v>73948</v>
      </c>
      <c r="N2419" s="2">
        <f xml:space="preserve"> (Table1[[#This Row],[Variance (USD)]] / Table1[[#This Row],[Actual Spending (USD)]]) * 100</f>
        <v>8.6184772562781387</v>
      </c>
      <c r="O2419" s="5" t="s">
        <v>3898</v>
      </c>
    </row>
    <row r="2420" spans="1:15" x14ac:dyDescent="0.25">
      <c r="A2420" s="4" t="s">
        <v>2433</v>
      </c>
      <c r="B2420" s="2" t="s">
        <v>3568</v>
      </c>
      <c r="C2420" s="2" t="s">
        <v>3868</v>
      </c>
      <c r="D2420" s="2" t="s">
        <v>3877</v>
      </c>
      <c r="E2420" s="3">
        <v>45258</v>
      </c>
      <c r="F2420" s="3">
        <v>45330</v>
      </c>
      <c r="G2420" s="2" t="s">
        <v>3884</v>
      </c>
      <c r="H2420" s="2">
        <v>433021</v>
      </c>
      <c r="I2420" s="2">
        <v>789652</v>
      </c>
      <c r="J2420" s="2" t="s">
        <v>3889</v>
      </c>
      <c r="K2420" s="2" t="s">
        <v>3896</v>
      </c>
      <c r="L2420" s="2">
        <v>2023</v>
      </c>
      <c r="M2420" s="2">
        <v>-356631</v>
      </c>
      <c r="N2420" s="2">
        <f xml:space="preserve"> (Table1[[#This Row],[Variance (USD)]] / Table1[[#This Row],[Actual Spending (USD)]]) * 100</f>
        <v>-45.163059170368719</v>
      </c>
      <c r="O2420" s="5" t="s">
        <v>3897</v>
      </c>
    </row>
    <row r="2421" spans="1:15" x14ac:dyDescent="0.25">
      <c r="A2421" s="4" t="s">
        <v>2434</v>
      </c>
      <c r="B2421" s="2" t="s">
        <v>3749</v>
      </c>
      <c r="C2421" s="2" t="s">
        <v>3868</v>
      </c>
      <c r="D2421" s="2" t="s">
        <v>3877</v>
      </c>
      <c r="E2421" s="3">
        <v>45429</v>
      </c>
      <c r="F2421" s="3">
        <v>45360</v>
      </c>
      <c r="G2421" s="2" t="s">
        <v>3885</v>
      </c>
      <c r="H2421" s="2">
        <v>414413</v>
      </c>
      <c r="I2421" s="2">
        <v>1086085</v>
      </c>
      <c r="J2421" s="2" t="s">
        <v>3891</v>
      </c>
      <c r="K2421" s="2" t="s">
        <v>3896</v>
      </c>
      <c r="L2421" s="2">
        <v>2024</v>
      </c>
      <c r="M2421" s="2">
        <v>-671672</v>
      </c>
      <c r="N2421" s="2">
        <f xml:space="preserve"> (Table1[[#This Row],[Variance (USD)]] / Table1[[#This Row],[Actual Spending (USD)]]) * 100</f>
        <v>-61.843410046175016</v>
      </c>
      <c r="O2421" s="5" t="s">
        <v>3898</v>
      </c>
    </row>
    <row r="2422" spans="1:15" x14ac:dyDescent="0.25">
      <c r="A2422" s="4" t="s">
        <v>2435</v>
      </c>
      <c r="B2422" s="2" t="s">
        <v>3725</v>
      </c>
      <c r="C2422" s="2" t="s">
        <v>3875</v>
      </c>
      <c r="D2422" s="2" t="s">
        <v>3877</v>
      </c>
      <c r="E2422" s="3">
        <v>45005</v>
      </c>
      <c r="F2422" s="3">
        <v>45527</v>
      </c>
      <c r="G2422" s="2" t="s">
        <v>3886</v>
      </c>
      <c r="H2422" s="2">
        <v>614240</v>
      </c>
      <c r="I2422" s="2">
        <v>272225</v>
      </c>
      <c r="J2422" s="2" t="s">
        <v>3889</v>
      </c>
      <c r="K2422" s="2" t="s">
        <v>3893</v>
      </c>
      <c r="L2422" s="2">
        <v>2023</v>
      </c>
      <c r="M2422" s="2">
        <v>342015</v>
      </c>
      <c r="N2422" s="2">
        <f xml:space="preserve"> (Table1[[#This Row],[Variance (USD)]] / Table1[[#This Row],[Actual Spending (USD)]]) * 100</f>
        <v>125.63688125631371</v>
      </c>
      <c r="O2422" s="5" t="s">
        <v>3899</v>
      </c>
    </row>
    <row r="2423" spans="1:15" x14ac:dyDescent="0.25">
      <c r="A2423" s="4" t="s">
        <v>2436</v>
      </c>
      <c r="B2423" s="2" t="s">
        <v>3107</v>
      </c>
      <c r="C2423" s="2" t="s">
        <v>3874</v>
      </c>
      <c r="D2423" s="2" t="s">
        <v>3881</v>
      </c>
      <c r="E2423" s="3">
        <v>45511</v>
      </c>
      <c r="F2423" s="3">
        <v>45851</v>
      </c>
      <c r="G2423" s="2" t="s">
        <v>3884</v>
      </c>
      <c r="H2423" s="2">
        <v>895377</v>
      </c>
      <c r="I2423" s="2">
        <v>893039</v>
      </c>
      <c r="J2423" s="2" t="s">
        <v>3888</v>
      </c>
      <c r="K2423" s="2" t="s">
        <v>3894</v>
      </c>
      <c r="L2423" s="2">
        <v>2023</v>
      </c>
      <c r="M2423" s="2">
        <v>2338</v>
      </c>
      <c r="N2423" s="2">
        <f xml:space="preserve"> (Table1[[#This Row],[Variance (USD)]] / Table1[[#This Row],[Actual Spending (USD)]]) * 100</f>
        <v>0.26180267603094604</v>
      </c>
      <c r="O2423" s="5" t="s">
        <v>3897</v>
      </c>
    </row>
    <row r="2424" spans="1:15" x14ac:dyDescent="0.25">
      <c r="A2424" s="4" t="s">
        <v>2437</v>
      </c>
      <c r="B2424" s="2" t="s">
        <v>3776</v>
      </c>
      <c r="C2424" s="2" t="s">
        <v>3873</v>
      </c>
      <c r="D2424" s="2" t="s">
        <v>3883</v>
      </c>
      <c r="E2424" s="3">
        <v>45614</v>
      </c>
      <c r="F2424" s="3">
        <v>45672</v>
      </c>
      <c r="G2424" s="2" t="s">
        <v>3886</v>
      </c>
      <c r="H2424" s="2">
        <v>792759</v>
      </c>
      <c r="I2424" s="2">
        <v>238222</v>
      </c>
      <c r="J2424" s="2" t="s">
        <v>3892</v>
      </c>
      <c r="K2424" s="2" t="s">
        <v>3893</v>
      </c>
      <c r="L2424" s="2">
        <v>2023</v>
      </c>
      <c r="M2424" s="2">
        <v>554537</v>
      </c>
      <c r="N2424" s="2">
        <f xml:space="preserve"> (Table1[[#This Row],[Variance (USD)]] / Table1[[#This Row],[Actual Spending (USD)]]) * 100</f>
        <v>232.78160707239465</v>
      </c>
      <c r="O2424" s="5" t="s">
        <v>3899</v>
      </c>
    </row>
    <row r="2425" spans="1:15" x14ac:dyDescent="0.25">
      <c r="A2425" s="4" t="s">
        <v>2438</v>
      </c>
      <c r="B2425" s="2" t="s">
        <v>3462</v>
      </c>
      <c r="C2425" s="2" t="s">
        <v>3872</v>
      </c>
      <c r="D2425" s="2" t="s">
        <v>3878</v>
      </c>
      <c r="E2425" s="3">
        <v>45322</v>
      </c>
      <c r="F2425" s="3">
        <v>45348</v>
      </c>
      <c r="G2425" s="2" t="s">
        <v>3884</v>
      </c>
      <c r="H2425" s="2">
        <v>317524</v>
      </c>
      <c r="I2425" s="2">
        <v>285117</v>
      </c>
      <c r="J2425" s="2" t="s">
        <v>3892</v>
      </c>
      <c r="K2425" s="2" t="s">
        <v>3895</v>
      </c>
      <c r="L2425" s="2">
        <v>2023</v>
      </c>
      <c r="M2425" s="2">
        <v>32407</v>
      </c>
      <c r="N2425" s="2">
        <f xml:space="preserve"> (Table1[[#This Row],[Variance (USD)]] / Table1[[#This Row],[Actual Spending (USD)]]) * 100</f>
        <v>11.366211064229773</v>
      </c>
      <c r="O2425" s="5" t="s">
        <v>3897</v>
      </c>
    </row>
    <row r="2426" spans="1:15" x14ac:dyDescent="0.25">
      <c r="A2426" s="4" t="s">
        <v>2439</v>
      </c>
      <c r="B2426" s="2" t="s">
        <v>3738</v>
      </c>
      <c r="C2426" s="2" t="s">
        <v>3868</v>
      </c>
      <c r="D2426" s="2" t="s">
        <v>3880</v>
      </c>
      <c r="E2426" s="3">
        <v>45534</v>
      </c>
      <c r="F2426" s="3">
        <v>45568</v>
      </c>
      <c r="G2426" s="2" t="s">
        <v>3884</v>
      </c>
      <c r="H2426" s="2">
        <v>755658</v>
      </c>
      <c r="I2426" s="2">
        <v>1141881</v>
      </c>
      <c r="J2426" s="2" t="s">
        <v>3890</v>
      </c>
      <c r="K2426" s="2" t="s">
        <v>3894</v>
      </c>
      <c r="L2426" s="2">
        <v>2023</v>
      </c>
      <c r="M2426" s="2">
        <v>-386223</v>
      </c>
      <c r="N2426" s="2">
        <f xml:space="preserve"> (Table1[[#This Row],[Variance (USD)]] / Table1[[#This Row],[Actual Spending (USD)]]) * 100</f>
        <v>-33.823401913159081</v>
      </c>
      <c r="O2426" s="5" t="s">
        <v>3897</v>
      </c>
    </row>
    <row r="2427" spans="1:15" x14ac:dyDescent="0.25">
      <c r="A2427" s="4" t="s">
        <v>2440</v>
      </c>
      <c r="B2427" s="2" t="s">
        <v>3698</v>
      </c>
      <c r="C2427" s="2" t="s">
        <v>3868</v>
      </c>
      <c r="D2427" s="2" t="s">
        <v>3880</v>
      </c>
      <c r="E2427" s="3">
        <v>45029</v>
      </c>
      <c r="F2427" s="3">
        <v>45390</v>
      </c>
      <c r="G2427" s="2" t="s">
        <v>3885</v>
      </c>
      <c r="H2427" s="2">
        <v>655109</v>
      </c>
      <c r="I2427" s="2">
        <v>1112983</v>
      </c>
      <c r="J2427" s="2" t="s">
        <v>3891</v>
      </c>
      <c r="K2427" s="2" t="s">
        <v>3895</v>
      </c>
      <c r="L2427" s="2">
        <v>2023</v>
      </c>
      <c r="M2427" s="2">
        <v>-457874</v>
      </c>
      <c r="N2427" s="2">
        <f xml:space="preserve"> (Table1[[#This Row],[Variance (USD)]] / Table1[[#This Row],[Actual Spending (USD)]]) * 100</f>
        <v>-41.13935253278801</v>
      </c>
      <c r="O2427" s="5" t="s">
        <v>3898</v>
      </c>
    </row>
    <row r="2428" spans="1:15" x14ac:dyDescent="0.25">
      <c r="A2428" s="4" t="s">
        <v>2441</v>
      </c>
      <c r="B2428" s="2" t="s">
        <v>3836</v>
      </c>
      <c r="C2428" s="2" t="s">
        <v>3871</v>
      </c>
      <c r="D2428" s="2" t="s">
        <v>3880</v>
      </c>
      <c r="E2428" s="3">
        <v>45328</v>
      </c>
      <c r="F2428" s="3">
        <v>45818</v>
      </c>
      <c r="G2428" s="2" t="s">
        <v>3884</v>
      </c>
      <c r="H2428" s="2">
        <v>470476</v>
      </c>
      <c r="I2428" s="2">
        <v>863038</v>
      </c>
      <c r="J2428" s="2" t="s">
        <v>3892</v>
      </c>
      <c r="K2428" s="2" t="s">
        <v>3895</v>
      </c>
      <c r="L2428" s="2">
        <v>2024</v>
      </c>
      <c r="M2428" s="2">
        <v>-392562</v>
      </c>
      <c r="N2428" s="2">
        <f xml:space="preserve"> (Table1[[#This Row],[Variance (USD)]] / Table1[[#This Row],[Actual Spending (USD)]]) * 100</f>
        <v>-45.486062027396244</v>
      </c>
      <c r="O2428" s="5" t="s">
        <v>3897</v>
      </c>
    </row>
    <row r="2429" spans="1:15" x14ac:dyDescent="0.25">
      <c r="A2429" s="4" t="s">
        <v>2442</v>
      </c>
      <c r="B2429" s="2" t="s">
        <v>3537</v>
      </c>
      <c r="C2429" s="2" t="s">
        <v>3874</v>
      </c>
      <c r="D2429" s="2" t="s">
        <v>3883</v>
      </c>
      <c r="E2429" s="3">
        <v>45150</v>
      </c>
      <c r="F2429" s="3">
        <v>45616</v>
      </c>
      <c r="G2429" s="2" t="s">
        <v>3884</v>
      </c>
      <c r="H2429" s="2">
        <v>476095</v>
      </c>
      <c r="I2429" s="2">
        <v>1044298</v>
      </c>
      <c r="J2429" s="2" t="s">
        <v>3891</v>
      </c>
      <c r="K2429" s="2" t="s">
        <v>3893</v>
      </c>
      <c r="L2429" s="2">
        <v>2023</v>
      </c>
      <c r="M2429" s="2">
        <v>-568203</v>
      </c>
      <c r="N2429" s="2">
        <f xml:space="preserve"> (Table1[[#This Row],[Variance (USD)]] / Table1[[#This Row],[Actual Spending (USD)]]) * 100</f>
        <v>-54.410043876364789</v>
      </c>
      <c r="O2429" s="5" t="s">
        <v>3897</v>
      </c>
    </row>
    <row r="2430" spans="1:15" x14ac:dyDescent="0.25">
      <c r="A2430" s="4" t="s">
        <v>2443</v>
      </c>
      <c r="B2430" s="2" t="s">
        <v>3633</v>
      </c>
      <c r="C2430" s="2" t="s">
        <v>3871</v>
      </c>
      <c r="D2430" s="2" t="s">
        <v>3876</v>
      </c>
      <c r="E2430" s="3">
        <v>45444</v>
      </c>
      <c r="F2430" s="3">
        <v>45752</v>
      </c>
      <c r="G2430" s="2" t="s">
        <v>3884</v>
      </c>
      <c r="H2430" s="2">
        <v>197215</v>
      </c>
      <c r="I2430" s="2">
        <v>302659</v>
      </c>
      <c r="J2430" s="2" t="s">
        <v>3890</v>
      </c>
      <c r="K2430" s="2" t="s">
        <v>3894</v>
      </c>
      <c r="L2430" s="2">
        <v>2024</v>
      </c>
      <c r="M2430" s="2">
        <v>-105444</v>
      </c>
      <c r="N2430" s="2">
        <f xml:space="preserve"> (Table1[[#This Row],[Variance (USD)]] / Table1[[#This Row],[Actual Spending (USD)]]) * 100</f>
        <v>-34.839208482153182</v>
      </c>
      <c r="O2430" s="5" t="s">
        <v>3897</v>
      </c>
    </row>
    <row r="2431" spans="1:15" x14ac:dyDescent="0.25">
      <c r="A2431" s="4" t="s">
        <v>2444</v>
      </c>
      <c r="B2431" s="2" t="s">
        <v>3505</v>
      </c>
      <c r="C2431" s="2" t="s">
        <v>3870</v>
      </c>
      <c r="D2431" s="2" t="s">
        <v>3882</v>
      </c>
      <c r="E2431" s="3">
        <v>45560</v>
      </c>
      <c r="F2431" s="3">
        <v>45470</v>
      </c>
      <c r="G2431" s="2" t="s">
        <v>3884</v>
      </c>
      <c r="H2431" s="2">
        <v>886176</v>
      </c>
      <c r="I2431" s="2">
        <v>954303</v>
      </c>
      <c r="J2431" s="2" t="s">
        <v>3889</v>
      </c>
      <c r="K2431" s="2" t="s">
        <v>3895</v>
      </c>
      <c r="L2431" s="2">
        <v>2023</v>
      </c>
      <c r="M2431" s="2">
        <v>-68127</v>
      </c>
      <c r="N2431" s="2">
        <f xml:space="preserve"> (Table1[[#This Row],[Variance (USD)]] / Table1[[#This Row],[Actual Spending (USD)]]) * 100</f>
        <v>-7.1389275733179085</v>
      </c>
      <c r="O2431" s="5" t="s">
        <v>3897</v>
      </c>
    </row>
    <row r="2432" spans="1:15" x14ac:dyDescent="0.25">
      <c r="A2432" s="4" t="s">
        <v>2445</v>
      </c>
      <c r="B2432" s="2" t="s">
        <v>3841</v>
      </c>
      <c r="C2432" s="2" t="s">
        <v>3868</v>
      </c>
      <c r="D2432" s="2" t="s">
        <v>3879</v>
      </c>
      <c r="E2432" s="3">
        <v>45162</v>
      </c>
      <c r="F2432" s="3">
        <v>45865</v>
      </c>
      <c r="G2432" s="2" t="s">
        <v>3885</v>
      </c>
      <c r="H2432" s="2">
        <v>778309</v>
      </c>
      <c r="I2432" s="2">
        <v>759443</v>
      </c>
      <c r="J2432" s="2" t="s">
        <v>3890</v>
      </c>
      <c r="K2432" s="2" t="s">
        <v>3894</v>
      </c>
      <c r="L2432" s="2">
        <v>2025</v>
      </c>
      <c r="M2432" s="2">
        <v>18866</v>
      </c>
      <c r="N2432" s="2">
        <f xml:space="preserve"> (Table1[[#This Row],[Variance (USD)]] / Table1[[#This Row],[Actual Spending (USD)]]) * 100</f>
        <v>2.4841890701474636</v>
      </c>
      <c r="O2432" s="5" t="s">
        <v>3898</v>
      </c>
    </row>
    <row r="2433" spans="1:15" x14ac:dyDescent="0.25">
      <c r="A2433" s="4" t="s">
        <v>2446</v>
      </c>
      <c r="B2433" s="2" t="s">
        <v>3089</v>
      </c>
      <c r="C2433" s="2" t="s">
        <v>3875</v>
      </c>
      <c r="D2433" s="2" t="s">
        <v>3879</v>
      </c>
      <c r="E2433" s="3">
        <v>45353</v>
      </c>
      <c r="F2433" s="3">
        <v>45410</v>
      </c>
      <c r="G2433" s="2" t="s">
        <v>3884</v>
      </c>
      <c r="H2433" s="2">
        <v>212650</v>
      </c>
      <c r="I2433" s="2">
        <v>437544</v>
      </c>
      <c r="J2433" s="2" t="s">
        <v>3888</v>
      </c>
      <c r="K2433" s="2" t="s">
        <v>3895</v>
      </c>
      <c r="L2433" s="2">
        <v>2023</v>
      </c>
      <c r="M2433" s="2">
        <v>-224894</v>
      </c>
      <c r="N2433" s="2">
        <f xml:space="preserve"> (Table1[[#This Row],[Variance (USD)]] / Table1[[#This Row],[Actual Spending (USD)]]) * 100</f>
        <v>-51.399173568829646</v>
      </c>
      <c r="O2433" s="5" t="s">
        <v>3897</v>
      </c>
    </row>
    <row r="2434" spans="1:15" x14ac:dyDescent="0.25">
      <c r="A2434" s="4" t="s">
        <v>2447</v>
      </c>
      <c r="B2434" s="2" t="s">
        <v>3706</v>
      </c>
      <c r="C2434" s="2" t="s">
        <v>3869</v>
      </c>
      <c r="D2434" s="2" t="s">
        <v>3877</v>
      </c>
      <c r="E2434" s="3">
        <v>45042</v>
      </c>
      <c r="F2434" s="3">
        <v>45760</v>
      </c>
      <c r="G2434" s="2" t="s">
        <v>3887</v>
      </c>
      <c r="H2434" s="2">
        <v>392406</v>
      </c>
      <c r="I2434" s="2">
        <v>68872</v>
      </c>
      <c r="J2434" s="2" t="s">
        <v>3889</v>
      </c>
      <c r="K2434" s="2" t="s">
        <v>3895</v>
      </c>
      <c r="L2434" s="2">
        <v>2024</v>
      </c>
      <c r="M2434" s="2">
        <v>323534</v>
      </c>
      <c r="N2434" s="2">
        <f xml:space="preserve"> (Table1[[#This Row],[Variance (USD)]] / Table1[[#This Row],[Actual Spending (USD)]]) * 100</f>
        <v>469.76129631780691</v>
      </c>
      <c r="O2434" s="5" t="s">
        <v>3900</v>
      </c>
    </row>
    <row r="2435" spans="1:15" x14ac:dyDescent="0.25">
      <c r="A2435" s="4" t="s">
        <v>2448</v>
      </c>
      <c r="B2435" s="2" t="s">
        <v>3412</v>
      </c>
      <c r="C2435" s="2" t="s">
        <v>3869</v>
      </c>
      <c r="D2435" s="2" t="s">
        <v>3877</v>
      </c>
      <c r="E2435" s="3">
        <v>45089</v>
      </c>
      <c r="F2435" s="3">
        <v>45840</v>
      </c>
      <c r="G2435" s="2" t="s">
        <v>3885</v>
      </c>
      <c r="H2435" s="2">
        <v>369475</v>
      </c>
      <c r="I2435" s="2">
        <v>898515</v>
      </c>
      <c r="J2435" s="2" t="s">
        <v>3889</v>
      </c>
      <c r="K2435" s="2" t="s">
        <v>3893</v>
      </c>
      <c r="L2435" s="2">
        <v>2024</v>
      </c>
      <c r="M2435" s="2">
        <v>-529040</v>
      </c>
      <c r="N2435" s="2">
        <f xml:space="preserve"> (Table1[[#This Row],[Variance (USD)]] / Table1[[#This Row],[Actual Spending (USD)]]) * 100</f>
        <v>-58.879373187982395</v>
      </c>
      <c r="O2435" s="5" t="s">
        <v>3898</v>
      </c>
    </row>
    <row r="2436" spans="1:15" x14ac:dyDescent="0.25">
      <c r="A2436" s="4" t="s">
        <v>2449</v>
      </c>
      <c r="B2436" s="2" t="s">
        <v>3717</v>
      </c>
      <c r="C2436" s="2" t="s">
        <v>3872</v>
      </c>
      <c r="D2436" s="2" t="s">
        <v>3881</v>
      </c>
      <c r="E2436" s="3">
        <v>45152</v>
      </c>
      <c r="F2436" s="3">
        <v>45937</v>
      </c>
      <c r="G2436" s="2" t="s">
        <v>3884</v>
      </c>
      <c r="H2436" s="2">
        <v>666839</v>
      </c>
      <c r="I2436" s="2">
        <v>577594</v>
      </c>
      <c r="J2436" s="2" t="s">
        <v>3889</v>
      </c>
      <c r="K2436" s="2" t="s">
        <v>3894</v>
      </c>
      <c r="L2436" s="2">
        <v>2025</v>
      </c>
      <c r="M2436" s="2">
        <v>89245</v>
      </c>
      <c r="N2436" s="2">
        <f xml:space="preserve"> (Table1[[#This Row],[Variance (USD)]] / Table1[[#This Row],[Actual Spending (USD)]]) * 100</f>
        <v>15.451164658912662</v>
      </c>
      <c r="O2436" s="5" t="s">
        <v>3897</v>
      </c>
    </row>
    <row r="2437" spans="1:15" x14ac:dyDescent="0.25">
      <c r="A2437" s="4" t="s">
        <v>2450</v>
      </c>
      <c r="B2437" s="2" t="s">
        <v>3762</v>
      </c>
      <c r="C2437" s="2" t="s">
        <v>3868</v>
      </c>
      <c r="D2437" s="2" t="s">
        <v>3880</v>
      </c>
      <c r="E2437" s="3">
        <v>45156</v>
      </c>
      <c r="F2437" s="3">
        <v>45746</v>
      </c>
      <c r="G2437" s="2" t="s">
        <v>3884</v>
      </c>
      <c r="H2437" s="2">
        <v>900247</v>
      </c>
      <c r="I2437" s="2">
        <v>75693</v>
      </c>
      <c r="J2437" s="2" t="s">
        <v>3890</v>
      </c>
      <c r="K2437" s="2" t="s">
        <v>3893</v>
      </c>
      <c r="L2437" s="2">
        <v>2023</v>
      </c>
      <c r="M2437" s="2">
        <v>824554</v>
      </c>
      <c r="N2437" s="2">
        <f xml:space="preserve"> (Table1[[#This Row],[Variance (USD)]] / Table1[[#This Row],[Actual Spending (USD)]]) * 100</f>
        <v>1089.3398332738825</v>
      </c>
      <c r="O2437" s="5" t="s">
        <v>3897</v>
      </c>
    </row>
    <row r="2438" spans="1:15" x14ac:dyDescent="0.25">
      <c r="A2438" s="4" t="s">
        <v>2451</v>
      </c>
      <c r="B2438" s="2" t="s">
        <v>3546</v>
      </c>
      <c r="C2438" s="2" t="s">
        <v>3868</v>
      </c>
      <c r="D2438" s="2" t="s">
        <v>3881</v>
      </c>
      <c r="E2438" s="3">
        <v>45108</v>
      </c>
      <c r="F2438" s="3">
        <v>45317</v>
      </c>
      <c r="G2438" s="2" t="s">
        <v>3885</v>
      </c>
      <c r="H2438" s="2">
        <v>559142</v>
      </c>
      <c r="I2438" s="2">
        <v>647654</v>
      </c>
      <c r="J2438" s="2" t="s">
        <v>3888</v>
      </c>
      <c r="K2438" s="2" t="s">
        <v>3893</v>
      </c>
      <c r="L2438" s="2">
        <v>2025</v>
      </c>
      <c r="M2438" s="2">
        <v>-88512</v>
      </c>
      <c r="N2438" s="2">
        <f xml:space="preserve"> (Table1[[#This Row],[Variance (USD)]] / Table1[[#This Row],[Actual Spending (USD)]]) * 100</f>
        <v>-13.666556525552224</v>
      </c>
      <c r="O2438" s="5" t="s">
        <v>3898</v>
      </c>
    </row>
    <row r="2439" spans="1:15" x14ac:dyDescent="0.25">
      <c r="A2439" s="4" t="s">
        <v>2452</v>
      </c>
      <c r="B2439" s="2" t="s">
        <v>3329</v>
      </c>
      <c r="C2439" s="2" t="s">
        <v>3870</v>
      </c>
      <c r="D2439" s="2" t="s">
        <v>3882</v>
      </c>
      <c r="E2439" s="3">
        <v>45175</v>
      </c>
      <c r="F2439" s="3">
        <v>45781</v>
      </c>
      <c r="G2439" s="2" t="s">
        <v>3884</v>
      </c>
      <c r="H2439" s="2">
        <v>121519</v>
      </c>
      <c r="I2439" s="2">
        <v>361061</v>
      </c>
      <c r="J2439" s="2" t="s">
        <v>3891</v>
      </c>
      <c r="K2439" s="2" t="s">
        <v>3893</v>
      </c>
      <c r="L2439" s="2">
        <v>2023</v>
      </c>
      <c r="M2439" s="2">
        <v>-239542</v>
      </c>
      <c r="N2439" s="2">
        <f xml:space="preserve"> (Table1[[#This Row],[Variance (USD)]] / Table1[[#This Row],[Actual Spending (USD)]]) * 100</f>
        <v>-66.343914186245527</v>
      </c>
      <c r="O2439" s="5" t="s">
        <v>3897</v>
      </c>
    </row>
    <row r="2440" spans="1:15" x14ac:dyDescent="0.25">
      <c r="A2440" s="4" t="s">
        <v>2453</v>
      </c>
      <c r="B2440" s="2" t="s">
        <v>3627</v>
      </c>
      <c r="C2440" s="2" t="s">
        <v>3868</v>
      </c>
      <c r="D2440" s="2" t="s">
        <v>3880</v>
      </c>
      <c r="E2440" s="3">
        <v>45244</v>
      </c>
      <c r="F2440" s="3">
        <v>45299</v>
      </c>
      <c r="G2440" s="2" t="s">
        <v>3884</v>
      </c>
      <c r="H2440" s="2">
        <v>200250</v>
      </c>
      <c r="I2440" s="2">
        <v>392512</v>
      </c>
      <c r="J2440" s="2" t="s">
        <v>3890</v>
      </c>
      <c r="K2440" s="2" t="s">
        <v>3893</v>
      </c>
      <c r="L2440" s="2">
        <v>2023</v>
      </c>
      <c r="M2440" s="2">
        <v>-192262</v>
      </c>
      <c r="N2440" s="2">
        <f xml:space="preserve"> (Table1[[#This Row],[Variance (USD)]] / Table1[[#This Row],[Actual Spending (USD)]]) * 100</f>
        <v>-48.982451491928906</v>
      </c>
      <c r="O2440" s="5" t="s">
        <v>3897</v>
      </c>
    </row>
    <row r="2441" spans="1:15" x14ac:dyDescent="0.25">
      <c r="A2441" s="4" t="s">
        <v>2454</v>
      </c>
      <c r="B2441" s="2" t="s">
        <v>3019</v>
      </c>
      <c r="C2441" s="2" t="s">
        <v>3875</v>
      </c>
      <c r="D2441" s="2" t="s">
        <v>3877</v>
      </c>
      <c r="E2441" s="3">
        <v>45136</v>
      </c>
      <c r="F2441" s="3">
        <v>45807</v>
      </c>
      <c r="G2441" s="2" t="s">
        <v>3884</v>
      </c>
      <c r="H2441" s="2">
        <v>142526</v>
      </c>
      <c r="I2441" s="2">
        <v>528109</v>
      </c>
      <c r="J2441" s="2" t="s">
        <v>3892</v>
      </c>
      <c r="K2441" s="2" t="s">
        <v>3893</v>
      </c>
      <c r="L2441" s="2">
        <v>2024</v>
      </c>
      <c r="M2441" s="2">
        <v>-385583</v>
      </c>
      <c r="N2441" s="2">
        <f xml:space="preserve"> (Table1[[#This Row],[Variance (USD)]] / Table1[[#This Row],[Actual Spending (USD)]]) * 100</f>
        <v>-73.012010778078007</v>
      </c>
      <c r="O2441" s="5" t="s">
        <v>3897</v>
      </c>
    </row>
    <row r="2442" spans="1:15" x14ac:dyDescent="0.25">
      <c r="A2442" s="4" t="s">
        <v>2455</v>
      </c>
      <c r="B2442" s="2" t="s">
        <v>3061</v>
      </c>
      <c r="C2442" s="2" t="s">
        <v>3871</v>
      </c>
      <c r="D2442" s="2" t="s">
        <v>3878</v>
      </c>
      <c r="E2442" s="3">
        <v>45582</v>
      </c>
      <c r="F2442" s="3">
        <v>45824</v>
      </c>
      <c r="G2442" s="2" t="s">
        <v>3886</v>
      </c>
      <c r="H2442" s="2">
        <v>781217</v>
      </c>
      <c r="I2442" s="2">
        <v>168519</v>
      </c>
      <c r="J2442" s="2" t="s">
        <v>3892</v>
      </c>
      <c r="K2442" s="2" t="s">
        <v>3895</v>
      </c>
      <c r="L2442" s="2">
        <v>2025</v>
      </c>
      <c r="M2442" s="2">
        <v>612698</v>
      </c>
      <c r="N2442" s="2">
        <f xml:space="preserve"> (Table1[[#This Row],[Variance (USD)]] / Table1[[#This Row],[Actual Spending (USD)]]) * 100</f>
        <v>363.57799417276391</v>
      </c>
      <c r="O2442" s="5" t="s">
        <v>3899</v>
      </c>
    </row>
    <row r="2443" spans="1:15" x14ac:dyDescent="0.25">
      <c r="A2443" s="4" t="s">
        <v>2456</v>
      </c>
      <c r="B2443" s="2" t="s">
        <v>3433</v>
      </c>
      <c r="C2443" s="2" t="s">
        <v>3868</v>
      </c>
      <c r="D2443" s="2" t="s">
        <v>3876</v>
      </c>
      <c r="E2443" s="3">
        <v>45318</v>
      </c>
      <c r="F2443" s="3">
        <v>45440</v>
      </c>
      <c r="G2443" s="2" t="s">
        <v>3886</v>
      </c>
      <c r="H2443" s="2">
        <v>241269</v>
      </c>
      <c r="I2443" s="2">
        <v>509120</v>
      </c>
      <c r="J2443" s="2" t="s">
        <v>3890</v>
      </c>
      <c r="K2443" s="2" t="s">
        <v>3894</v>
      </c>
      <c r="L2443" s="2">
        <v>2025</v>
      </c>
      <c r="M2443" s="2">
        <v>-267851</v>
      </c>
      <c r="N2443" s="2">
        <f xml:space="preserve"> (Table1[[#This Row],[Variance (USD)]] / Table1[[#This Row],[Actual Spending (USD)]]) * 100</f>
        <v>-52.610582966687616</v>
      </c>
      <c r="O2443" s="5" t="s">
        <v>3899</v>
      </c>
    </row>
    <row r="2444" spans="1:15" x14ac:dyDescent="0.25">
      <c r="A2444" s="4" t="s">
        <v>2457</v>
      </c>
      <c r="B2444" s="2" t="s">
        <v>3519</v>
      </c>
      <c r="C2444" s="2" t="s">
        <v>3868</v>
      </c>
      <c r="D2444" s="2" t="s">
        <v>3881</v>
      </c>
      <c r="E2444" s="3">
        <v>45022</v>
      </c>
      <c r="F2444" s="3">
        <v>45779</v>
      </c>
      <c r="G2444" s="2" t="s">
        <v>3884</v>
      </c>
      <c r="H2444" s="2">
        <v>159365</v>
      </c>
      <c r="I2444" s="2">
        <v>181343</v>
      </c>
      <c r="J2444" s="2" t="s">
        <v>3891</v>
      </c>
      <c r="K2444" s="2" t="s">
        <v>3894</v>
      </c>
      <c r="L2444" s="2">
        <v>2024</v>
      </c>
      <c r="M2444" s="2">
        <v>-21978</v>
      </c>
      <c r="N2444" s="2">
        <f xml:space="preserve"> (Table1[[#This Row],[Variance (USD)]] / Table1[[#This Row],[Actual Spending (USD)]]) * 100</f>
        <v>-12.119574507976596</v>
      </c>
      <c r="O2444" s="5" t="s">
        <v>3897</v>
      </c>
    </row>
    <row r="2445" spans="1:15" x14ac:dyDescent="0.25">
      <c r="A2445" s="4" t="s">
        <v>2458</v>
      </c>
      <c r="B2445" s="2" t="s">
        <v>3387</v>
      </c>
      <c r="C2445" s="2" t="s">
        <v>3870</v>
      </c>
      <c r="D2445" s="2" t="s">
        <v>3876</v>
      </c>
      <c r="E2445" s="3">
        <v>45012</v>
      </c>
      <c r="F2445" s="3">
        <v>45316</v>
      </c>
      <c r="G2445" s="2" t="s">
        <v>3884</v>
      </c>
      <c r="H2445" s="2">
        <v>571291</v>
      </c>
      <c r="I2445" s="2">
        <v>489091</v>
      </c>
      <c r="J2445" s="2" t="s">
        <v>3892</v>
      </c>
      <c r="K2445" s="2" t="s">
        <v>3893</v>
      </c>
      <c r="L2445" s="2">
        <v>2024</v>
      </c>
      <c r="M2445" s="2">
        <v>82200</v>
      </c>
      <c r="N2445" s="2">
        <f xml:space="preserve"> (Table1[[#This Row],[Variance (USD)]] / Table1[[#This Row],[Actual Spending (USD)]]) * 100</f>
        <v>16.806688325894363</v>
      </c>
      <c r="O2445" s="5" t="s">
        <v>3897</v>
      </c>
    </row>
    <row r="2446" spans="1:15" x14ac:dyDescent="0.25">
      <c r="A2446" s="4" t="s">
        <v>2459</v>
      </c>
      <c r="B2446" s="2" t="s">
        <v>3232</v>
      </c>
      <c r="C2446" s="2" t="s">
        <v>3874</v>
      </c>
      <c r="D2446" s="2" t="s">
        <v>3876</v>
      </c>
      <c r="E2446" s="3">
        <v>45341</v>
      </c>
      <c r="F2446" s="3">
        <v>45946</v>
      </c>
      <c r="G2446" s="2" t="s">
        <v>3885</v>
      </c>
      <c r="H2446" s="2">
        <v>348510</v>
      </c>
      <c r="I2446" s="2">
        <v>777405</v>
      </c>
      <c r="J2446" s="2" t="s">
        <v>3891</v>
      </c>
      <c r="K2446" s="2" t="s">
        <v>3894</v>
      </c>
      <c r="L2446" s="2">
        <v>2025</v>
      </c>
      <c r="M2446" s="2">
        <v>-428895</v>
      </c>
      <c r="N2446" s="2">
        <f xml:space="preserve"> (Table1[[#This Row],[Variance (USD)]] / Table1[[#This Row],[Actual Spending (USD)]]) * 100</f>
        <v>-55.170085090782791</v>
      </c>
      <c r="O2446" s="5" t="s">
        <v>3898</v>
      </c>
    </row>
    <row r="2447" spans="1:15" x14ac:dyDescent="0.25">
      <c r="A2447" s="4" t="s">
        <v>2460</v>
      </c>
      <c r="B2447" s="2" t="s">
        <v>3751</v>
      </c>
      <c r="C2447" s="2" t="s">
        <v>3873</v>
      </c>
      <c r="D2447" s="2" t="s">
        <v>3876</v>
      </c>
      <c r="E2447" s="3">
        <v>45320</v>
      </c>
      <c r="F2447" s="3">
        <v>45846</v>
      </c>
      <c r="G2447" s="2" t="s">
        <v>3886</v>
      </c>
      <c r="H2447" s="2">
        <v>496171</v>
      </c>
      <c r="I2447" s="2">
        <v>657722</v>
      </c>
      <c r="J2447" s="2" t="s">
        <v>3889</v>
      </c>
      <c r="K2447" s="2" t="s">
        <v>3895</v>
      </c>
      <c r="L2447" s="2">
        <v>2024</v>
      </c>
      <c r="M2447" s="2">
        <v>-161551</v>
      </c>
      <c r="N2447" s="2">
        <f xml:space="preserve"> (Table1[[#This Row],[Variance (USD)]] / Table1[[#This Row],[Actual Spending (USD)]]) * 100</f>
        <v>-24.562201051508083</v>
      </c>
      <c r="O2447" s="5" t="s">
        <v>3899</v>
      </c>
    </row>
    <row r="2448" spans="1:15" x14ac:dyDescent="0.25">
      <c r="A2448" s="4" t="s">
        <v>2461</v>
      </c>
      <c r="B2448" s="2" t="s">
        <v>3104</v>
      </c>
      <c r="C2448" s="2" t="s">
        <v>3874</v>
      </c>
      <c r="D2448" s="2" t="s">
        <v>3877</v>
      </c>
      <c r="E2448" s="3">
        <v>45622</v>
      </c>
      <c r="F2448" s="3">
        <v>45716</v>
      </c>
      <c r="G2448" s="2" t="s">
        <v>3886</v>
      </c>
      <c r="H2448" s="2">
        <v>149830</v>
      </c>
      <c r="I2448" s="2">
        <v>742203</v>
      </c>
      <c r="J2448" s="2" t="s">
        <v>3890</v>
      </c>
      <c r="K2448" s="2" t="s">
        <v>3893</v>
      </c>
      <c r="L2448" s="2">
        <v>2023</v>
      </c>
      <c r="M2448" s="2">
        <v>-592373</v>
      </c>
      <c r="N2448" s="2">
        <f xml:space="preserve"> (Table1[[#This Row],[Variance (USD)]] / Table1[[#This Row],[Actual Spending (USD)]]) * 100</f>
        <v>-79.81280054109186</v>
      </c>
      <c r="O2448" s="5" t="s">
        <v>3899</v>
      </c>
    </row>
    <row r="2449" spans="1:15" x14ac:dyDescent="0.25">
      <c r="A2449" s="4" t="s">
        <v>2462</v>
      </c>
      <c r="B2449" s="2" t="s">
        <v>3541</v>
      </c>
      <c r="C2449" s="2" t="s">
        <v>3870</v>
      </c>
      <c r="D2449" s="2" t="s">
        <v>3879</v>
      </c>
      <c r="E2449" s="3">
        <v>45559</v>
      </c>
      <c r="F2449" s="3">
        <v>45584</v>
      </c>
      <c r="G2449" s="2" t="s">
        <v>3886</v>
      </c>
      <c r="H2449" s="2">
        <v>811573</v>
      </c>
      <c r="I2449" s="2">
        <v>318365</v>
      </c>
      <c r="J2449" s="2" t="s">
        <v>3889</v>
      </c>
      <c r="K2449" s="2" t="s">
        <v>3896</v>
      </c>
      <c r="L2449" s="2">
        <v>2025</v>
      </c>
      <c r="M2449" s="2">
        <v>493208</v>
      </c>
      <c r="N2449" s="2">
        <f xml:space="preserve"> (Table1[[#This Row],[Variance (USD)]] / Table1[[#This Row],[Actual Spending (USD)]]) * 100</f>
        <v>154.91903946727811</v>
      </c>
      <c r="O2449" s="5" t="s">
        <v>3899</v>
      </c>
    </row>
    <row r="2450" spans="1:15" x14ac:dyDescent="0.25">
      <c r="A2450" s="4" t="s">
        <v>2463</v>
      </c>
      <c r="B2450" s="2" t="s">
        <v>3722</v>
      </c>
      <c r="C2450" s="2" t="s">
        <v>3874</v>
      </c>
      <c r="D2450" s="2" t="s">
        <v>3877</v>
      </c>
      <c r="E2450" s="3">
        <v>45427</v>
      </c>
      <c r="F2450" s="3">
        <v>45476</v>
      </c>
      <c r="G2450" s="2" t="s">
        <v>3884</v>
      </c>
      <c r="H2450" s="2">
        <v>878343</v>
      </c>
      <c r="I2450" s="2">
        <v>288180</v>
      </c>
      <c r="J2450" s="2" t="s">
        <v>3892</v>
      </c>
      <c r="K2450" s="2" t="s">
        <v>3896</v>
      </c>
      <c r="L2450" s="2">
        <v>2025</v>
      </c>
      <c r="M2450" s="2">
        <v>590163</v>
      </c>
      <c r="N2450" s="2">
        <f xml:space="preserve"> (Table1[[#This Row],[Variance (USD)]] / Table1[[#This Row],[Actual Spending (USD)]]) * 100</f>
        <v>204.78971476160734</v>
      </c>
      <c r="O2450" s="5" t="s">
        <v>3897</v>
      </c>
    </row>
    <row r="2451" spans="1:15" x14ac:dyDescent="0.25">
      <c r="A2451" s="4" t="s">
        <v>2464</v>
      </c>
      <c r="B2451" s="2" t="s">
        <v>3085</v>
      </c>
      <c r="C2451" s="2" t="s">
        <v>3870</v>
      </c>
      <c r="D2451" s="2" t="s">
        <v>3876</v>
      </c>
      <c r="E2451" s="3">
        <v>45530</v>
      </c>
      <c r="F2451" s="3">
        <v>45845</v>
      </c>
      <c r="G2451" s="2" t="s">
        <v>3886</v>
      </c>
      <c r="H2451" s="2">
        <v>395566</v>
      </c>
      <c r="I2451" s="2">
        <v>86467</v>
      </c>
      <c r="J2451" s="2" t="s">
        <v>3891</v>
      </c>
      <c r="K2451" s="2" t="s">
        <v>3895</v>
      </c>
      <c r="L2451" s="2">
        <v>2024</v>
      </c>
      <c r="M2451" s="2">
        <v>309099</v>
      </c>
      <c r="N2451" s="2">
        <f xml:space="preserve"> (Table1[[#This Row],[Variance (USD)]] / Table1[[#This Row],[Actual Spending (USD)]]) * 100</f>
        <v>357.47626262042166</v>
      </c>
      <c r="O2451" s="5" t="s">
        <v>3899</v>
      </c>
    </row>
    <row r="2452" spans="1:15" x14ac:dyDescent="0.25">
      <c r="A2452" s="4" t="s">
        <v>2465</v>
      </c>
      <c r="B2452" s="2" t="s">
        <v>3634</v>
      </c>
      <c r="C2452" s="2" t="s">
        <v>3875</v>
      </c>
      <c r="D2452" s="2" t="s">
        <v>3877</v>
      </c>
      <c r="E2452" s="3">
        <v>45508</v>
      </c>
      <c r="F2452" s="3">
        <v>45722</v>
      </c>
      <c r="G2452" s="2" t="s">
        <v>3884</v>
      </c>
      <c r="H2452" s="2">
        <v>627907</v>
      </c>
      <c r="I2452" s="2">
        <v>141414</v>
      </c>
      <c r="J2452" s="2" t="s">
        <v>3889</v>
      </c>
      <c r="K2452" s="2" t="s">
        <v>3895</v>
      </c>
      <c r="L2452" s="2">
        <v>2023</v>
      </c>
      <c r="M2452" s="2">
        <v>486493</v>
      </c>
      <c r="N2452" s="2">
        <f xml:space="preserve"> (Table1[[#This Row],[Variance (USD)]] / Table1[[#This Row],[Actual Spending (USD)]]) * 100</f>
        <v>344.02039402039406</v>
      </c>
      <c r="O2452" s="5" t="s">
        <v>3897</v>
      </c>
    </row>
    <row r="2453" spans="1:15" x14ac:dyDescent="0.25">
      <c r="A2453" s="4" t="s">
        <v>2466</v>
      </c>
      <c r="B2453" s="2" t="s">
        <v>3203</v>
      </c>
      <c r="C2453" s="2" t="s">
        <v>3872</v>
      </c>
      <c r="D2453" s="2" t="s">
        <v>3876</v>
      </c>
      <c r="E2453" s="3">
        <v>45059</v>
      </c>
      <c r="F2453" s="3">
        <v>45895</v>
      </c>
      <c r="G2453" s="2" t="s">
        <v>3884</v>
      </c>
      <c r="H2453" s="2">
        <v>859223</v>
      </c>
      <c r="I2453" s="2">
        <v>73086</v>
      </c>
      <c r="J2453" s="2" t="s">
        <v>3892</v>
      </c>
      <c r="K2453" s="2" t="s">
        <v>3896</v>
      </c>
      <c r="L2453" s="2">
        <v>2025</v>
      </c>
      <c r="M2453" s="2">
        <v>786137</v>
      </c>
      <c r="N2453" s="2">
        <f xml:space="preserve"> (Table1[[#This Row],[Variance (USD)]] / Table1[[#This Row],[Actual Spending (USD)]]) * 100</f>
        <v>1075.632816134417</v>
      </c>
      <c r="O2453" s="5" t="s">
        <v>3897</v>
      </c>
    </row>
    <row r="2454" spans="1:15" x14ac:dyDescent="0.25">
      <c r="A2454" s="4" t="s">
        <v>2467</v>
      </c>
      <c r="B2454" s="2" t="s">
        <v>3569</v>
      </c>
      <c r="C2454" s="2" t="s">
        <v>3868</v>
      </c>
      <c r="D2454" s="2" t="s">
        <v>3883</v>
      </c>
      <c r="E2454" s="3">
        <v>45575</v>
      </c>
      <c r="F2454" s="3">
        <v>45608</v>
      </c>
      <c r="G2454" s="2" t="s">
        <v>3886</v>
      </c>
      <c r="H2454" s="2">
        <v>320445</v>
      </c>
      <c r="I2454" s="2">
        <v>635432</v>
      </c>
      <c r="J2454" s="2" t="s">
        <v>3888</v>
      </c>
      <c r="K2454" s="2" t="s">
        <v>3893</v>
      </c>
      <c r="L2454" s="2">
        <v>2025</v>
      </c>
      <c r="M2454" s="2">
        <v>-314987</v>
      </c>
      <c r="N2454" s="2">
        <f xml:space="preserve"> (Table1[[#This Row],[Variance (USD)]] / Table1[[#This Row],[Actual Spending (USD)]]) * 100</f>
        <v>-49.570528396429516</v>
      </c>
      <c r="O2454" s="5" t="s">
        <v>3899</v>
      </c>
    </row>
    <row r="2455" spans="1:15" x14ac:dyDescent="0.25">
      <c r="A2455" s="4" t="s">
        <v>2468</v>
      </c>
      <c r="B2455" s="2" t="s">
        <v>3723</v>
      </c>
      <c r="C2455" s="2" t="s">
        <v>3870</v>
      </c>
      <c r="D2455" s="2" t="s">
        <v>3880</v>
      </c>
      <c r="E2455" s="3">
        <v>45240</v>
      </c>
      <c r="F2455" s="3">
        <v>45689</v>
      </c>
      <c r="G2455" s="2" t="s">
        <v>3884</v>
      </c>
      <c r="H2455" s="2">
        <v>176866</v>
      </c>
      <c r="I2455" s="2">
        <v>1079214</v>
      </c>
      <c r="J2455" s="2" t="s">
        <v>3889</v>
      </c>
      <c r="K2455" s="2" t="s">
        <v>3895</v>
      </c>
      <c r="L2455" s="2">
        <v>2023</v>
      </c>
      <c r="M2455" s="2">
        <v>-902348</v>
      </c>
      <c r="N2455" s="2">
        <f xml:space="preserve"> (Table1[[#This Row],[Variance (USD)]] / Table1[[#This Row],[Actual Spending (USD)]]) * 100</f>
        <v>-83.611591398925512</v>
      </c>
      <c r="O2455" s="5" t="s">
        <v>3897</v>
      </c>
    </row>
    <row r="2456" spans="1:15" x14ac:dyDescent="0.25">
      <c r="A2456" s="4" t="s">
        <v>2469</v>
      </c>
      <c r="B2456" s="2" t="s">
        <v>3679</v>
      </c>
      <c r="C2456" s="2" t="s">
        <v>3870</v>
      </c>
      <c r="D2456" s="2" t="s">
        <v>3879</v>
      </c>
      <c r="E2456" s="3">
        <v>45625</v>
      </c>
      <c r="F2456" s="3">
        <v>45615</v>
      </c>
      <c r="G2456" s="2" t="s">
        <v>3887</v>
      </c>
      <c r="H2456" s="2">
        <v>281730</v>
      </c>
      <c r="I2456" s="2">
        <v>1020749</v>
      </c>
      <c r="J2456" s="2" t="s">
        <v>3888</v>
      </c>
      <c r="K2456" s="2" t="s">
        <v>3896</v>
      </c>
      <c r="L2456" s="2">
        <v>2024</v>
      </c>
      <c r="M2456" s="2">
        <v>-739019</v>
      </c>
      <c r="N2456" s="2">
        <f xml:space="preserve"> (Table1[[#This Row],[Variance (USD)]] / Table1[[#This Row],[Actual Spending (USD)]]) * 100</f>
        <v>-72.39967905920065</v>
      </c>
      <c r="O2456" s="5" t="s">
        <v>3900</v>
      </c>
    </row>
    <row r="2457" spans="1:15" x14ac:dyDescent="0.25">
      <c r="A2457" s="4" t="s">
        <v>2470</v>
      </c>
      <c r="B2457" s="2" t="s">
        <v>3239</v>
      </c>
      <c r="C2457" s="2" t="s">
        <v>3873</v>
      </c>
      <c r="D2457" s="2" t="s">
        <v>3883</v>
      </c>
      <c r="E2457" s="3">
        <v>45147</v>
      </c>
      <c r="F2457" s="3">
        <v>45856</v>
      </c>
      <c r="G2457" s="2" t="s">
        <v>3884</v>
      </c>
      <c r="H2457" s="2">
        <v>153623</v>
      </c>
      <c r="I2457" s="2">
        <v>887111</v>
      </c>
      <c r="J2457" s="2" t="s">
        <v>3888</v>
      </c>
      <c r="K2457" s="2" t="s">
        <v>3893</v>
      </c>
      <c r="L2457" s="2">
        <v>2024</v>
      </c>
      <c r="M2457" s="2">
        <v>-733488</v>
      </c>
      <c r="N2457" s="2">
        <f xml:space="preserve"> (Table1[[#This Row],[Variance (USD)]] / Table1[[#This Row],[Actual Spending (USD)]]) * 100</f>
        <v>-82.682775887121224</v>
      </c>
      <c r="O2457" s="5" t="s">
        <v>3897</v>
      </c>
    </row>
    <row r="2458" spans="1:15" x14ac:dyDescent="0.25">
      <c r="A2458" s="4" t="s">
        <v>2471</v>
      </c>
      <c r="B2458" s="2" t="s">
        <v>3055</v>
      </c>
      <c r="C2458" s="2" t="s">
        <v>3870</v>
      </c>
      <c r="D2458" s="2" t="s">
        <v>3878</v>
      </c>
      <c r="E2458" s="3">
        <v>45364</v>
      </c>
      <c r="F2458" s="3">
        <v>45887</v>
      </c>
      <c r="G2458" s="2" t="s">
        <v>3885</v>
      </c>
      <c r="H2458" s="2">
        <v>541745</v>
      </c>
      <c r="I2458" s="2">
        <v>883192</v>
      </c>
      <c r="J2458" s="2" t="s">
        <v>3892</v>
      </c>
      <c r="K2458" s="2" t="s">
        <v>3895</v>
      </c>
      <c r="L2458" s="2">
        <v>2024</v>
      </c>
      <c r="M2458" s="2">
        <v>-341447</v>
      </c>
      <c r="N2458" s="2">
        <f xml:space="preserve"> (Table1[[#This Row],[Variance (USD)]] / Table1[[#This Row],[Actual Spending (USD)]]) * 100</f>
        <v>-38.660563048578339</v>
      </c>
      <c r="O2458" s="5" t="s">
        <v>3898</v>
      </c>
    </row>
    <row r="2459" spans="1:15" x14ac:dyDescent="0.25">
      <c r="A2459" s="4" t="s">
        <v>2472</v>
      </c>
      <c r="B2459" s="2" t="s">
        <v>3790</v>
      </c>
      <c r="C2459" s="2" t="s">
        <v>3869</v>
      </c>
      <c r="D2459" s="2" t="s">
        <v>3877</v>
      </c>
      <c r="E2459" s="3">
        <v>44972</v>
      </c>
      <c r="F2459" s="3">
        <v>45837</v>
      </c>
      <c r="G2459" s="2" t="s">
        <v>3885</v>
      </c>
      <c r="H2459" s="2">
        <v>424968</v>
      </c>
      <c r="I2459" s="2">
        <v>77234</v>
      </c>
      <c r="J2459" s="2" t="s">
        <v>3890</v>
      </c>
      <c r="K2459" s="2" t="s">
        <v>3894</v>
      </c>
      <c r="L2459" s="2">
        <v>2024</v>
      </c>
      <c r="M2459" s="2">
        <v>347734</v>
      </c>
      <c r="N2459" s="2">
        <f xml:space="preserve"> (Table1[[#This Row],[Variance (USD)]] / Table1[[#This Row],[Actual Spending (USD)]]) * 100</f>
        <v>450.23435274619982</v>
      </c>
      <c r="O2459" s="5" t="s">
        <v>3898</v>
      </c>
    </row>
    <row r="2460" spans="1:15" x14ac:dyDescent="0.25">
      <c r="A2460" s="4" t="s">
        <v>2473</v>
      </c>
      <c r="B2460" s="2" t="s">
        <v>3372</v>
      </c>
      <c r="C2460" s="2" t="s">
        <v>3872</v>
      </c>
      <c r="D2460" s="2" t="s">
        <v>3878</v>
      </c>
      <c r="E2460" s="3">
        <v>45118</v>
      </c>
      <c r="F2460" s="3">
        <v>45367</v>
      </c>
      <c r="G2460" s="2" t="s">
        <v>3884</v>
      </c>
      <c r="H2460" s="2">
        <v>611182</v>
      </c>
      <c r="I2460" s="2">
        <v>733407</v>
      </c>
      <c r="J2460" s="2" t="s">
        <v>3891</v>
      </c>
      <c r="K2460" s="2" t="s">
        <v>3894</v>
      </c>
      <c r="L2460" s="2">
        <v>2023</v>
      </c>
      <c r="M2460" s="2">
        <v>-122225</v>
      </c>
      <c r="N2460" s="2">
        <f xml:space="preserve"> (Table1[[#This Row],[Variance (USD)]] / Table1[[#This Row],[Actual Spending (USD)]]) * 100</f>
        <v>-16.665371342242437</v>
      </c>
      <c r="O2460" s="5" t="s">
        <v>3897</v>
      </c>
    </row>
    <row r="2461" spans="1:15" x14ac:dyDescent="0.25">
      <c r="A2461" s="4" t="s">
        <v>2474</v>
      </c>
      <c r="B2461" s="2" t="s">
        <v>3575</v>
      </c>
      <c r="C2461" s="2" t="s">
        <v>3868</v>
      </c>
      <c r="D2461" s="2" t="s">
        <v>3881</v>
      </c>
      <c r="E2461" s="3">
        <v>45446</v>
      </c>
      <c r="F2461" s="3">
        <v>46000</v>
      </c>
      <c r="G2461" s="2" t="s">
        <v>3886</v>
      </c>
      <c r="H2461" s="2">
        <v>542133</v>
      </c>
      <c r="I2461" s="2">
        <v>1188982</v>
      </c>
      <c r="J2461" s="2" t="s">
        <v>3892</v>
      </c>
      <c r="K2461" s="2" t="s">
        <v>3894</v>
      </c>
      <c r="L2461" s="2">
        <v>2023</v>
      </c>
      <c r="M2461" s="2">
        <v>-646849</v>
      </c>
      <c r="N2461" s="2">
        <f xml:space="preserve"> (Table1[[#This Row],[Variance (USD)]] / Table1[[#This Row],[Actual Spending (USD)]]) * 100</f>
        <v>-54.403599045233655</v>
      </c>
      <c r="O2461" s="5" t="s">
        <v>3899</v>
      </c>
    </row>
    <row r="2462" spans="1:15" x14ac:dyDescent="0.25">
      <c r="A2462" s="4" t="s">
        <v>2475</v>
      </c>
      <c r="B2462" s="2" t="s">
        <v>3606</v>
      </c>
      <c r="C2462" s="2" t="s">
        <v>3868</v>
      </c>
      <c r="D2462" s="2" t="s">
        <v>3877</v>
      </c>
      <c r="E2462" s="3">
        <v>45305</v>
      </c>
      <c r="F2462" s="3">
        <v>45777</v>
      </c>
      <c r="G2462" s="2" t="s">
        <v>3884</v>
      </c>
      <c r="H2462" s="2">
        <v>916050</v>
      </c>
      <c r="I2462" s="2">
        <v>805471</v>
      </c>
      <c r="J2462" s="2" t="s">
        <v>3889</v>
      </c>
      <c r="K2462" s="2" t="s">
        <v>3893</v>
      </c>
      <c r="L2462" s="2">
        <v>2025</v>
      </c>
      <c r="M2462" s="2">
        <v>110579</v>
      </c>
      <c r="N2462" s="2">
        <f xml:space="preserve"> (Table1[[#This Row],[Variance (USD)]] / Table1[[#This Row],[Actual Spending (USD)]]) * 100</f>
        <v>13.72848929384174</v>
      </c>
      <c r="O2462" s="5" t="s">
        <v>3897</v>
      </c>
    </row>
    <row r="2463" spans="1:15" x14ac:dyDescent="0.25">
      <c r="A2463" s="4" t="s">
        <v>2476</v>
      </c>
      <c r="B2463" s="2" t="s">
        <v>3538</v>
      </c>
      <c r="C2463" s="2" t="s">
        <v>3873</v>
      </c>
      <c r="D2463" s="2" t="s">
        <v>3882</v>
      </c>
      <c r="E2463" s="3">
        <v>45617</v>
      </c>
      <c r="F2463" s="3">
        <v>45379</v>
      </c>
      <c r="G2463" s="2" t="s">
        <v>3885</v>
      </c>
      <c r="H2463" s="2">
        <v>907426</v>
      </c>
      <c r="I2463" s="2">
        <v>355148</v>
      </c>
      <c r="J2463" s="2" t="s">
        <v>3891</v>
      </c>
      <c r="K2463" s="2" t="s">
        <v>3895</v>
      </c>
      <c r="L2463" s="2">
        <v>2025</v>
      </c>
      <c r="M2463" s="2">
        <v>552278</v>
      </c>
      <c r="N2463" s="2">
        <f xml:space="preserve"> (Table1[[#This Row],[Variance (USD)]] / Table1[[#This Row],[Actual Spending (USD)]]) * 100</f>
        <v>155.50643675312827</v>
      </c>
      <c r="O2463" s="5" t="s">
        <v>3898</v>
      </c>
    </row>
    <row r="2464" spans="1:15" x14ac:dyDescent="0.25">
      <c r="A2464" s="4" t="s">
        <v>2477</v>
      </c>
      <c r="B2464" s="2" t="s">
        <v>3570</v>
      </c>
      <c r="C2464" s="2" t="s">
        <v>3875</v>
      </c>
      <c r="D2464" s="2" t="s">
        <v>3882</v>
      </c>
      <c r="E2464" s="3">
        <v>45260</v>
      </c>
      <c r="F2464" s="3">
        <v>45523</v>
      </c>
      <c r="G2464" s="2" t="s">
        <v>3884</v>
      </c>
      <c r="H2464" s="2">
        <v>91770</v>
      </c>
      <c r="I2464" s="2">
        <v>135711</v>
      </c>
      <c r="J2464" s="2" t="s">
        <v>3890</v>
      </c>
      <c r="K2464" s="2" t="s">
        <v>3896</v>
      </c>
      <c r="L2464" s="2">
        <v>2023</v>
      </c>
      <c r="M2464" s="2">
        <v>-43941</v>
      </c>
      <c r="N2464" s="2">
        <f xml:space="preserve"> (Table1[[#This Row],[Variance (USD)]] / Table1[[#This Row],[Actual Spending (USD)]]) * 100</f>
        <v>-32.378362844574134</v>
      </c>
      <c r="O2464" s="5" t="s">
        <v>3897</v>
      </c>
    </row>
    <row r="2465" spans="1:15" x14ac:dyDescent="0.25">
      <c r="A2465" s="4" t="s">
        <v>2478</v>
      </c>
      <c r="B2465" s="2" t="s">
        <v>3090</v>
      </c>
      <c r="C2465" s="2" t="s">
        <v>3868</v>
      </c>
      <c r="D2465" s="2" t="s">
        <v>3880</v>
      </c>
      <c r="E2465" s="3">
        <v>44965</v>
      </c>
      <c r="F2465" s="3">
        <v>45298</v>
      </c>
      <c r="G2465" s="2" t="s">
        <v>3886</v>
      </c>
      <c r="H2465" s="2">
        <v>596588</v>
      </c>
      <c r="I2465" s="2">
        <v>963146</v>
      </c>
      <c r="J2465" s="2" t="s">
        <v>3892</v>
      </c>
      <c r="K2465" s="2" t="s">
        <v>3895</v>
      </c>
      <c r="L2465" s="2">
        <v>2025</v>
      </c>
      <c r="M2465" s="2">
        <v>-366558</v>
      </c>
      <c r="N2465" s="2">
        <f xml:space="preserve"> (Table1[[#This Row],[Variance (USD)]] / Table1[[#This Row],[Actual Spending (USD)]]) * 100</f>
        <v>-38.058404437125837</v>
      </c>
      <c r="O2465" s="5" t="s">
        <v>3899</v>
      </c>
    </row>
    <row r="2466" spans="1:15" x14ac:dyDescent="0.25">
      <c r="A2466" s="4" t="s">
        <v>2479</v>
      </c>
      <c r="B2466" s="2" t="s">
        <v>3259</v>
      </c>
      <c r="C2466" s="2" t="s">
        <v>3869</v>
      </c>
      <c r="D2466" s="2" t="s">
        <v>3883</v>
      </c>
      <c r="E2466" s="3">
        <v>45219</v>
      </c>
      <c r="F2466" s="3">
        <v>45841</v>
      </c>
      <c r="G2466" s="2" t="s">
        <v>3884</v>
      </c>
      <c r="H2466" s="2">
        <v>692313</v>
      </c>
      <c r="I2466" s="2">
        <v>527288</v>
      </c>
      <c r="J2466" s="2" t="s">
        <v>3890</v>
      </c>
      <c r="K2466" s="2" t="s">
        <v>3894</v>
      </c>
      <c r="L2466" s="2">
        <v>2023</v>
      </c>
      <c r="M2466" s="2">
        <v>165025</v>
      </c>
      <c r="N2466" s="2">
        <f xml:space="preserve"> (Table1[[#This Row],[Variance (USD)]] / Table1[[#This Row],[Actual Spending (USD)]]) * 100</f>
        <v>31.296938295580407</v>
      </c>
      <c r="O2466" s="5" t="s">
        <v>3897</v>
      </c>
    </row>
    <row r="2467" spans="1:15" x14ac:dyDescent="0.25">
      <c r="A2467" s="4" t="s">
        <v>2480</v>
      </c>
      <c r="B2467" s="2" t="s">
        <v>3068</v>
      </c>
      <c r="C2467" s="2" t="s">
        <v>3868</v>
      </c>
      <c r="D2467" s="2" t="s">
        <v>3880</v>
      </c>
      <c r="E2467" s="3">
        <v>45616</v>
      </c>
      <c r="F2467" s="3">
        <v>45343</v>
      </c>
      <c r="G2467" s="2" t="s">
        <v>3884</v>
      </c>
      <c r="H2467" s="2">
        <v>249307</v>
      </c>
      <c r="I2467" s="2">
        <v>278134</v>
      </c>
      <c r="J2467" s="2" t="s">
        <v>3889</v>
      </c>
      <c r="K2467" s="2" t="s">
        <v>3894</v>
      </c>
      <c r="L2467" s="2">
        <v>2024</v>
      </c>
      <c r="M2467" s="2">
        <v>-28827</v>
      </c>
      <c r="N2467" s="2">
        <f xml:space="preserve"> (Table1[[#This Row],[Variance (USD)]] / Table1[[#This Row],[Actual Spending (USD)]]) * 100</f>
        <v>-10.364428656690659</v>
      </c>
      <c r="O2467" s="5" t="s">
        <v>3897</v>
      </c>
    </row>
    <row r="2468" spans="1:15" x14ac:dyDescent="0.25">
      <c r="A2468" s="4" t="s">
        <v>2481</v>
      </c>
      <c r="B2468" s="2" t="s">
        <v>3842</v>
      </c>
      <c r="C2468" s="2" t="s">
        <v>3869</v>
      </c>
      <c r="D2468" s="2" t="s">
        <v>3881</v>
      </c>
      <c r="E2468" s="3">
        <v>45088</v>
      </c>
      <c r="F2468" s="3">
        <v>45946</v>
      </c>
      <c r="G2468" s="2" t="s">
        <v>3884</v>
      </c>
      <c r="H2468" s="2">
        <v>472701</v>
      </c>
      <c r="I2468" s="2">
        <v>148778</v>
      </c>
      <c r="J2468" s="2" t="s">
        <v>3892</v>
      </c>
      <c r="K2468" s="2" t="s">
        <v>3893</v>
      </c>
      <c r="L2468" s="2">
        <v>2023</v>
      </c>
      <c r="M2468" s="2">
        <v>323923</v>
      </c>
      <c r="N2468" s="2">
        <f xml:space="preserve"> (Table1[[#This Row],[Variance (USD)]] / Table1[[#This Row],[Actual Spending (USD)]]) * 100</f>
        <v>217.72237830862088</v>
      </c>
      <c r="O2468" s="5" t="s">
        <v>3897</v>
      </c>
    </row>
    <row r="2469" spans="1:15" x14ac:dyDescent="0.25">
      <c r="A2469" s="4" t="s">
        <v>2482</v>
      </c>
      <c r="B2469" s="2" t="s">
        <v>3054</v>
      </c>
      <c r="C2469" s="2" t="s">
        <v>3872</v>
      </c>
      <c r="D2469" s="2" t="s">
        <v>3876</v>
      </c>
      <c r="E2469" s="3">
        <v>45257</v>
      </c>
      <c r="F2469" s="3">
        <v>45687</v>
      </c>
      <c r="G2469" s="2" t="s">
        <v>3884</v>
      </c>
      <c r="H2469" s="2">
        <v>957037</v>
      </c>
      <c r="I2469" s="2">
        <v>1111679</v>
      </c>
      <c r="J2469" s="2" t="s">
        <v>3889</v>
      </c>
      <c r="K2469" s="2" t="s">
        <v>3896</v>
      </c>
      <c r="L2469" s="2">
        <v>2023</v>
      </c>
      <c r="M2469" s="2">
        <v>-154642</v>
      </c>
      <c r="N2469" s="2">
        <f xml:space="preserve"> (Table1[[#This Row],[Variance (USD)]] / Table1[[#This Row],[Actual Spending (USD)]]) * 100</f>
        <v>-13.910670256431937</v>
      </c>
      <c r="O2469" s="5" t="s">
        <v>3897</v>
      </c>
    </row>
    <row r="2470" spans="1:15" x14ac:dyDescent="0.25">
      <c r="A2470" s="4" t="s">
        <v>2483</v>
      </c>
      <c r="B2470" s="2" t="s">
        <v>3256</v>
      </c>
      <c r="C2470" s="2" t="s">
        <v>3872</v>
      </c>
      <c r="D2470" s="2" t="s">
        <v>3880</v>
      </c>
      <c r="E2470" s="3">
        <v>45030</v>
      </c>
      <c r="F2470" s="3">
        <v>45512</v>
      </c>
      <c r="G2470" s="2" t="s">
        <v>3886</v>
      </c>
      <c r="H2470" s="2">
        <v>90285</v>
      </c>
      <c r="I2470" s="2">
        <v>1058761</v>
      </c>
      <c r="J2470" s="2" t="s">
        <v>3891</v>
      </c>
      <c r="K2470" s="2" t="s">
        <v>3893</v>
      </c>
      <c r="L2470" s="2">
        <v>2025</v>
      </c>
      <c r="M2470" s="2">
        <v>-968476</v>
      </c>
      <c r="N2470" s="2">
        <f xml:space="preserve"> (Table1[[#This Row],[Variance (USD)]] / Table1[[#This Row],[Actual Spending (USD)]]) * 100</f>
        <v>-91.472579741792529</v>
      </c>
      <c r="O2470" s="5" t="s">
        <v>3899</v>
      </c>
    </row>
    <row r="2471" spans="1:15" x14ac:dyDescent="0.25">
      <c r="A2471" s="4" t="s">
        <v>2484</v>
      </c>
      <c r="B2471" s="2" t="s">
        <v>3045</v>
      </c>
      <c r="C2471" s="2" t="s">
        <v>3871</v>
      </c>
      <c r="D2471" s="2" t="s">
        <v>3880</v>
      </c>
      <c r="E2471" s="3">
        <v>45087</v>
      </c>
      <c r="F2471" s="3">
        <v>45719</v>
      </c>
      <c r="G2471" s="2" t="s">
        <v>3886</v>
      </c>
      <c r="H2471" s="2">
        <v>771915</v>
      </c>
      <c r="I2471" s="2">
        <v>1093906</v>
      </c>
      <c r="J2471" s="2" t="s">
        <v>3891</v>
      </c>
      <c r="K2471" s="2" t="s">
        <v>3896</v>
      </c>
      <c r="L2471" s="2">
        <v>2023</v>
      </c>
      <c r="M2471" s="2">
        <v>-321991</v>
      </c>
      <c r="N2471" s="2">
        <f xml:space="preserve"> (Table1[[#This Row],[Variance (USD)]] / Table1[[#This Row],[Actual Spending (USD)]]) * 100</f>
        <v>-29.434978873870332</v>
      </c>
      <c r="O2471" s="5" t="s">
        <v>3899</v>
      </c>
    </row>
    <row r="2472" spans="1:15" x14ac:dyDescent="0.25">
      <c r="A2472" s="4" t="s">
        <v>2485</v>
      </c>
      <c r="B2472" s="2" t="s">
        <v>3182</v>
      </c>
      <c r="C2472" s="2" t="s">
        <v>3871</v>
      </c>
      <c r="D2472" s="2" t="s">
        <v>3882</v>
      </c>
      <c r="E2472" s="3">
        <v>45561</v>
      </c>
      <c r="F2472" s="3">
        <v>45434</v>
      </c>
      <c r="G2472" s="2" t="s">
        <v>3886</v>
      </c>
      <c r="H2472" s="2">
        <v>167713</v>
      </c>
      <c r="I2472" s="2">
        <v>603697</v>
      </c>
      <c r="J2472" s="2" t="s">
        <v>3890</v>
      </c>
      <c r="K2472" s="2" t="s">
        <v>3895</v>
      </c>
      <c r="L2472" s="2">
        <v>2024</v>
      </c>
      <c r="M2472" s="2">
        <v>-435984</v>
      </c>
      <c r="N2472" s="2">
        <f xml:space="preserve"> (Table1[[#This Row],[Variance (USD)]] / Table1[[#This Row],[Actual Spending (USD)]]) * 100</f>
        <v>-72.219010530116933</v>
      </c>
      <c r="O2472" s="5" t="s">
        <v>3899</v>
      </c>
    </row>
    <row r="2473" spans="1:15" x14ac:dyDescent="0.25">
      <c r="A2473" s="4" t="s">
        <v>2486</v>
      </c>
      <c r="B2473" s="2" t="s">
        <v>3091</v>
      </c>
      <c r="C2473" s="2" t="s">
        <v>3869</v>
      </c>
      <c r="D2473" s="2" t="s">
        <v>3876</v>
      </c>
      <c r="E2473" s="3">
        <v>44980</v>
      </c>
      <c r="F2473" s="3">
        <v>45654</v>
      </c>
      <c r="G2473" s="2" t="s">
        <v>3884</v>
      </c>
      <c r="H2473" s="2">
        <v>737831</v>
      </c>
      <c r="I2473" s="2">
        <v>256270</v>
      </c>
      <c r="J2473" s="2" t="s">
        <v>3890</v>
      </c>
      <c r="K2473" s="2" t="s">
        <v>3893</v>
      </c>
      <c r="L2473" s="2">
        <v>2024</v>
      </c>
      <c r="M2473" s="2">
        <v>481561</v>
      </c>
      <c r="N2473" s="2">
        <f xml:space="preserve"> (Table1[[#This Row],[Variance (USD)]] / Table1[[#This Row],[Actual Spending (USD)]]) * 100</f>
        <v>187.91157763296522</v>
      </c>
      <c r="O2473" s="5" t="s">
        <v>3897</v>
      </c>
    </row>
    <row r="2474" spans="1:15" x14ac:dyDescent="0.25">
      <c r="A2474" s="4" t="s">
        <v>2487</v>
      </c>
      <c r="B2474" s="2" t="s">
        <v>3458</v>
      </c>
      <c r="C2474" s="2" t="s">
        <v>3875</v>
      </c>
      <c r="D2474" s="2" t="s">
        <v>3882</v>
      </c>
      <c r="E2474" s="3">
        <v>44960</v>
      </c>
      <c r="F2474" s="3">
        <v>45673</v>
      </c>
      <c r="G2474" s="2" t="s">
        <v>3884</v>
      </c>
      <c r="H2474" s="2">
        <v>622959</v>
      </c>
      <c r="I2474" s="2">
        <v>30184</v>
      </c>
      <c r="J2474" s="2" t="s">
        <v>3891</v>
      </c>
      <c r="K2474" s="2" t="s">
        <v>3893</v>
      </c>
      <c r="L2474" s="2">
        <v>2025</v>
      </c>
      <c r="M2474" s="2">
        <v>592775</v>
      </c>
      <c r="N2474" s="2">
        <f xml:space="preserve"> (Table1[[#This Row],[Variance (USD)]] / Table1[[#This Row],[Actual Spending (USD)]]) * 100</f>
        <v>1963.8715875960775</v>
      </c>
      <c r="O2474" s="5" t="s">
        <v>3897</v>
      </c>
    </row>
    <row r="2475" spans="1:15" x14ac:dyDescent="0.25">
      <c r="A2475" s="4" t="s">
        <v>2488</v>
      </c>
      <c r="B2475" s="2" t="s">
        <v>3148</v>
      </c>
      <c r="C2475" s="2" t="s">
        <v>3868</v>
      </c>
      <c r="D2475" s="2" t="s">
        <v>3877</v>
      </c>
      <c r="E2475" s="3">
        <v>45168</v>
      </c>
      <c r="F2475" s="3">
        <v>45852</v>
      </c>
      <c r="G2475" s="2" t="s">
        <v>3884</v>
      </c>
      <c r="H2475" s="2">
        <v>430360</v>
      </c>
      <c r="I2475" s="2">
        <v>519139</v>
      </c>
      <c r="J2475" s="2" t="s">
        <v>3888</v>
      </c>
      <c r="K2475" s="2" t="s">
        <v>3893</v>
      </c>
      <c r="L2475" s="2">
        <v>2025</v>
      </c>
      <c r="M2475" s="2">
        <v>-88779</v>
      </c>
      <c r="N2475" s="2">
        <f xml:space="preserve"> (Table1[[#This Row],[Variance (USD)]] / Table1[[#This Row],[Actual Spending (USD)]]) * 100</f>
        <v>-17.101200256578679</v>
      </c>
      <c r="O2475" s="5" t="s">
        <v>3897</v>
      </c>
    </row>
    <row r="2476" spans="1:15" x14ac:dyDescent="0.25">
      <c r="A2476" s="4" t="s">
        <v>2489</v>
      </c>
      <c r="B2476" s="2" t="s">
        <v>3841</v>
      </c>
      <c r="C2476" s="2" t="s">
        <v>3870</v>
      </c>
      <c r="D2476" s="2" t="s">
        <v>3876</v>
      </c>
      <c r="E2476" s="3">
        <v>45039</v>
      </c>
      <c r="F2476" s="3">
        <v>45568</v>
      </c>
      <c r="G2476" s="2" t="s">
        <v>3885</v>
      </c>
      <c r="H2476" s="2">
        <v>856702</v>
      </c>
      <c r="I2476" s="2">
        <v>151529</v>
      </c>
      <c r="J2476" s="2" t="s">
        <v>3891</v>
      </c>
      <c r="K2476" s="2" t="s">
        <v>3894</v>
      </c>
      <c r="L2476" s="2">
        <v>2023</v>
      </c>
      <c r="M2476" s="2">
        <v>705173</v>
      </c>
      <c r="N2476" s="2">
        <f xml:space="preserve"> (Table1[[#This Row],[Variance (USD)]] / Table1[[#This Row],[Actual Spending (USD)]]) * 100</f>
        <v>465.37164503164411</v>
      </c>
      <c r="O2476" s="5" t="s">
        <v>3898</v>
      </c>
    </row>
    <row r="2477" spans="1:15" x14ac:dyDescent="0.25">
      <c r="A2477" s="4" t="s">
        <v>2490</v>
      </c>
      <c r="B2477" s="2" t="s">
        <v>3502</v>
      </c>
      <c r="C2477" s="2" t="s">
        <v>3868</v>
      </c>
      <c r="D2477" s="2" t="s">
        <v>3883</v>
      </c>
      <c r="E2477" s="3">
        <v>45244</v>
      </c>
      <c r="F2477" s="3">
        <v>45562</v>
      </c>
      <c r="G2477" s="2" t="s">
        <v>3887</v>
      </c>
      <c r="H2477" s="2">
        <v>694158</v>
      </c>
      <c r="I2477" s="2">
        <v>85810</v>
      </c>
      <c r="J2477" s="2" t="s">
        <v>3892</v>
      </c>
      <c r="K2477" s="2" t="s">
        <v>3894</v>
      </c>
      <c r="L2477" s="2">
        <v>2025</v>
      </c>
      <c r="M2477" s="2">
        <v>608348</v>
      </c>
      <c r="N2477" s="2">
        <f xml:space="preserve"> (Table1[[#This Row],[Variance (USD)]] / Table1[[#This Row],[Actual Spending (USD)]]) * 100</f>
        <v>708.94767509614269</v>
      </c>
      <c r="O2477" s="5" t="s">
        <v>3900</v>
      </c>
    </row>
    <row r="2478" spans="1:15" x14ac:dyDescent="0.25">
      <c r="A2478" s="4" t="s">
        <v>2491</v>
      </c>
      <c r="B2478" s="2" t="s">
        <v>3078</v>
      </c>
      <c r="C2478" s="2" t="s">
        <v>3871</v>
      </c>
      <c r="D2478" s="2" t="s">
        <v>3880</v>
      </c>
      <c r="E2478" s="3">
        <v>44949</v>
      </c>
      <c r="F2478" s="3">
        <v>45305</v>
      </c>
      <c r="G2478" s="2" t="s">
        <v>3884</v>
      </c>
      <c r="H2478" s="2">
        <v>177897</v>
      </c>
      <c r="I2478" s="2">
        <v>1067825</v>
      </c>
      <c r="J2478" s="2" t="s">
        <v>3889</v>
      </c>
      <c r="K2478" s="2" t="s">
        <v>3896</v>
      </c>
      <c r="L2478" s="2">
        <v>2024</v>
      </c>
      <c r="M2478" s="2">
        <v>-889928</v>
      </c>
      <c r="N2478" s="2">
        <f xml:space="preserve"> (Table1[[#This Row],[Variance (USD)]] / Table1[[#This Row],[Actual Spending (USD)]]) * 100</f>
        <v>-83.340247699763538</v>
      </c>
      <c r="O2478" s="5" t="s">
        <v>3897</v>
      </c>
    </row>
    <row r="2479" spans="1:15" x14ac:dyDescent="0.25">
      <c r="A2479" s="4" t="s">
        <v>2492</v>
      </c>
      <c r="B2479" s="2" t="s">
        <v>3635</v>
      </c>
      <c r="C2479" s="2" t="s">
        <v>3874</v>
      </c>
      <c r="D2479" s="2" t="s">
        <v>3882</v>
      </c>
      <c r="E2479" s="3">
        <v>45484</v>
      </c>
      <c r="F2479" s="3">
        <v>45589</v>
      </c>
      <c r="G2479" s="2" t="s">
        <v>3884</v>
      </c>
      <c r="H2479" s="2">
        <v>456914</v>
      </c>
      <c r="I2479" s="2">
        <v>589408</v>
      </c>
      <c r="J2479" s="2" t="s">
        <v>3891</v>
      </c>
      <c r="K2479" s="2" t="s">
        <v>3895</v>
      </c>
      <c r="L2479" s="2">
        <v>2025</v>
      </c>
      <c r="M2479" s="2">
        <v>-132494</v>
      </c>
      <c r="N2479" s="2">
        <f xml:space="preserve"> (Table1[[#This Row],[Variance (USD)]] / Table1[[#This Row],[Actual Spending (USD)]]) * 100</f>
        <v>-22.479165535588251</v>
      </c>
      <c r="O2479" s="5" t="s">
        <v>3897</v>
      </c>
    </row>
    <row r="2480" spans="1:15" x14ac:dyDescent="0.25">
      <c r="A2480" s="4" t="s">
        <v>2493</v>
      </c>
      <c r="B2480" s="2" t="s">
        <v>3569</v>
      </c>
      <c r="C2480" s="2" t="s">
        <v>3870</v>
      </c>
      <c r="D2480" s="2" t="s">
        <v>3876</v>
      </c>
      <c r="E2480" s="3">
        <v>45573</v>
      </c>
      <c r="F2480" s="3">
        <v>45755</v>
      </c>
      <c r="G2480" s="2" t="s">
        <v>3884</v>
      </c>
      <c r="H2480" s="2">
        <v>819814</v>
      </c>
      <c r="I2480" s="2">
        <v>733844</v>
      </c>
      <c r="J2480" s="2" t="s">
        <v>3891</v>
      </c>
      <c r="K2480" s="2" t="s">
        <v>3893</v>
      </c>
      <c r="L2480" s="2">
        <v>2025</v>
      </c>
      <c r="M2480" s="2">
        <v>85970</v>
      </c>
      <c r="N2480" s="2">
        <f xml:space="preserve"> (Table1[[#This Row],[Variance (USD)]] / Table1[[#This Row],[Actual Spending (USD)]]) * 100</f>
        <v>11.715023901537656</v>
      </c>
      <c r="O2480" s="5" t="s">
        <v>3897</v>
      </c>
    </row>
    <row r="2481" spans="1:15" x14ac:dyDescent="0.25">
      <c r="A2481" s="4" t="s">
        <v>2494</v>
      </c>
      <c r="B2481" s="2" t="s">
        <v>3360</v>
      </c>
      <c r="C2481" s="2" t="s">
        <v>3869</v>
      </c>
      <c r="D2481" s="2" t="s">
        <v>3881</v>
      </c>
      <c r="E2481" s="3">
        <v>45044</v>
      </c>
      <c r="F2481" s="3">
        <v>45818</v>
      </c>
      <c r="G2481" s="2" t="s">
        <v>3886</v>
      </c>
      <c r="H2481" s="2">
        <v>809242</v>
      </c>
      <c r="I2481" s="2">
        <v>110528</v>
      </c>
      <c r="J2481" s="2" t="s">
        <v>3889</v>
      </c>
      <c r="K2481" s="2" t="s">
        <v>3894</v>
      </c>
      <c r="L2481" s="2">
        <v>2024</v>
      </c>
      <c r="M2481" s="2">
        <v>698714</v>
      </c>
      <c r="N2481" s="2">
        <f xml:space="preserve"> (Table1[[#This Row],[Variance (USD)]] / Table1[[#This Row],[Actual Spending (USD)]]) * 100</f>
        <v>632.16017660683269</v>
      </c>
      <c r="O2481" s="5" t="s">
        <v>3899</v>
      </c>
    </row>
    <row r="2482" spans="1:15" x14ac:dyDescent="0.25">
      <c r="A2482" s="4" t="s">
        <v>2495</v>
      </c>
      <c r="B2482" s="2" t="s">
        <v>3533</v>
      </c>
      <c r="C2482" s="2" t="s">
        <v>3870</v>
      </c>
      <c r="D2482" s="2" t="s">
        <v>3881</v>
      </c>
      <c r="E2482" s="3">
        <v>45627</v>
      </c>
      <c r="F2482" s="3">
        <v>45525</v>
      </c>
      <c r="G2482" s="2" t="s">
        <v>3886</v>
      </c>
      <c r="H2482" s="2">
        <v>908697</v>
      </c>
      <c r="I2482" s="2">
        <v>216185</v>
      </c>
      <c r="J2482" s="2" t="s">
        <v>3889</v>
      </c>
      <c r="K2482" s="2" t="s">
        <v>3893</v>
      </c>
      <c r="L2482" s="2">
        <v>2023</v>
      </c>
      <c r="M2482" s="2">
        <v>692512</v>
      </c>
      <c r="N2482" s="2">
        <f xml:space="preserve"> (Table1[[#This Row],[Variance (USD)]] / Table1[[#This Row],[Actual Spending (USD)]]) * 100</f>
        <v>320.33304808381706</v>
      </c>
      <c r="O2482" s="5" t="s">
        <v>3899</v>
      </c>
    </row>
    <row r="2483" spans="1:15" x14ac:dyDescent="0.25">
      <c r="A2483" s="4" t="s">
        <v>2496</v>
      </c>
      <c r="B2483" s="2" t="s">
        <v>3123</v>
      </c>
      <c r="C2483" s="2" t="s">
        <v>3874</v>
      </c>
      <c r="D2483" s="2" t="s">
        <v>3880</v>
      </c>
      <c r="E2483" s="3">
        <v>45569</v>
      </c>
      <c r="F2483" s="3">
        <v>45866</v>
      </c>
      <c r="G2483" s="2" t="s">
        <v>3886</v>
      </c>
      <c r="H2483" s="2">
        <v>745089</v>
      </c>
      <c r="I2483" s="2">
        <v>214168</v>
      </c>
      <c r="J2483" s="2" t="s">
        <v>3892</v>
      </c>
      <c r="K2483" s="2" t="s">
        <v>3896</v>
      </c>
      <c r="L2483" s="2">
        <v>2023</v>
      </c>
      <c r="M2483" s="2">
        <v>530921</v>
      </c>
      <c r="N2483" s="2">
        <f xml:space="preserve"> (Table1[[#This Row],[Variance (USD)]] / Table1[[#This Row],[Actual Spending (USD)]]) * 100</f>
        <v>247.89931268910391</v>
      </c>
      <c r="O2483" s="5" t="s">
        <v>3899</v>
      </c>
    </row>
    <row r="2484" spans="1:15" x14ac:dyDescent="0.25">
      <c r="A2484" s="4" t="s">
        <v>2497</v>
      </c>
      <c r="B2484" s="2" t="s">
        <v>3592</v>
      </c>
      <c r="C2484" s="2" t="s">
        <v>3868</v>
      </c>
      <c r="D2484" s="2" t="s">
        <v>3883</v>
      </c>
      <c r="E2484" s="3">
        <v>45138</v>
      </c>
      <c r="F2484" s="3">
        <v>45999</v>
      </c>
      <c r="G2484" s="2" t="s">
        <v>3884</v>
      </c>
      <c r="H2484" s="2">
        <v>61171</v>
      </c>
      <c r="I2484" s="2">
        <v>145742</v>
      </c>
      <c r="J2484" s="2" t="s">
        <v>3889</v>
      </c>
      <c r="K2484" s="2" t="s">
        <v>3896</v>
      </c>
      <c r="L2484" s="2">
        <v>2025</v>
      </c>
      <c r="M2484" s="2">
        <v>-84571</v>
      </c>
      <c r="N2484" s="2">
        <f xml:space="preserve"> (Table1[[#This Row],[Variance (USD)]] / Table1[[#This Row],[Actual Spending (USD)]]) * 100</f>
        <v>-58.027884892481232</v>
      </c>
      <c r="O2484" s="5" t="s">
        <v>3897</v>
      </c>
    </row>
    <row r="2485" spans="1:15" x14ac:dyDescent="0.25">
      <c r="A2485" s="4" t="s">
        <v>2498</v>
      </c>
      <c r="B2485" s="2" t="s">
        <v>3606</v>
      </c>
      <c r="C2485" s="2" t="s">
        <v>3868</v>
      </c>
      <c r="D2485" s="2" t="s">
        <v>3878</v>
      </c>
      <c r="E2485" s="3">
        <v>45344</v>
      </c>
      <c r="F2485" s="3">
        <v>45318</v>
      </c>
      <c r="G2485" s="2" t="s">
        <v>3886</v>
      </c>
      <c r="H2485" s="2">
        <v>522699</v>
      </c>
      <c r="I2485" s="2">
        <v>702445</v>
      </c>
      <c r="J2485" s="2" t="s">
        <v>3890</v>
      </c>
      <c r="K2485" s="2" t="s">
        <v>3895</v>
      </c>
      <c r="L2485" s="2">
        <v>2024</v>
      </c>
      <c r="M2485" s="2">
        <v>-179746</v>
      </c>
      <c r="N2485" s="2">
        <f xml:space="preserve"> (Table1[[#This Row],[Variance (USD)]] / Table1[[#This Row],[Actual Spending (USD)]]) * 100</f>
        <v>-25.588622596786937</v>
      </c>
      <c r="O2485" s="5" t="s">
        <v>3899</v>
      </c>
    </row>
    <row r="2486" spans="1:15" x14ac:dyDescent="0.25">
      <c r="A2486" s="4" t="s">
        <v>2499</v>
      </c>
      <c r="B2486" s="2" t="s">
        <v>3843</v>
      </c>
      <c r="C2486" s="2" t="s">
        <v>3875</v>
      </c>
      <c r="D2486" s="2" t="s">
        <v>3882</v>
      </c>
      <c r="E2486" s="3">
        <v>45039</v>
      </c>
      <c r="F2486" s="3">
        <v>45762</v>
      </c>
      <c r="G2486" s="2" t="s">
        <v>3886</v>
      </c>
      <c r="H2486" s="2">
        <v>897116</v>
      </c>
      <c r="I2486" s="2">
        <v>338623</v>
      </c>
      <c r="J2486" s="2" t="s">
        <v>3891</v>
      </c>
      <c r="K2486" s="2" t="s">
        <v>3896</v>
      </c>
      <c r="L2486" s="2">
        <v>2024</v>
      </c>
      <c r="M2486" s="2">
        <v>558493</v>
      </c>
      <c r="N2486" s="2">
        <f xml:space="preserve"> (Table1[[#This Row],[Variance (USD)]] / Table1[[#This Row],[Actual Spending (USD)]]) * 100</f>
        <v>164.93061605384159</v>
      </c>
      <c r="O2486" s="5" t="s">
        <v>3899</v>
      </c>
    </row>
    <row r="2487" spans="1:15" x14ac:dyDescent="0.25">
      <c r="A2487" s="4" t="s">
        <v>2500</v>
      </c>
      <c r="B2487" s="2" t="s">
        <v>3363</v>
      </c>
      <c r="C2487" s="2" t="s">
        <v>3873</v>
      </c>
      <c r="D2487" s="2" t="s">
        <v>3883</v>
      </c>
      <c r="E2487" s="3">
        <v>44970</v>
      </c>
      <c r="F2487" s="3">
        <v>45384</v>
      </c>
      <c r="G2487" s="2" t="s">
        <v>3884</v>
      </c>
      <c r="H2487" s="2">
        <v>498381</v>
      </c>
      <c r="I2487" s="2">
        <v>633672</v>
      </c>
      <c r="J2487" s="2" t="s">
        <v>3889</v>
      </c>
      <c r="K2487" s="2" t="s">
        <v>3893</v>
      </c>
      <c r="L2487" s="2">
        <v>2024</v>
      </c>
      <c r="M2487" s="2">
        <v>-135291</v>
      </c>
      <c r="N2487" s="2">
        <f xml:space="preserve"> (Table1[[#This Row],[Variance (USD)]] / Table1[[#This Row],[Actual Spending (USD)]]) * 100</f>
        <v>-21.350320039389466</v>
      </c>
      <c r="O2487" s="5" t="s">
        <v>3897</v>
      </c>
    </row>
    <row r="2488" spans="1:15" x14ac:dyDescent="0.25">
      <c r="A2488" s="4" t="s">
        <v>2501</v>
      </c>
      <c r="B2488" s="2" t="s">
        <v>3443</v>
      </c>
      <c r="C2488" s="2" t="s">
        <v>3870</v>
      </c>
      <c r="D2488" s="2" t="s">
        <v>3879</v>
      </c>
      <c r="E2488" s="3">
        <v>45054</v>
      </c>
      <c r="F2488" s="3">
        <v>45908</v>
      </c>
      <c r="G2488" s="2" t="s">
        <v>3884</v>
      </c>
      <c r="H2488" s="2">
        <v>99948</v>
      </c>
      <c r="I2488" s="2">
        <v>1166533</v>
      </c>
      <c r="J2488" s="2" t="s">
        <v>3892</v>
      </c>
      <c r="K2488" s="2" t="s">
        <v>3895</v>
      </c>
      <c r="L2488" s="2">
        <v>2023</v>
      </c>
      <c r="M2488" s="2">
        <v>-1066585</v>
      </c>
      <c r="N2488" s="2">
        <f xml:space="preserve"> (Table1[[#This Row],[Variance (USD)]] / Table1[[#This Row],[Actual Spending (USD)]]) * 100</f>
        <v>-91.432046928805264</v>
      </c>
      <c r="O2488" s="5" t="s">
        <v>3897</v>
      </c>
    </row>
    <row r="2489" spans="1:15" x14ac:dyDescent="0.25">
      <c r="A2489" s="4" t="s">
        <v>2502</v>
      </c>
      <c r="B2489" s="2" t="s">
        <v>3251</v>
      </c>
      <c r="C2489" s="2" t="s">
        <v>3871</v>
      </c>
      <c r="D2489" s="2" t="s">
        <v>3879</v>
      </c>
      <c r="E2489" s="3">
        <v>45084</v>
      </c>
      <c r="F2489" s="3">
        <v>45600</v>
      </c>
      <c r="G2489" s="2" t="s">
        <v>3884</v>
      </c>
      <c r="H2489" s="2">
        <v>609013</v>
      </c>
      <c r="I2489" s="2">
        <v>799867</v>
      </c>
      <c r="J2489" s="2" t="s">
        <v>3889</v>
      </c>
      <c r="K2489" s="2" t="s">
        <v>3895</v>
      </c>
      <c r="L2489" s="2">
        <v>2024</v>
      </c>
      <c r="M2489" s="2">
        <v>-190854</v>
      </c>
      <c r="N2489" s="2">
        <f xml:space="preserve"> (Table1[[#This Row],[Variance (USD)]] / Table1[[#This Row],[Actual Spending (USD)]]) * 100</f>
        <v>-23.860716844175343</v>
      </c>
      <c r="O2489" s="5" t="s">
        <v>3897</v>
      </c>
    </row>
    <row r="2490" spans="1:15" x14ac:dyDescent="0.25">
      <c r="A2490" s="4" t="s">
        <v>2503</v>
      </c>
      <c r="B2490" s="2" t="s">
        <v>3825</v>
      </c>
      <c r="C2490" s="2" t="s">
        <v>3874</v>
      </c>
      <c r="D2490" s="2" t="s">
        <v>3879</v>
      </c>
      <c r="E2490" s="3">
        <v>45320</v>
      </c>
      <c r="F2490" s="3">
        <v>45343</v>
      </c>
      <c r="G2490" s="2" t="s">
        <v>3884</v>
      </c>
      <c r="H2490" s="2">
        <v>331594</v>
      </c>
      <c r="I2490" s="2">
        <v>863297</v>
      </c>
      <c r="J2490" s="2" t="s">
        <v>3891</v>
      </c>
      <c r="K2490" s="2" t="s">
        <v>3894</v>
      </c>
      <c r="L2490" s="2">
        <v>2024</v>
      </c>
      <c r="M2490" s="2">
        <v>-531703</v>
      </c>
      <c r="N2490" s="2">
        <f xml:space="preserve"> (Table1[[#This Row],[Variance (USD)]] / Table1[[#This Row],[Actual Spending (USD)]]) * 100</f>
        <v>-61.589812080894525</v>
      </c>
      <c r="O2490" s="5" t="s">
        <v>3897</v>
      </c>
    </row>
    <row r="2491" spans="1:15" x14ac:dyDescent="0.25">
      <c r="A2491" s="4" t="s">
        <v>2504</v>
      </c>
      <c r="B2491" s="2" t="s">
        <v>3450</v>
      </c>
      <c r="C2491" s="2" t="s">
        <v>3874</v>
      </c>
      <c r="D2491" s="2" t="s">
        <v>3880</v>
      </c>
      <c r="E2491" s="3">
        <v>45438</v>
      </c>
      <c r="F2491" s="3">
        <v>45610</v>
      </c>
      <c r="G2491" s="2" t="s">
        <v>3885</v>
      </c>
      <c r="H2491" s="2">
        <v>456516</v>
      </c>
      <c r="I2491" s="2">
        <v>601692</v>
      </c>
      <c r="J2491" s="2" t="s">
        <v>3888</v>
      </c>
      <c r="K2491" s="2" t="s">
        <v>3893</v>
      </c>
      <c r="L2491" s="2">
        <v>2023</v>
      </c>
      <c r="M2491" s="2">
        <v>-145176</v>
      </c>
      <c r="N2491" s="2">
        <f xml:space="preserve"> (Table1[[#This Row],[Variance (USD)]] / Table1[[#This Row],[Actual Spending (USD)]]) * 100</f>
        <v>-24.127959155182385</v>
      </c>
      <c r="O2491" s="5" t="s">
        <v>3898</v>
      </c>
    </row>
    <row r="2492" spans="1:15" x14ac:dyDescent="0.25">
      <c r="A2492" s="4" t="s">
        <v>2505</v>
      </c>
      <c r="B2492" s="2" t="s">
        <v>3557</v>
      </c>
      <c r="C2492" s="2" t="s">
        <v>3874</v>
      </c>
      <c r="D2492" s="2" t="s">
        <v>3881</v>
      </c>
      <c r="E2492" s="3">
        <v>44971</v>
      </c>
      <c r="F2492" s="3">
        <v>45472</v>
      </c>
      <c r="G2492" s="2" t="s">
        <v>3884</v>
      </c>
      <c r="H2492" s="2">
        <v>962332</v>
      </c>
      <c r="I2492" s="2">
        <v>873855</v>
      </c>
      <c r="J2492" s="2" t="s">
        <v>3889</v>
      </c>
      <c r="K2492" s="2" t="s">
        <v>3896</v>
      </c>
      <c r="L2492" s="2">
        <v>2024</v>
      </c>
      <c r="M2492" s="2">
        <v>88477</v>
      </c>
      <c r="N2492" s="2">
        <f xml:space="preserve"> (Table1[[#This Row],[Variance (USD)]] / Table1[[#This Row],[Actual Spending (USD)]]) * 100</f>
        <v>10.124906305966093</v>
      </c>
      <c r="O2492" s="5" t="s">
        <v>3897</v>
      </c>
    </row>
    <row r="2493" spans="1:15" x14ac:dyDescent="0.25">
      <c r="A2493" s="4" t="s">
        <v>2506</v>
      </c>
      <c r="B2493" s="2" t="s">
        <v>3087</v>
      </c>
      <c r="C2493" s="2" t="s">
        <v>3871</v>
      </c>
      <c r="D2493" s="2" t="s">
        <v>3877</v>
      </c>
      <c r="E2493" s="3">
        <v>45034</v>
      </c>
      <c r="F2493" s="3">
        <v>45860</v>
      </c>
      <c r="G2493" s="2" t="s">
        <v>3885</v>
      </c>
      <c r="H2493" s="2">
        <v>134600</v>
      </c>
      <c r="I2493" s="2">
        <v>120947</v>
      </c>
      <c r="J2493" s="2" t="s">
        <v>3890</v>
      </c>
      <c r="K2493" s="2" t="s">
        <v>3894</v>
      </c>
      <c r="L2493" s="2">
        <v>2023</v>
      </c>
      <c r="M2493" s="2">
        <v>13653</v>
      </c>
      <c r="N2493" s="2">
        <f xml:space="preserve"> (Table1[[#This Row],[Variance (USD)]] / Table1[[#This Row],[Actual Spending (USD)]]) * 100</f>
        <v>11.288415586992649</v>
      </c>
      <c r="O2493" s="5" t="s">
        <v>3898</v>
      </c>
    </row>
    <row r="2494" spans="1:15" x14ac:dyDescent="0.25">
      <c r="A2494" s="4" t="s">
        <v>2507</v>
      </c>
      <c r="B2494" s="2" t="s">
        <v>3254</v>
      </c>
      <c r="C2494" s="2" t="s">
        <v>3873</v>
      </c>
      <c r="D2494" s="2" t="s">
        <v>3882</v>
      </c>
      <c r="E2494" s="3">
        <v>45145</v>
      </c>
      <c r="F2494" s="3">
        <v>45411</v>
      </c>
      <c r="G2494" s="2" t="s">
        <v>3886</v>
      </c>
      <c r="H2494" s="2">
        <v>185513</v>
      </c>
      <c r="I2494" s="2">
        <v>1109728</v>
      </c>
      <c r="J2494" s="2" t="s">
        <v>3891</v>
      </c>
      <c r="K2494" s="2" t="s">
        <v>3893</v>
      </c>
      <c r="L2494" s="2">
        <v>2025</v>
      </c>
      <c r="M2494" s="2">
        <v>-924215</v>
      </c>
      <c r="N2494" s="2">
        <f xml:space="preserve"> (Table1[[#This Row],[Variance (USD)]] / Table1[[#This Row],[Actual Spending (USD)]]) * 100</f>
        <v>-83.283020704172543</v>
      </c>
      <c r="O2494" s="5" t="s">
        <v>3899</v>
      </c>
    </row>
    <row r="2495" spans="1:15" x14ac:dyDescent="0.25">
      <c r="A2495" s="4" t="s">
        <v>2508</v>
      </c>
      <c r="B2495" s="2" t="s">
        <v>3304</v>
      </c>
      <c r="C2495" s="2" t="s">
        <v>3868</v>
      </c>
      <c r="D2495" s="2" t="s">
        <v>3881</v>
      </c>
      <c r="E2495" s="3">
        <v>45369</v>
      </c>
      <c r="F2495" s="3">
        <v>45334</v>
      </c>
      <c r="G2495" s="2" t="s">
        <v>3884</v>
      </c>
      <c r="H2495" s="2">
        <v>161315</v>
      </c>
      <c r="I2495" s="2">
        <v>396014</v>
      </c>
      <c r="J2495" s="2" t="s">
        <v>3892</v>
      </c>
      <c r="K2495" s="2" t="s">
        <v>3893</v>
      </c>
      <c r="L2495" s="2">
        <v>2025</v>
      </c>
      <c r="M2495" s="2">
        <v>-234699</v>
      </c>
      <c r="N2495" s="2">
        <f xml:space="preserve"> (Table1[[#This Row],[Variance (USD)]] / Table1[[#This Row],[Actual Spending (USD)]]) * 100</f>
        <v>-59.265329003520073</v>
      </c>
      <c r="O2495" s="5" t="s">
        <v>3897</v>
      </c>
    </row>
    <row r="2496" spans="1:15" x14ac:dyDescent="0.25">
      <c r="A2496" s="4" t="s">
        <v>2509</v>
      </c>
      <c r="B2496" s="2" t="s">
        <v>3278</v>
      </c>
      <c r="C2496" s="2" t="s">
        <v>3875</v>
      </c>
      <c r="D2496" s="2" t="s">
        <v>3877</v>
      </c>
      <c r="E2496" s="3">
        <v>45241</v>
      </c>
      <c r="F2496" s="3">
        <v>45938</v>
      </c>
      <c r="G2496" s="2" t="s">
        <v>3886</v>
      </c>
      <c r="H2496" s="2">
        <v>986836</v>
      </c>
      <c r="I2496" s="2">
        <v>322881</v>
      </c>
      <c r="J2496" s="2" t="s">
        <v>3891</v>
      </c>
      <c r="K2496" s="2" t="s">
        <v>3895</v>
      </c>
      <c r="L2496" s="2">
        <v>2025</v>
      </c>
      <c r="M2496" s="2">
        <v>663955</v>
      </c>
      <c r="N2496" s="2">
        <f xml:space="preserve"> (Table1[[#This Row],[Variance (USD)]] / Table1[[#This Row],[Actual Spending (USD)]]) * 100</f>
        <v>205.63458363917357</v>
      </c>
      <c r="O2496" s="5" t="s">
        <v>3899</v>
      </c>
    </row>
    <row r="2497" spans="1:15" x14ac:dyDescent="0.25">
      <c r="A2497" s="4" t="s">
        <v>2510</v>
      </c>
      <c r="B2497" s="2" t="s">
        <v>3494</v>
      </c>
      <c r="C2497" s="2" t="s">
        <v>3875</v>
      </c>
      <c r="D2497" s="2" t="s">
        <v>3877</v>
      </c>
      <c r="E2497" s="3">
        <v>45103</v>
      </c>
      <c r="F2497" s="3">
        <v>45551</v>
      </c>
      <c r="G2497" s="2" t="s">
        <v>3884</v>
      </c>
      <c r="H2497" s="2">
        <v>594403</v>
      </c>
      <c r="I2497" s="2">
        <v>608613</v>
      </c>
      <c r="J2497" s="2" t="s">
        <v>3888</v>
      </c>
      <c r="K2497" s="2" t="s">
        <v>3895</v>
      </c>
      <c r="L2497" s="2">
        <v>2025</v>
      </c>
      <c r="M2497" s="2">
        <v>-14210</v>
      </c>
      <c r="N2497" s="2">
        <f xml:space="preserve"> (Table1[[#This Row],[Variance (USD)]] / Table1[[#This Row],[Actual Spending (USD)]]) * 100</f>
        <v>-2.3348170347987964</v>
      </c>
      <c r="O2497" s="5" t="s">
        <v>3897</v>
      </c>
    </row>
    <row r="2498" spans="1:15" x14ac:dyDescent="0.25">
      <c r="A2498" s="4" t="s">
        <v>2511</v>
      </c>
      <c r="B2498" s="2" t="s">
        <v>3244</v>
      </c>
      <c r="C2498" s="2" t="s">
        <v>3871</v>
      </c>
      <c r="D2498" s="2" t="s">
        <v>3881</v>
      </c>
      <c r="E2498" s="3">
        <v>45154</v>
      </c>
      <c r="F2498" s="3">
        <v>45488</v>
      </c>
      <c r="G2498" s="2" t="s">
        <v>3884</v>
      </c>
      <c r="H2498" s="2">
        <v>673693</v>
      </c>
      <c r="I2498" s="2">
        <v>898591</v>
      </c>
      <c r="J2498" s="2" t="s">
        <v>3892</v>
      </c>
      <c r="K2498" s="2" t="s">
        <v>3893</v>
      </c>
      <c r="L2498" s="2">
        <v>2025</v>
      </c>
      <c r="M2498" s="2">
        <v>-224898</v>
      </c>
      <c r="N2498" s="2">
        <f xml:space="preserve"> (Table1[[#This Row],[Variance (USD)]] / Table1[[#This Row],[Actual Spending (USD)]]) * 100</f>
        <v>-25.027849154954811</v>
      </c>
      <c r="O2498" s="5" t="s">
        <v>3897</v>
      </c>
    </row>
    <row r="2499" spans="1:15" x14ac:dyDescent="0.25">
      <c r="A2499" s="4" t="s">
        <v>2512</v>
      </c>
      <c r="B2499" s="2" t="s">
        <v>3131</v>
      </c>
      <c r="C2499" s="2" t="s">
        <v>3875</v>
      </c>
      <c r="D2499" s="2" t="s">
        <v>3882</v>
      </c>
      <c r="E2499" s="3">
        <v>45629</v>
      </c>
      <c r="F2499" s="3">
        <v>45936</v>
      </c>
      <c r="G2499" s="2" t="s">
        <v>3884</v>
      </c>
      <c r="H2499" s="2">
        <v>661692</v>
      </c>
      <c r="I2499" s="2">
        <v>745597</v>
      </c>
      <c r="J2499" s="2" t="s">
        <v>3888</v>
      </c>
      <c r="K2499" s="2" t="s">
        <v>3894</v>
      </c>
      <c r="L2499" s="2">
        <v>2023</v>
      </c>
      <c r="M2499" s="2">
        <v>-83905</v>
      </c>
      <c r="N2499" s="2">
        <f xml:space="preserve"> (Table1[[#This Row],[Variance (USD)]] / Table1[[#This Row],[Actual Spending (USD)]]) * 100</f>
        <v>-11.253398283523136</v>
      </c>
      <c r="O2499" s="5" t="s">
        <v>3897</v>
      </c>
    </row>
    <row r="2500" spans="1:15" x14ac:dyDescent="0.25">
      <c r="A2500" s="4" t="s">
        <v>2513</v>
      </c>
      <c r="B2500" s="2" t="s">
        <v>3602</v>
      </c>
      <c r="C2500" s="2" t="s">
        <v>3874</v>
      </c>
      <c r="D2500" s="2" t="s">
        <v>3880</v>
      </c>
      <c r="E2500" s="3">
        <v>45598</v>
      </c>
      <c r="F2500" s="3">
        <v>45546</v>
      </c>
      <c r="G2500" s="2" t="s">
        <v>3884</v>
      </c>
      <c r="H2500" s="2">
        <v>485213</v>
      </c>
      <c r="I2500" s="2">
        <v>1120391</v>
      </c>
      <c r="J2500" s="2" t="s">
        <v>3888</v>
      </c>
      <c r="K2500" s="2" t="s">
        <v>3895</v>
      </c>
      <c r="L2500" s="2">
        <v>2023</v>
      </c>
      <c r="M2500" s="2">
        <v>-635178</v>
      </c>
      <c r="N2500" s="2">
        <f xml:space="preserve"> (Table1[[#This Row],[Variance (USD)]] / Table1[[#This Row],[Actual Spending (USD)]]) * 100</f>
        <v>-56.692529661519956</v>
      </c>
      <c r="O2500" s="5" t="s">
        <v>3897</v>
      </c>
    </row>
    <row r="2501" spans="1:15" x14ac:dyDescent="0.25">
      <c r="A2501" s="4" t="s">
        <v>2514</v>
      </c>
      <c r="B2501" s="2" t="s">
        <v>3446</v>
      </c>
      <c r="C2501" s="2" t="s">
        <v>3872</v>
      </c>
      <c r="D2501" s="2" t="s">
        <v>3883</v>
      </c>
      <c r="E2501" s="3">
        <v>45193</v>
      </c>
      <c r="F2501" s="3">
        <v>45627</v>
      </c>
      <c r="G2501" s="2" t="s">
        <v>3884</v>
      </c>
      <c r="H2501" s="2">
        <v>791511</v>
      </c>
      <c r="I2501" s="2">
        <v>488213</v>
      </c>
      <c r="J2501" s="2" t="s">
        <v>3890</v>
      </c>
      <c r="K2501" s="2" t="s">
        <v>3895</v>
      </c>
      <c r="L2501" s="2">
        <v>2023</v>
      </c>
      <c r="M2501" s="2">
        <v>303298</v>
      </c>
      <c r="N2501" s="2">
        <f xml:space="preserve"> (Table1[[#This Row],[Variance (USD)]] / Table1[[#This Row],[Actual Spending (USD)]]) * 100</f>
        <v>62.12411386013892</v>
      </c>
      <c r="O2501" s="5" t="s">
        <v>3897</v>
      </c>
    </row>
    <row r="2502" spans="1:15" x14ac:dyDescent="0.25">
      <c r="A2502" s="4" t="s">
        <v>2515</v>
      </c>
      <c r="B2502" s="2" t="s">
        <v>3748</v>
      </c>
      <c r="C2502" s="2" t="s">
        <v>3873</v>
      </c>
      <c r="D2502" s="2" t="s">
        <v>3877</v>
      </c>
      <c r="E2502" s="3">
        <v>45305</v>
      </c>
      <c r="F2502" s="3">
        <v>45844</v>
      </c>
      <c r="G2502" s="2" t="s">
        <v>3884</v>
      </c>
      <c r="H2502" s="2">
        <v>718975</v>
      </c>
      <c r="I2502" s="2">
        <v>1073030</v>
      </c>
      <c r="J2502" s="2" t="s">
        <v>3889</v>
      </c>
      <c r="K2502" s="2" t="s">
        <v>3893</v>
      </c>
      <c r="L2502" s="2">
        <v>2024</v>
      </c>
      <c r="M2502" s="2">
        <v>-354055</v>
      </c>
      <c r="N2502" s="2">
        <f xml:space="preserve"> (Table1[[#This Row],[Variance (USD)]] / Table1[[#This Row],[Actual Spending (USD)]]) * 100</f>
        <v>-32.995815587635015</v>
      </c>
      <c r="O2502" s="5" t="s">
        <v>3897</v>
      </c>
    </row>
    <row r="2503" spans="1:15" x14ac:dyDescent="0.25">
      <c r="A2503" s="4" t="s">
        <v>2516</v>
      </c>
      <c r="B2503" s="2" t="s">
        <v>3180</v>
      </c>
      <c r="C2503" s="2" t="s">
        <v>3868</v>
      </c>
      <c r="D2503" s="2" t="s">
        <v>3878</v>
      </c>
      <c r="E2503" s="3">
        <v>45415</v>
      </c>
      <c r="F2503" s="3">
        <v>45793</v>
      </c>
      <c r="G2503" s="2" t="s">
        <v>3884</v>
      </c>
      <c r="H2503" s="2">
        <v>720092</v>
      </c>
      <c r="I2503" s="2">
        <v>748596</v>
      </c>
      <c r="J2503" s="2" t="s">
        <v>3890</v>
      </c>
      <c r="K2503" s="2" t="s">
        <v>3893</v>
      </c>
      <c r="L2503" s="2">
        <v>2025</v>
      </c>
      <c r="M2503" s="2">
        <v>-28504</v>
      </c>
      <c r="N2503" s="2">
        <f xml:space="preserve"> (Table1[[#This Row],[Variance (USD)]] / Table1[[#This Row],[Actual Spending (USD)]]) * 100</f>
        <v>-3.8076612752405836</v>
      </c>
      <c r="O2503" s="5" t="s">
        <v>3897</v>
      </c>
    </row>
    <row r="2504" spans="1:15" x14ac:dyDescent="0.25">
      <c r="A2504" s="4" t="s">
        <v>2517</v>
      </c>
      <c r="B2504" s="2" t="s">
        <v>3320</v>
      </c>
      <c r="C2504" s="2" t="s">
        <v>3872</v>
      </c>
      <c r="D2504" s="2" t="s">
        <v>3881</v>
      </c>
      <c r="E2504" s="3">
        <v>45628</v>
      </c>
      <c r="F2504" s="3">
        <v>45546</v>
      </c>
      <c r="G2504" s="2" t="s">
        <v>3884</v>
      </c>
      <c r="H2504" s="2">
        <v>992871</v>
      </c>
      <c r="I2504" s="2">
        <v>52743</v>
      </c>
      <c r="J2504" s="2" t="s">
        <v>3890</v>
      </c>
      <c r="K2504" s="2" t="s">
        <v>3895</v>
      </c>
      <c r="L2504" s="2">
        <v>2024</v>
      </c>
      <c r="M2504" s="2">
        <v>940128</v>
      </c>
      <c r="N2504" s="2">
        <f xml:space="preserve"> (Table1[[#This Row],[Variance (USD)]] / Table1[[#This Row],[Actual Spending (USD)]]) * 100</f>
        <v>1782.4697116204995</v>
      </c>
      <c r="O2504" s="5" t="s">
        <v>3897</v>
      </c>
    </row>
    <row r="2505" spans="1:15" x14ac:dyDescent="0.25">
      <c r="A2505" s="4" t="s">
        <v>2518</v>
      </c>
      <c r="B2505" s="2" t="s">
        <v>3556</v>
      </c>
      <c r="C2505" s="2" t="s">
        <v>3873</v>
      </c>
      <c r="D2505" s="2" t="s">
        <v>3881</v>
      </c>
      <c r="E2505" s="3">
        <v>45613</v>
      </c>
      <c r="F2505" s="3">
        <v>45805</v>
      </c>
      <c r="G2505" s="2" t="s">
        <v>3885</v>
      </c>
      <c r="H2505" s="2">
        <v>684958</v>
      </c>
      <c r="I2505" s="2">
        <v>873171</v>
      </c>
      <c r="J2505" s="2" t="s">
        <v>3890</v>
      </c>
      <c r="K2505" s="2" t="s">
        <v>3894</v>
      </c>
      <c r="L2505" s="2">
        <v>2024</v>
      </c>
      <c r="M2505" s="2">
        <v>-188213</v>
      </c>
      <c r="N2505" s="2">
        <f xml:space="preserve"> (Table1[[#This Row],[Variance (USD)]] / Table1[[#This Row],[Actual Spending (USD)]]) * 100</f>
        <v>-21.555113488652282</v>
      </c>
      <c r="O2505" s="5" t="s">
        <v>3898</v>
      </c>
    </row>
    <row r="2506" spans="1:15" x14ac:dyDescent="0.25">
      <c r="A2506" s="4" t="s">
        <v>2519</v>
      </c>
      <c r="B2506" s="2" t="s">
        <v>3435</v>
      </c>
      <c r="C2506" s="2" t="s">
        <v>3869</v>
      </c>
      <c r="D2506" s="2" t="s">
        <v>3879</v>
      </c>
      <c r="E2506" s="3">
        <v>45216</v>
      </c>
      <c r="F2506" s="3">
        <v>45998</v>
      </c>
      <c r="G2506" s="2" t="s">
        <v>3884</v>
      </c>
      <c r="H2506" s="2">
        <v>92738</v>
      </c>
      <c r="I2506" s="2">
        <v>1023830</v>
      </c>
      <c r="J2506" s="2" t="s">
        <v>3892</v>
      </c>
      <c r="K2506" s="2" t="s">
        <v>3895</v>
      </c>
      <c r="L2506" s="2">
        <v>2024</v>
      </c>
      <c r="M2506" s="2">
        <v>-931092</v>
      </c>
      <c r="N2506" s="2">
        <f xml:space="preserve"> (Table1[[#This Row],[Variance (USD)]] / Table1[[#This Row],[Actual Spending (USD)]]) * 100</f>
        <v>-90.942050926423335</v>
      </c>
      <c r="O2506" s="5" t="s">
        <v>3897</v>
      </c>
    </row>
    <row r="2507" spans="1:15" x14ac:dyDescent="0.25">
      <c r="A2507" s="4" t="s">
        <v>2520</v>
      </c>
      <c r="B2507" s="2" t="s">
        <v>3135</v>
      </c>
      <c r="C2507" s="2" t="s">
        <v>3870</v>
      </c>
      <c r="D2507" s="2" t="s">
        <v>3883</v>
      </c>
      <c r="E2507" s="3">
        <v>45283</v>
      </c>
      <c r="F2507" s="3">
        <v>45533</v>
      </c>
      <c r="G2507" s="2" t="s">
        <v>3886</v>
      </c>
      <c r="H2507" s="2">
        <v>816656</v>
      </c>
      <c r="I2507" s="2">
        <v>1061109</v>
      </c>
      <c r="J2507" s="2" t="s">
        <v>3889</v>
      </c>
      <c r="K2507" s="2" t="s">
        <v>3893</v>
      </c>
      <c r="L2507" s="2">
        <v>2025</v>
      </c>
      <c r="M2507" s="2">
        <v>-244453</v>
      </c>
      <c r="N2507" s="2">
        <f xml:space="preserve"> (Table1[[#This Row],[Variance (USD)]] / Table1[[#This Row],[Actual Spending (USD)]]) * 100</f>
        <v>-23.037501331154481</v>
      </c>
      <c r="O2507" s="5" t="s">
        <v>3899</v>
      </c>
    </row>
    <row r="2508" spans="1:15" x14ac:dyDescent="0.25">
      <c r="A2508" s="4" t="s">
        <v>2521</v>
      </c>
      <c r="B2508" s="2" t="s">
        <v>3089</v>
      </c>
      <c r="C2508" s="2" t="s">
        <v>3871</v>
      </c>
      <c r="D2508" s="2" t="s">
        <v>3879</v>
      </c>
      <c r="E2508" s="3">
        <v>45583</v>
      </c>
      <c r="F2508" s="3">
        <v>45440</v>
      </c>
      <c r="G2508" s="2" t="s">
        <v>3884</v>
      </c>
      <c r="H2508" s="2">
        <v>182053</v>
      </c>
      <c r="I2508" s="2">
        <v>914588</v>
      </c>
      <c r="J2508" s="2" t="s">
        <v>3889</v>
      </c>
      <c r="K2508" s="2" t="s">
        <v>3895</v>
      </c>
      <c r="L2508" s="2">
        <v>2024</v>
      </c>
      <c r="M2508" s="2">
        <v>-732535</v>
      </c>
      <c r="N2508" s="2">
        <f xml:space="preserve"> (Table1[[#This Row],[Variance (USD)]] / Table1[[#This Row],[Actual Spending (USD)]]) * 100</f>
        <v>-80.094534369574049</v>
      </c>
      <c r="O2508" s="5" t="s">
        <v>3897</v>
      </c>
    </row>
    <row r="2509" spans="1:15" x14ac:dyDescent="0.25">
      <c r="A2509" s="4" t="s">
        <v>2522</v>
      </c>
      <c r="B2509" s="2" t="s">
        <v>3691</v>
      </c>
      <c r="C2509" s="2" t="s">
        <v>3874</v>
      </c>
      <c r="D2509" s="2" t="s">
        <v>3881</v>
      </c>
      <c r="E2509" s="3">
        <v>45130</v>
      </c>
      <c r="F2509" s="3">
        <v>46001</v>
      </c>
      <c r="G2509" s="2" t="s">
        <v>3886</v>
      </c>
      <c r="H2509" s="2">
        <v>243953</v>
      </c>
      <c r="I2509" s="2">
        <v>684563</v>
      </c>
      <c r="J2509" s="2" t="s">
        <v>3892</v>
      </c>
      <c r="K2509" s="2" t="s">
        <v>3893</v>
      </c>
      <c r="L2509" s="2">
        <v>2025</v>
      </c>
      <c r="M2509" s="2">
        <v>-440610</v>
      </c>
      <c r="N2509" s="2">
        <f xml:space="preserve"> (Table1[[#This Row],[Variance (USD)]] / Table1[[#This Row],[Actual Spending (USD)]]) * 100</f>
        <v>-64.363688951929916</v>
      </c>
      <c r="O2509" s="5" t="s">
        <v>3899</v>
      </c>
    </row>
    <row r="2510" spans="1:15" x14ac:dyDescent="0.25">
      <c r="A2510" s="4" t="s">
        <v>2523</v>
      </c>
      <c r="B2510" s="2" t="s">
        <v>3835</v>
      </c>
      <c r="C2510" s="2" t="s">
        <v>3875</v>
      </c>
      <c r="D2510" s="2" t="s">
        <v>3881</v>
      </c>
      <c r="E2510" s="3">
        <v>45139</v>
      </c>
      <c r="F2510" s="3">
        <v>45590</v>
      </c>
      <c r="G2510" s="2" t="s">
        <v>3884</v>
      </c>
      <c r="H2510" s="2">
        <v>239681</v>
      </c>
      <c r="I2510" s="2">
        <v>60339</v>
      </c>
      <c r="J2510" s="2" t="s">
        <v>3890</v>
      </c>
      <c r="K2510" s="2" t="s">
        <v>3895</v>
      </c>
      <c r="L2510" s="2">
        <v>2025</v>
      </c>
      <c r="M2510" s="2">
        <v>179342</v>
      </c>
      <c r="N2510" s="2">
        <f xml:space="preserve"> (Table1[[#This Row],[Variance (USD)]] / Table1[[#This Row],[Actual Spending (USD)]]) * 100</f>
        <v>297.22401763370294</v>
      </c>
      <c r="O2510" s="5" t="s">
        <v>3897</v>
      </c>
    </row>
    <row r="2511" spans="1:15" x14ac:dyDescent="0.25">
      <c r="A2511" s="4" t="s">
        <v>2524</v>
      </c>
      <c r="B2511" s="2" t="s">
        <v>3554</v>
      </c>
      <c r="C2511" s="2" t="s">
        <v>3869</v>
      </c>
      <c r="D2511" s="2" t="s">
        <v>3877</v>
      </c>
      <c r="E2511" s="3">
        <v>45478</v>
      </c>
      <c r="F2511" s="3">
        <v>45911</v>
      </c>
      <c r="G2511" s="2" t="s">
        <v>3885</v>
      </c>
      <c r="H2511" s="2">
        <v>530306</v>
      </c>
      <c r="I2511" s="2">
        <v>1112697</v>
      </c>
      <c r="J2511" s="2" t="s">
        <v>3890</v>
      </c>
      <c r="K2511" s="2" t="s">
        <v>3893</v>
      </c>
      <c r="L2511" s="2">
        <v>2025</v>
      </c>
      <c r="M2511" s="2">
        <v>-582391</v>
      </c>
      <c r="N2511" s="2">
        <f xml:space="preserve"> (Table1[[#This Row],[Variance (USD)]] / Table1[[#This Row],[Actual Spending (USD)]]) * 100</f>
        <v>-52.340484426577952</v>
      </c>
      <c r="O2511" s="5" t="s">
        <v>3898</v>
      </c>
    </row>
    <row r="2512" spans="1:15" x14ac:dyDescent="0.25">
      <c r="A2512" s="4" t="s">
        <v>2525</v>
      </c>
      <c r="B2512" s="2" t="s">
        <v>3517</v>
      </c>
      <c r="C2512" s="2" t="s">
        <v>3875</v>
      </c>
      <c r="D2512" s="2" t="s">
        <v>3883</v>
      </c>
      <c r="E2512" s="3">
        <v>45249</v>
      </c>
      <c r="F2512" s="3">
        <v>45744</v>
      </c>
      <c r="G2512" s="2" t="s">
        <v>3884</v>
      </c>
      <c r="H2512" s="2">
        <v>393810</v>
      </c>
      <c r="I2512" s="2">
        <v>466211</v>
      </c>
      <c r="J2512" s="2" t="s">
        <v>3888</v>
      </c>
      <c r="K2512" s="2" t="s">
        <v>3893</v>
      </c>
      <c r="L2512" s="2">
        <v>2024</v>
      </c>
      <c r="M2512" s="2">
        <v>-72401</v>
      </c>
      <c r="N2512" s="2">
        <f xml:space="preserve"> (Table1[[#This Row],[Variance (USD)]] / Table1[[#This Row],[Actual Spending (USD)]]) * 100</f>
        <v>-15.529663607250793</v>
      </c>
      <c r="O2512" s="5" t="s">
        <v>3897</v>
      </c>
    </row>
    <row r="2513" spans="1:15" x14ac:dyDescent="0.25">
      <c r="A2513" s="4" t="s">
        <v>2526</v>
      </c>
      <c r="B2513" s="2" t="s">
        <v>3825</v>
      </c>
      <c r="C2513" s="2" t="s">
        <v>3872</v>
      </c>
      <c r="D2513" s="2" t="s">
        <v>3876</v>
      </c>
      <c r="E2513" s="3">
        <v>45520</v>
      </c>
      <c r="F2513" s="3">
        <v>45684</v>
      </c>
      <c r="G2513" s="2" t="s">
        <v>3885</v>
      </c>
      <c r="H2513" s="2">
        <v>920783</v>
      </c>
      <c r="I2513" s="2">
        <v>999536</v>
      </c>
      <c r="J2513" s="2" t="s">
        <v>3888</v>
      </c>
      <c r="K2513" s="2" t="s">
        <v>3894</v>
      </c>
      <c r="L2513" s="2">
        <v>2025</v>
      </c>
      <c r="M2513" s="2">
        <v>-78753</v>
      </c>
      <c r="N2513" s="2">
        <f xml:space="preserve"> (Table1[[#This Row],[Variance (USD)]] / Table1[[#This Row],[Actual Spending (USD)]]) * 100</f>
        <v>-7.8789558355076759</v>
      </c>
      <c r="O2513" s="5" t="s">
        <v>3898</v>
      </c>
    </row>
    <row r="2514" spans="1:15" x14ac:dyDescent="0.25">
      <c r="A2514" s="4" t="s">
        <v>2527</v>
      </c>
      <c r="B2514" s="2" t="s">
        <v>3198</v>
      </c>
      <c r="C2514" s="2" t="s">
        <v>3868</v>
      </c>
      <c r="D2514" s="2" t="s">
        <v>3878</v>
      </c>
      <c r="E2514" s="3">
        <v>45107</v>
      </c>
      <c r="F2514" s="3">
        <v>45503</v>
      </c>
      <c r="G2514" s="2" t="s">
        <v>3884</v>
      </c>
      <c r="H2514" s="2">
        <v>976070</v>
      </c>
      <c r="I2514" s="2">
        <v>997335</v>
      </c>
      <c r="J2514" s="2" t="s">
        <v>3891</v>
      </c>
      <c r="K2514" s="2" t="s">
        <v>3893</v>
      </c>
      <c r="L2514" s="2">
        <v>2025</v>
      </c>
      <c r="M2514" s="2">
        <v>-21265</v>
      </c>
      <c r="N2514" s="2">
        <f xml:space="preserve"> (Table1[[#This Row],[Variance (USD)]] / Table1[[#This Row],[Actual Spending (USD)]]) * 100</f>
        <v>-2.1321822657381926</v>
      </c>
      <c r="O2514" s="5" t="s">
        <v>3897</v>
      </c>
    </row>
    <row r="2515" spans="1:15" x14ac:dyDescent="0.25">
      <c r="A2515" s="4" t="s">
        <v>2528</v>
      </c>
      <c r="B2515" s="2" t="s">
        <v>3732</v>
      </c>
      <c r="C2515" s="2" t="s">
        <v>3868</v>
      </c>
      <c r="D2515" s="2" t="s">
        <v>3882</v>
      </c>
      <c r="E2515" s="3">
        <v>45425</v>
      </c>
      <c r="F2515" s="3">
        <v>45959</v>
      </c>
      <c r="G2515" s="2" t="s">
        <v>3884</v>
      </c>
      <c r="H2515" s="2">
        <v>535081</v>
      </c>
      <c r="I2515" s="2">
        <v>1120022</v>
      </c>
      <c r="J2515" s="2" t="s">
        <v>3888</v>
      </c>
      <c r="K2515" s="2" t="s">
        <v>3895</v>
      </c>
      <c r="L2515" s="2">
        <v>2023</v>
      </c>
      <c r="M2515" s="2">
        <v>-584941</v>
      </c>
      <c r="N2515" s="2">
        <f xml:space="preserve"> (Table1[[#This Row],[Variance (USD)]] / Table1[[#This Row],[Actual Spending (USD)]]) * 100</f>
        <v>-52.225849135106273</v>
      </c>
      <c r="O2515" s="5" t="s">
        <v>3897</v>
      </c>
    </row>
    <row r="2516" spans="1:15" x14ac:dyDescent="0.25">
      <c r="A2516" s="4" t="s">
        <v>2529</v>
      </c>
      <c r="B2516" s="2" t="s">
        <v>3414</v>
      </c>
      <c r="C2516" s="2" t="s">
        <v>3868</v>
      </c>
      <c r="D2516" s="2" t="s">
        <v>3877</v>
      </c>
      <c r="E2516" s="3">
        <v>45246</v>
      </c>
      <c r="F2516" s="3">
        <v>45829</v>
      </c>
      <c r="G2516" s="2" t="s">
        <v>3886</v>
      </c>
      <c r="H2516" s="2">
        <v>777245</v>
      </c>
      <c r="I2516" s="2">
        <v>468894</v>
      </c>
      <c r="J2516" s="2" t="s">
        <v>3889</v>
      </c>
      <c r="K2516" s="2" t="s">
        <v>3893</v>
      </c>
      <c r="L2516" s="2">
        <v>2024</v>
      </c>
      <c r="M2516" s="2">
        <v>308351</v>
      </c>
      <c r="N2516" s="2">
        <f xml:space="preserve"> (Table1[[#This Row],[Variance (USD)]] / Table1[[#This Row],[Actual Spending (USD)]]) * 100</f>
        <v>65.761344781549781</v>
      </c>
      <c r="O2516" s="5" t="s">
        <v>3899</v>
      </c>
    </row>
    <row r="2517" spans="1:15" x14ac:dyDescent="0.25">
      <c r="A2517" s="4" t="s">
        <v>2530</v>
      </c>
      <c r="B2517" s="2" t="s">
        <v>3844</v>
      </c>
      <c r="C2517" s="2" t="s">
        <v>3874</v>
      </c>
      <c r="D2517" s="2" t="s">
        <v>3881</v>
      </c>
      <c r="E2517" s="3">
        <v>45009</v>
      </c>
      <c r="F2517" s="3">
        <v>45885</v>
      </c>
      <c r="G2517" s="2" t="s">
        <v>3884</v>
      </c>
      <c r="H2517" s="2">
        <v>561801</v>
      </c>
      <c r="I2517" s="2">
        <v>968202</v>
      </c>
      <c r="J2517" s="2" t="s">
        <v>3892</v>
      </c>
      <c r="K2517" s="2" t="s">
        <v>3896</v>
      </c>
      <c r="L2517" s="2">
        <v>2023</v>
      </c>
      <c r="M2517" s="2">
        <v>-406401</v>
      </c>
      <c r="N2517" s="2">
        <f xml:space="preserve"> (Table1[[#This Row],[Variance (USD)]] / Table1[[#This Row],[Actual Spending (USD)]]) * 100</f>
        <v>-41.974815172866819</v>
      </c>
      <c r="O2517" s="5" t="s">
        <v>3897</v>
      </c>
    </row>
    <row r="2518" spans="1:15" x14ac:dyDescent="0.25">
      <c r="A2518" s="4" t="s">
        <v>2531</v>
      </c>
      <c r="B2518" s="2" t="s">
        <v>3784</v>
      </c>
      <c r="C2518" s="2" t="s">
        <v>3875</v>
      </c>
      <c r="D2518" s="2" t="s">
        <v>3882</v>
      </c>
      <c r="E2518" s="3">
        <v>45229</v>
      </c>
      <c r="F2518" s="3">
        <v>45886</v>
      </c>
      <c r="G2518" s="2" t="s">
        <v>3884</v>
      </c>
      <c r="H2518" s="2">
        <v>60728</v>
      </c>
      <c r="I2518" s="2">
        <v>790528</v>
      </c>
      <c r="J2518" s="2" t="s">
        <v>3890</v>
      </c>
      <c r="K2518" s="2" t="s">
        <v>3895</v>
      </c>
      <c r="L2518" s="2">
        <v>2023</v>
      </c>
      <c r="M2518" s="2">
        <v>-729800</v>
      </c>
      <c r="N2518" s="2">
        <f xml:space="preserve"> (Table1[[#This Row],[Variance (USD)]] / Table1[[#This Row],[Actual Spending (USD)]]) * 100</f>
        <v>-92.318045660621763</v>
      </c>
      <c r="O2518" s="5" t="s">
        <v>3897</v>
      </c>
    </row>
    <row r="2519" spans="1:15" x14ac:dyDescent="0.25">
      <c r="A2519" s="4" t="s">
        <v>2532</v>
      </c>
      <c r="B2519" s="2" t="s">
        <v>3570</v>
      </c>
      <c r="C2519" s="2" t="s">
        <v>3869</v>
      </c>
      <c r="D2519" s="2" t="s">
        <v>3877</v>
      </c>
      <c r="E2519" s="3">
        <v>45188</v>
      </c>
      <c r="F2519" s="3">
        <v>45422</v>
      </c>
      <c r="G2519" s="2" t="s">
        <v>3884</v>
      </c>
      <c r="H2519" s="2">
        <v>942284</v>
      </c>
      <c r="I2519" s="2">
        <v>113404</v>
      </c>
      <c r="J2519" s="2" t="s">
        <v>3891</v>
      </c>
      <c r="K2519" s="2" t="s">
        <v>3894</v>
      </c>
      <c r="L2519" s="2">
        <v>2024</v>
      </c>
      <c r="M2519" s="2">
        <v>828880</v>
      </c>
      <c r="N2519" s="2">
        <f xml:space="preserve"> (Table1[[#This Row],[Variance (USD)]] / Table1[[#This Row],[Actual Spending (USD)]]) * 100</f>
        <v>730.90896264682021</v>
      </c>
      <c r="O2519" s="5" t="s">
        <v>3897</v>
      </c>
    </row>
    <row r="2520" spans="1:15" x14ac:dyDescent="0.25">
      <c r="A2520" s="4" t="s">
        <v>2533</v>
      </c>
      <c r="B2520" s="2" t="s">
        <v>3171</v>
      </c>
      <c r="C2520" s="2" t="s">
        <v>3868</v>
      </c>
      <c r="D2520" s="2" t="s">
        <v>3878</v>
      </c>
      <c r="E2520" s="3">
        <v>45126</v>
      </c>
      <c r="F2520" s="3">
        <v>45620</v>
      </c>
      <c r="G2520" s="2" t="s">
        <v>3886</v>
      </c>
      <c r="H2520" s="2">
        <v>920343</v>
      </c>
      <c r="I2520" s="2">
        <v>1175242</v>
      </c>
      <c r="J2520" s="2" t="s">
        <v>3888</v>
      </c>
      <c r="K2520" s="2" t="s">
        <v>3895</v>
      </c>
      <c r="L2520" s="2">
        <v>2023</v>
      </c>
      <c r="M2520" s="2">
        <v>-254899</v>
      </c>
      <c r="N2520" s="2">
        <f xml:space="preserve"> (Table1[[#This Row],[Variance (USD)]] / Table1[[#This Row],[Actual Spending (USD)]]) * 100</f>
        <v>-21.689064890465112</v>
      </c>
      <c r="O2520" s="5" t="s">
        <v>3899</v>
      </c>
    </row>
    <row r="2521" spans="1:15" x14ac:dyDescent="0.25">
      <c r="A2521" s="4" t="s">
        <v>2534</v>
      </c>
      <c r="B2521" s="2" t="s">
        <v>3450</v>
      </c>
      <c r="C2521" s="2" t="s">
        <v>3869</v>
      </c>
      <c r="D2521" s="2" t="s">
        <v>3881</v>
      </c>
      <c r="E2521" s="3">
        <v>45166</v>
      </c>
      <c r="F2521" s="3">
        <v>45903</v>
      </c>
      <c r="G2521" s="2" t="s">
        <v>3887</v>
      </c>
      <c r="H2521" s="2">
        <v>167616</v>
      </c>
      <c r="I2521" s="2">
        <v>538594</v>
      </c>
      <c r="J2521" s="2" t="s">
        <v>3891</v>
      </c>
      <c r="K2521" s="2" t="s">
        <v>3894</v>
      </c>
      <c r="L2521" s="2">
        <v>2025</v>
      </c>
      <c r="M2521" s="2">
        <v>-370978</v>
      </c>
      <c r="N2521" s="2">
        <f xml:space="preserve"> (Table1[[#This Row],[Variance (USD)]] / Table1[[#This Row],[Actual Spending (USD)]]) * 100</f>
        <v>-68.878970059079748</v>
      </c>
      <c r="O2521" s="5" t="s">
        <v>3900</v>
      </c>
    </row>
    <row r="2522" spans="1:15" x14ac:dyDescent="0.25">
      <c r="A2522" s="4" t="s">
        <v>2535</v>
      </c>
      <c r="B2522" s="2" t="s">
        <v>3040</v>
      </c>
      <c r="C2522" s="2" t="s">
        <v>3875</v>
      </c>
      <c r="D2522" s="2" t="s">
        <v>3878</v>
      </c>
      <c r="E2522" s="3">
        <v>45618</v>
      </c>
      <c r="F2522" s="3">
        <v>45547</v>
      </c>
      <c r="G2522" s="2" t="s">
        <v>3884</v>
      </c>
      <c r="H2522" s="2">
        <v>268422</v>
      </c>
      <c r="I2522" s="2">
        <v>806716</v>
      </c>
      <c r="J2522" s="2" t="s">
        <v>3892</v>
      </c>
      <c r="K2522" s="2" t="s">
        <v>3896</v>
      </c>
      <c r="L2522" s="2">
        <v>2023</v>
      </c>
      <c r="M2522" s="2">
        <v>-538294</v>
      </c>
      <c r="N2522" s="2">
        <f xml:space="preserve"> (Table1[[#This Row],[Variance (USD)]] / Table1[[#This Row],[Actual Spending (USD)]]) * 100</f>
        <v>-66.726580357895472</v>
      </c>
      <c r="O2522" s="5" t="s">
        <v>3897</v>
      </c>
    </row>
    <row r="2523" spans="1:15" x14ac:dyDescent="0.25">
      <c r="A2523" s="4" t="s">
        <v>2536</v>
      </c>
      <c r="B2523" s="2" t="s">
        <v>3733</v>
      </c>
      <c r="C2523" s="2" t="s">
        <v>3874</v>
      </c>
      <c r="D2523" s="2" t="s">
        <v>3882</v>
      </c>
      <c r="E2523" s="3">
        <v>45609</v>
      </c>
      <c r="F2523" s="3">
        <v>45770</v>
      </c>
      <c r="G2523" s="2" t="s">
        <v>3885</v>
      </c>
      <c r="H2523" s="2">
        <v>872646</v>
      </c>
      <c r="I2523" s="2">
        <v>1048155</v>
      </c>
      <c r="J2523" s="2" t="s">
        <v>3892</v>
      </c>
      <c r="K2523" s="2" t="s">
        <v>3894</v>
      </c>
      <c r="L2523" s="2">
        <v>2023</v>
      </c>
      <c r="M2523" s="2">
        <v>-175509</v>
      </c>
      <c r="N2523" s="2">
        <f xml:space="preserve"> (Table1[[#This Row],[Variance (USD)]] / Table1[[#This Row],[Actual Spending (USD)]]) * 100</f>
        <v>-16.744565450720554</v>
      </c>
      <c r="O2523" s="5" t="s">
        <v>3898</v>
      </c>
    </row>
    <row r="2524" spans="1:15" x14ac:dyDescent="0.25">
      <c r="A2524" s="4" t="s">
        <v>2537</v>
      </c>
      <c r="B2524" s="2" t="s">
        <v>3562</v>
      </c>
      <c r="C2524" s="2" t="s">
        <v>3872</v>
      </c>
      <c r="D2524" s="2" t="s">
        <v>3876</v>
      </c>
      <c r="E2524" s="3">
        <v>45221</v>
      </c>
      <c r="F2524" s="3">
        <v>45852</v>
      </c>
      <c r="G2524" s="2" t="s">
        <v>3884</v>
      </c>
      <c r="H2524" s="2">
        <v>239007</v>
      </c>
      <c r="I2524" s="2">
        <v>321190</v>
      </c>
      <c r="J2524" s="2" t="s">
        <v>3891</v>
      </c>
      <c r="K2524" s="2" t="s">
        <v>3893</v>
      </c>
      <c r="L2524" s="2">
        <v>2025</v>
      </c>
      <c r="M2524" s="2">
        <v>-82183</v>
      </c>
      <c r="N2524" s="2">
        <f xml:space="preserve"> (Table1[[#This Row],[Variance (USD)]] / Table1[[#This Row],[Actual Spending (USD)]]) * 100</f>
        <v>-25.587035710949905</v>
      </c>
      <c r="O2524" s="5" t="s">
        <v>3897</v>
      </c>
    </row>
    <row r="2525" spans="1:15" x14ac:dyDescent="0.25">
      <c r="A2525" s="4" t="s">
        <v>2538</v>
      </c>
      <c r="B2525" s="2" t="s">
        <v>3365</v>
      </c>
      <c r="C2525" s="2" t="s">
        <v>3874</v>
      </c>
      <c r="D2525" s="2" t="s">
        <v>3877</v>
      </c>
      <c r="E2525" s="3">
        <v>45438</v>
      </c>
      <c r="F2525" s="3">
        <v>45354</v>
      </c>
      <c r="G2525" s="2" t="s">
        <v>3884</v>
      </c>
      <c r="H2525" s="2">
        <v>792441</v>
      </c>
      <c r="I2525" s="2">
        <v>249368</v>
      </c>
      <c r="J2525" s="2" t="s">
        <v>3891</v>
      </c>
      <c r="K2525" s="2" t="s">
        <v>3896</v>
      </c>
      <c r="L2525" s="2">
        <v>2023</v>
      </c>
      <c r="M2525" s="2">
        <v>543073</v>
      </c>
      <c r="N2525" s="2">
        <f xml:space="preserve"> (Table1[[#This Row],[Variance (USD)]] / Table1[[#This Row],[Actual Spending (USD)]]) * 100</f>
        <v>217.77974720092394</v>
      </c>
      <c r="O2525" s="5" t="s">
        <v>3897</v>
      </c>
    </row>
    <row r="2526" spans="1:15" x14ac:dyDescent="0.25">
      <c r="A2526" s="4" t="s">
        <v>2539</v>
      </c>
      <c r="B2526" s="2" t="s">
        <v>3136</v>
      </c>
      <c r="C2526" s="2" t="s">
        <v>3869</v>
      </c>
      <c r="D2526" s="2" t="s">
        <v>3880</v>
      </c>
      <c r="E2526" s="3">
        <v>45615</v>
      </c>
      <c r="F2526" s="3">
        <v>45602</v>
      </c>
      <c r="G2526" s="2" t="s">
        <v>3885</v>
      </c>
      <c r="H2526" s="2">
        <v>357732</v>
      </c>
      <c r="I2526" s="2">
        <v>1079213</v>
      </c>
      <c r="J2526" s="2" t="s">
        <v>3891</v>
      </c>
      <c r="K2526" s="2" t="s">
        <v>3896</v>
      </c>
      <c r="L2526" s="2">
        <v>2025</v>
      </c>
      <c r="M2526" s="2">
        <v>-721481</v>
      </c>
      <c r="N2526" s="2">
        <f xml:space="preserve"> (Table1[[#This Row],[Variance (USD)]] / Table1[[#This Row],[Actual Spending (USD)]]) * 100</f>
        <v>-66.852511969370283</v>
      </c>
      <c r="O2526" s="5" t="s">
        <v>3898</v>
      </c>
    </row>
    <row r="2527" spans="1:15" x14ac:dyDescent="0.25">
      <c r="A2527" s="4" t="s">
        <v>2540</v>
      </c>
      <c r="B2527" s="2" t="s">
        <v>3596</v>
      </c>
      <c r="C2527" s="2" t="s">
        <v>3874</v>
      </c>
      <c r="D2527" s="2" t="s">
        <v>3877</v>
      </c>
      <c r="E2527" s="3">
        <v>45322</v>
      </c>
      <c r="F2527" s="3">
        <v>45698</v>
      </c>
      <c r="G2527" s="2" t="s">
        <v>3885</v>
      </c>
      <c r="H2527" s="2">
        <v>200025</v>
      </c>
      <c r="I2527" s="2">
        <v>380857</v>
      </c>
      <c r="J2527" s="2" t="s">
        <v>3890</v>
      </c>
      <c r="K2527" s="2" t="s">
        <v>3894</v>
      </c>
      <c r="L2527" s="2">
        <v>2024</v>
      </c>
      <c r="M2527" s="2">
        <v>-180832</v>
      </c>
      <c r="N2527" s="2">
        <f xml:space="preserve"> (Table1[[#This Row],[Variance (USD)]] / Table1[[#This Row],[Actual Spending (USD)]]) * 100</f>
        <v>-47.480287877077224</v>
      </c>
      <c r="O2527" s="5" t="s">
        <v>3898</v>
      </c>
    </row>
    <row r="2528" spans="1:15" x14ac:dyDescent="0.25">
      <c r="A2528" s="4" t="s">
        <v>2541</v>
      </c>
      <c r="B2528" s="2" t="s">
        <v>3764</v>
      </c>
      <c r="C2528" s="2" t="s">
        <v>3874</v>
      </c>
      <c r="D2528" s="2" t="s">
        <v>3879</v>
      </c>
      <c r="E2528" s="3">
        <v>45064</v>
      </c>
      <c r="F2528" s="3">
        <v>45396</v>
      </c>
      <c r="G2528" s="2" t="s">
        <v>3886</v>
      </c>
      <c r="H2528" s="2">
        <v>904840</v>
      </c>
      <c r="I2528" s="2">
        <v>1029291</v>
      </c>
      <c r="J2528" s="2" t="s">
        <v>3889</v>
      </c>
      <c r="K2528" s="2" t="s">
        <v>3895</v>
      </c>
      <c r="L2528" s="2">
        <v>2023</v>
      </c>
      <c r="M2528" s="2">
        <v>-124451</v>
      </c>
      <c r="N2528" s="2">
        <f xml:space="preserve"> (Table1[[#This Row],[Variance (USD)]] / Table1[[#This Row],[Actual Spending (USD)]]) * 100</f>
        <v>-12.090944154762843</v>
      </c>
      <c r="O2528" s="5" t="s">
        <v>3899</v>
      </c>
    </row>
    <row r="2529" spans="1:15" x14ac:dyDescent="0.25">
      <c r="A2529" s="4" t="s">
        <v>2542</v>
      </c>
      <c r="B2529" s="2" t="s">
        <v>3285</v>
      </c>
      <c r="C2529" s="2" t="s">
        <v>3872</v>
      </c>
      <c r="D2529" s="2" t="s">
        <v>3883</v>
      </c>
      <c r="E2529" s="3">
        <v>45055</v>
      </c>
      <c r="F2529" s="3">
        <v>45908</v>
      </c>
      <c r="G2529" s="2" t="s">
        <v>3884</v>
      </c>
      <c r="H2529" s="2">
        <v>346247</v>
      </c>
      <c r="I2529" s="2">
        <v>971260</v>
      </c>
      <c r="J2529" s="2" t="s">
        <v>3888</v>
      </c>
      <c r="K2529" s="2" t="s">
        <v>3894</v>
      </c>
      <c r="L2529" s="2">
        <v>2024</v>
      </c>
      <c r="M2529" s="2">
        <v>-625013</v>
      </c>
      <c r="N2529" s="2">
        <f xml:space="preserve"> (Table1[[#This Row],[Variance (USD)]] / Table1[[#This Row],[Actual Spending (USD)]]) * 100</f>
        <v>-64.350740275518405</v>
      </c>
      <c r="O2529" s="5" t="s">
        <v>3897</v>
      </c>
    </row>
    <row r="2530" spans="1:15" x14ac:dyDescent="0.25">
      <c r="A2530" s="4" t="s">
        <v>2543</v>
      </c>
      <c r="B2530" s="2" t="s">
        <v>3510</v>
      </c>
      <c r="C2530" s="2" t="s">
        <v>3875</v>
      </c>
      <c r="D2530" s="2" t="s">
        <v>3883</v>
      </c>
      <c r="E2530" s="3">
        <v>44975</v>
      </c>
      <c r="F2530" s="3">
        <v>45306</v>
      </c>
      <c r="G2530" s="2" t="s">
        <v>3884</v>
      </c>
      <c r="H2530" s="2">
        <v>120949</v>
      </c>
      <c r="I2530" s="2">
        <v>482685</v>
      </c>
      <c r="J2530" s="2" t="s">
        <v>3888</v>
      </c>
      <c r="K2530" s="2" t="s">
        <v>3894</v>
      </c>
      <c r="L2530" s="2">
        <v>2023</v>
      </c>
      <c r="M2530" s="2">
        <v>-361736</v>
      </c>
      <c r="N2530" s="2">
        <f xml:space="preserve"> (Table1[[#This Row],[Variance (USD)]] / Table1[[#This Row],[Actual Spending (USD)]]) * 100</f>
        <v>-74.942457296166225</v>
      </c>
      <c r="O2530" s="5" t="s">
        <v>3897</v>
      </c>
    </row>
    <row r="2531" spans="1:15" x14ac:dyDescent="0.25">
      <c r="A2531" s="4" t="s">
        <v>2544</v>
      </c>
      <c r="B2531" s="2" t="s">
        <v>3153</v>
      </c>
      <c r="C2531" s="2" t="s">
        <v>3875</v>
      </c>
      <c r="D2531" s="2" t="s">
        <v>3879</v>
      </c>
      <c r="E2531" s="3">
        <v>45602</v>
      </c>
      <c r="F2531" s="3">
        <v>45978</v>
      </c>
      <c r="G2531" s="2" t="s">
        <v>3884</v>
      </c>
      <c r="H2531" s="2">
        <v>275877</v>
      </c>
      <c r="I2531" s="2">
        <v>107185</v>
      </c>
      <c r="J2531" s="2" t="s">
        <v>3888</v>
      </c>
      <c r="K2531" s="2" t="s">
        <v>3896</v>
      </c>
      <c r="L2531" s="2">
        <v>2025</v>
      </c>
      <c r="M2531" s="2">
        <v>168692</v>
      </c>
      <c r="N2531" s="2">
        <f xml:space="preserve"> (Table1[[#This Row],[Variance (USD)]] / Table1[[#This Row],[Actual Spending (USD)]]) * 100</f>
        <v>157.3839623081588</v>
      </c>
      <c r="O2531" s="5" t="s">
        <v>3897</v>
      </c>
    </row>
    <row r="2532" spans="1:15" x14ac:dyDescent="0.25">
      <c r="A2532" s="4" t="s">
        <v>2545</v>
      </c>
      <c r="B2532" s="2" t="s">
        <v>3807</v>
      </c>
      <c r="C2532" s="2" t="s">
        <v>3871</v>
      </c>
      <c r="D2532" s="2" t="s">
        <v>3881</v>
      </c>
      <c r="E2532" s="3">
        <v>45219</v>
      </c>
      <c r="F2532" s="3">
        <v>45550</v>
      </c>
      <c r="G2532" s="2" t="s">
        <v>3884</v>
      </c>
      <c r="H2532" s="2">
        <v>725516</v>
      </c>
      <c r="I2532" s="2">
        <v>943601</v>
      </c>
      <c r="J2532" s="2" t="s">
        <v>3891</v>
      </c>
      <c r="K2532" s="2" t="s">
        <v>3893</v>
      </c>
      <c r="L2532" s="2">
        <v>2023</v>
      </c>
      <c r="M2532" s="2">
        <v>-218085</v>
      </c>
      <c r="N2532" s="2">
        <f xml:space="preserve"> (Table1[[#This Row],[Variance (USD)]] / Table1[[#This Row],[Actual Spending (USD)]]) * 100</f>
        <v>-23.111993310731975</v>
      </c>
      <c r="O2532" s="5" t="s">
        <v>3897</v>
      </c>
    </row>
    <row r="2533" spans="1:15" x14ac:dyDescent="0.25">
      <c r="A2533" s="4" t="s">
        <v>2546</v>
      </c>
      <c r="B2533" s="2" t="s">
        <v>3712</v>
      </c>
      <c r="C2533" s="2" t="s">
        <v>3874</v>
      </c>
      <c r="D2533" s="2" t="s">
        <v>3883</v>
      </c>
      <c r="E2533" s="3">
        <v>45554</v>
      </c>
      <c r="F2533" s="3">
        <v>46014</v>
      </c>
      <c r="G2533" s="2" t="s">
        <v>3884</v>
      </c>
      <c r="H2533" s="2">
        <v>63423</v>
      </c>
      <c r="I2533" s="2">
        <v>1024406</v>
      </c>
      <c r="J2533" s="2" t="s">
        <v>3891</v>
      </c>
      <c r="K2533" s="2" t="s">
        <v>3895</v>
      </c>
      <c r="L2533" s="2">
        <v>2024</v>
      </c>
      <c r="M2533" s="2">
        <v>-960983</v>
      </c>
      <c r="N2533" s="2">
        <f xml:space="preserve"> (Table1[[#This Row],[Variance (USD)]] / Table1[[#This Row],[Actual Spending (USD)]]) * 100</f>
        <v>-93.808802369373083</v>
      </c>
      <c r="O2533" s="5" t="s">
        <v>3897</v>
      </c>
    </row>
    <row r="2534" spans="1:15" x14ac:dyDescent="0.25">
      <c r="A2534" s="4" t="s">
        <v>2547</v>
      </c>
      <c r="B2534" s="2" t="s">
        <v>3314</v>
      </c>
      <c r="C2534" s="2" t="s">
        <v>3875</v>
      </c>
      <c r="D2534" s="2" t="s">
        <v>3878</v>
      </c>
      <c r="E2534" s="3">
        <v>45462</v>
      </c>
      <c r="F2534" s="3">
        <v>45703</v>
      </c>
      <c r="G2534" s="2" t="s">
        <v>3885</v>
      </c>
      <c r="H2534" s="2">
        <v>350206</v>
      </c>
      <c r="I2534" s="2">
        <v>742515</v>
      </c>
      <c r="J2534" s="2" t="s">
        <v>3891</v>
      </c>
      <c r="K2534" s="2" t="s">
        <v>3894</v>
      </c>
      <c r="L2534" s="2">
        <v>2025</v>
      </c>
      <c r="M2534" s="2">
        <v>-392309</v>
      </c>
      <c r="N2534" s="2">
        <f xml:space="preserve"> (Table1[[#This Row],[Variance (USD)]] / Table1[[#This Row],[Actual Spending (USD)]]) * 100</f>
        <v>-52.835161579227353</v>
      </c>
      <c r="O2534" s="5" t="s">
        <v>3898</v>
      </c>
    </row>
    <row r="2535" spans="1:15" x14ac:dyDescent="0.25">
      <c r="A2535" s="4" t="s">
        <v>2548</v>
      </c>
      <c r="B2535" s="2" t="s">
        <v>3538</v>
      </c>
      <c r="C2535" s="2" t="s">
        <v>3875</v>
      </c>
      <c r="D2535" s="2" t="s">
        <v>3882</v>
      </c>
      <c r="E2535" s="3">
        <v>45237</v>
      </c>
      <c r="F2535" s="3">
        <v>45550</v>
      </c>
      <c r="G2535" s="2" t="s">
        <v>3885</v>
      </c>
      <c r="H2535" s="2">
        <v>748165</v>
      </c>
      <c r="I2535" s="2">
        <v>408337</v>
      </c>
      <c r="J2535" s="2" t="s">
        <v>3890</v>
      </c>
      <c r="K2535" s="2" t="s">
        <v>3893</v>
      </c>
      <c r="L2535" s="2">
        <v>2025</v>
      </c>
      <c r="M2535" s="2">
        <v>339828</v>
      </c>
      <c r="N2535" s="2">
        <f xml:space="preserve"> (Table1[[#This Row],[Variance (USD)]] / Table1[[#This Row],[Actual Spending (USD)]]) * 100</f>
        <v>83.222436369959127</v>
      </c>
      <c r="O2535" s="5" t="s">
        <v>3898</v>
      </c>
    </row>
    <row r="2536" spans="1:15" x14ac:dyDescent="0.25">
      <c r="A2536" s="4" t="s">
        <v>2549</v>
      </c>
      <c r="B2536" s="2" t="s">
        <v>3270</v>
      </c>
      <c r="C2536" s="2" t="s">
        <v>3873</v>
      </c>
      <c r="D2536" s="2" t="s">
        <v>3882</v>
      </c>
      <c r="E2536" s="3">
        <v>45463</v>
      </c>
      <c r="F2536" s="3">
        <v>45905</v>
      </c>
      <c r="G2536" s="2" t="s">
        <v>3884</v>
      </c>
      <c r="H2536" s="2">
        <v>838419</v>
      </c>
      <c r="I2536" s="2">
        <v>136745</v>
      </c>
      <c r="J2536" s="2" t="s">
        <v>3890</v>
      </c>
      <c r="K2536" s="2" t="s">
        <v>3893</v>
      </c>
      <c r="L2536" s="2">
        <v>2024</v>
      </c>
      <c r="M2536" s="2">
        <v>701674</v>
      </c>
      <c r="N2536" s="2">
        <f xml:space="preserve"> (Table1[[#This Row],[Variance (USD)]] / Table1[[#This Row],[Actual Spending (USD)]]) * 100</f>
        <v>513.12589125745001</v>
      </c>
      <c r="O2536" s="5" t="s">
        <v>3897</v>
      </c>
    </row>
    <row r="2537" spans="1:15" x14ac:dyDescent="0.25">
      <c r="A2537" s="4" t="s">
        <v>2550</v>
      </c>
      <c r="B2537" s="2" t="s">
        <v>3760</v>
      </c>
      <c r="C2537" s="2" t="s">
        <v>3868</v>
      </c>
      <c r="D2537" s="2" t="s">
        <v>3883</v>
      </c>
      <c r="E2537" s="3">
        <v>45565</v>
      </c>
      <c r="F2537" s="3">
        <v>45551</v>
      </c>
      <c r="G2537" s="2" t="s">
        <v>3884</v>
      </c>
      <c r="H2537" s="2">
        <v>112979</v>
      </c>
      <c r="I2537" s="2">
        <v>625144</v>
      </c>
      <c r="J2537" s="2" t="s">
        <v>3890</v>
      </c>
      <c r="K2537" s="2" t="s">
        <v>3895</v>
      </c>
      <c r="L2537" s="2">
        <v>2024</v>
      </c>
      <c r="M2537" s="2">
        <v>-512165</v>
      </c>
      <c r="N2537" s="2">
        <f xml:space="preserve"> (Table1[[#This Row],[Variance (USD)]] / Table1[[#This Row],[Actual Spending (USD)]]) * 100</f>
        <v>-81.927523898493789</v>
      </c>
      <c r="O2537" s="5" t="s">
        <v>3897</v>
      </c>
    </row>
    <row r="2538" spans="1:15" x14ac:dyDescent="0.25">
      <c r="A2538" s="4" t="s">
        <v>2551</v>
      </c>
      <c r="B2538" s="2" t="s">
        <v>3375</v>
      </c>
      <c r="C2538" s="2" t="s">
        <v>3871</v>
      </c>
      <c r="D2538" s="2" t="s">
        <v>3883</v>
      </c>
      <c r="E2538" s="3">
        <v>45160</v>
      </c>
      <c r="F2538" s="3">
        <v>45962</v>
      </c>
      <c r="G2538" s="2" t="s">
        <v>3885</v>
      </c>
      <c r="H2538" s="2">
        <v>874029</v>
      </c>
      <c r="I2538" s="2">
        <v>1024764</v>
      </c>
      <c r="J2538" s="2" t="s">
        <v>3890</v>
      </c>
      <c r="K2538" s="2" t="s">
        <v>3893</v>
      </c>
      <c r="L2538" s="2">
        <v>2023</v>
      </c>
      <c r="M2538" s="2">
        <v>-150735</v>
      </c>
      <c r="N2538" s="2">
        <f xml:space="preserve"> (Table1[[#This Row],[Variance (USD)]] / Table1[[#This Row],[Actual Spending (USD)]]) * 100</f>
        <v>-14.70924037144162</v>
      </c>
      <c r="O2538" s="5" t="s">
        <v>3898</v>
      </c>
    </row>
    <row r="2539" spans="1:15" x14ac:dyDescent="0.25">
      <c r="A2539" s="4" t="s">
        <v>2552</v>
      </c>
      <c r="B2539" s="2" t="s">
        <v>3121</v>
      </c>
      <c r="C2539" s="2" t="s">
        <v>3870</v>
      </c>
      <c r="D2539" s="2" t="s">
        <v>3879</v>
      </c>
      <c r="E2539" s="3">
        <v>45135</v>
      </c>
      <c r="F2539" s="3">
        <v>45336</v>
      </c>
      <c r="G2539" s="2" t="s">
        <v>3884</v>
      </c>
      <c r="H2539" s="2">
        <v>133905</v>
      </c>
      <c r="I2539" s="2">
        <v>331355</v>
      </c>
      <c r="J2539" s="2" t="s">
        <v>3892</v>
      </c>
      <c r="K2539" s="2" t="s">
        <v>3894</v>
      </c>
      <c r="L2539" s="2">
        <v>2023</v>
      </c>
      <c r="M2539" s="2">
        <v>-197450</v>
      </c>
      <c r="N2539" s="2">
        <f xml:space="preserve"> (Table1[[#This Row],[Variance (USD)]] / Table1[[#This Row],[Actual Spending (USD)]]) * 100</f>
        <v>-59.588658689321115</v>
      </c>
      <c r="O2539" s="5" t="s">
        <v>3897</v>
      </c>
    </row>
    <row r="2540" spans="1:15" x14ac:dyDescent="0.25">
      <c r="A2540" s="4" t="s">
        <v>2553</v>
      </c>
      <c r="B2540" s="2" t="s">
        <v>3287</v>
      </c>
      <c r="C2540" s="2" t="s">
        <v>3871</v>
      </c>
      <c r="D2540" s="2" t="s">
        <v>3881</v>
      </c>
      <c r="E2540" s="3">
        <v>45531</v>
      </c>
      <c r="F2540" s="3">
        <v>45622</v>
      </c>
      <c r="G2540" s="2" t="s">
        <v>3886</v>
      </c>
      <c r="H2540" s="2">
        <v>733228</v>
      </c>
      <c r="I2540" s="2">
        <v>333561</v>
      </c>
      <c r="J2540" s="2" t="s">
        <v>3890</v>
      </c>
      <c r="K2540" s="2" t="s">
        <v>3896</v>
      </c>
      <c r="L2540" s="2">
        <v>2025</v>
      </c>
      <c r="M2540" s="2">
        <v>399667</v>
      </c>
      <c r="N2540" s="2">
        <f xml:space="preserve"> (Table1[[#This Row],[Variance (USD)]] / Table1[[#This Row],[Actual Spending (USD)]]) * 100</f>
        <v>119.81826412560221</v>
      </c>
      <c r="O2540" s="5" t="s">
        <v>3899</v>
      </c>
    </row>
    <row r="2541" spans="1:15" x14ac:dyDescent="0.25">
      <c r="A2541" s="4" t="s">
        <v>2554</v>
      </c>
      <c r="B2541" s="2" t="s">
        <v>3431</v>
      </c>
      <c r="C2541" s="2" t="s">
        <v>3871</v>
      </c>
      <c r="D2541" s="2" t="s">
        <v>3876</v>
      </c>
      <c r="E2541" s="3">
        <v>45020</v>
      </c>
      <c r="F2541" s="3">
        <v>45456</v>
      </c>
      <c r="G2541" s="2" t="s">
        <v>3884</v>
      </c>
      <c r="H2541" s="2">
        <v>126970</v>
      </c>
      <c r="I2541" s="2">
        <v>770018</v>
      </c>
      <c r="J2541" s="2" t="s">
        <v>3890</v>
      </c>
      <c r="K2541" s="2" t="s">
        <v>3893</v>
      </c>
      <c r="L2541" s="2">
        <v>2024</v>
      </c>
      <c r="M2541" s="2">
        <v>-643048</v>
      </c>
      <c r="N2541" s="2">
        <f xml:space="preserve"> (Table1[[#This Row],[Variance (USD)]] / Table1[[#This Row],[Actual Spending (USD)]]) * 100</f>
        <v>-83.510775072790508</v>
      </c>
      <c r="O2541" s="5" t="s">
        <v>3897</v>
      </c>
    </row>
    <row r="2542" spans="1:15" x14ac:dyDescent="0.25">
      <c r="A2542" s="4" t="s">
        <v>2555</v>
      </c>
      <c r="B2542" s="2" t="s">
        <v>3537</v>
      </c>
      <c r="C2542" s="2" t="s">
        <v>3870</v>
      </c>
      <c r="D2542" s="2" t="s">
        <v>3883</v>
      </c>
      <c r="E2542" s="3">
        <v>45253</v>
      </c>
      <c r="F2542" s="3">
        <v>45484</v>
      </c>
      <c r="G2542" s="2" t="s">
        <v>3884</v>
      </c>
      <c r="H2542" s="2">
        <v>113805</v>
      </c>
      <c r="I2542" s="2">
        <v>223899</v>
      </c>
      <c r="J2542" s="2" t="s">
        <v>3890</v>
      </c>
      <c r="K2542" s="2" t="s">
        <v>3896</v>
      </c>
      <c r="L2542" s="2">
        <v>2024</v>
      </c>
      <c r="M2542" s="2">
        <v>-110094</v>
      </c>
      <c r="N2542" s="2">
        <f xml:space="preserve"> (Table1[[#This Row],[Variance (USD)]] / Table1[[#This Row],[Actual Spending (USD)]]) * 100</f>
        <v>-49.17127812093846</v>
      </c>
      <c r="O2542" s="5" t="s">
        <v>3897</v>
      </c>
    </row>
    <row r="2543" spans="1:15" x14ac:dyDescent="0.25">
      <c r="A2543" s="4" t="s">
        <v>2556</v>
      </c>
      <c r="B2543" s="2" t="s">
        <v>3463</v>
      </c>
      <c r="C2543" s="2" t="s">
        <v>3873</v>
      </c>
      <c r="D2543" s="2" t="s">
        <v>3880</v>
      </c>
      <c r="E2543" s="3">
        <v>45151</v>
      </c>
      <c r="F2543" s="3">
        <v>45812</v>
      </c>
      <c r="G2543" s="2" t="s">
        <v>3887</v>
      </c>
      <c r="H2543" s="2">
        <v>169779</v>
      </c>
      <c r="I2543" s="2">
        <v>978941</v>
      </c>
      <c r="J2543" s="2" t="s">
        <v>3888</v>
      </c>
      <c r="K2543" s="2" t="s">
        <v>3895</v>
      </c>
      <c r="L2543" s="2">
        <v>2023</v>
      </c>
      <c r="M2543" s="2">
        <v>-809162</v>
      </c>
      <c r="N2543" s="2">
        <f xml:space="preserve"> (Table1[[#This Row],[Variance (USD)]] / Table1[[#This Row],[Actual Spending (USD)]]) * 100</f>
        <v>-82.656871047386929</v>
      </c>
      <c r="O2543" s="5" t="s">
        <v>3900</v>
      </c>
    </row>
    <row r="2544" spans="1:15" x14ac:dyDescent="0.25">
      <c r="A2544" s="4" t="s">
        <v>2557</v>
      </c>
      <c r="B2544" s="2" t="s">
        <v>3240</v>
      </c>
      <c r="C2544" s="2" t="s">
        <v>3874</v>
      </c>
      <c r="D2544" s="2" t="s">
        <v>3883</v>
      </c>
      <c r="E2544" s="3">
        <v>44937</v>
      </c>
      <c r="F2544" s="3">
        <v>45692</v>
      </c>
      <c r="G2544" s="2" t="s">
        <v>3884</v>
      </c>
      <c r="H2544" s="2">
        <v>523300</v>
      </c>
      <c r="I2544" s="2">
        <v>836951</v>
      </c>
      <c r="J2544" s="2" t="s">
        <v>3888</v>
      </c>
      <c r="K2544" s="2" t="s">
        <v>3895</v>
      </c>
      <c r="L2544" s="2">
        <v>2023</v>
      </c>
      <c r="M2544" s="2">
        <v>-313651</v>
      </c>
      <c r="N2544" s="2">
        <f xml:space="preserve"> (Table1[[#This Row],[Variance (USD)]] / Table1[[#This Row],[Actual Spending (USD)]]) * 100</f>
        <v>-37.475431656094557</v>
      </c>
      <c r="O2544" s="5" t="s">
        <v>3897</v>
      </c>
    </row>
    <row r="2545" spans="1:15" x14ac:dyDescent="0.25">
      <c r="A2545" s="4" t="s">
        <v>2558</v>
      </c>
      <c r="B2545" s="2" t="s">
        <v>3422</v>
      </c>
      <c r="C2545" s="2" t="s">
        <v>3872</v>
      </c>
      <c r="D2545" s="2" t="s">
        <v>3876</v>
      </c>
      <c r="E2545" s="3">
        <v>45255</v>
      </c>
      <c r="F2545" s="3">
        <v>45665</v>
      </c>
      <c r="G2545" s="2" t="s">
        <v>3884</v>
      </c>
      <c r="H2545" s="2">
        <v>459852</v>
      </c>
      <c r="I2545" s="2">
        <v>824415</v>
      </c>
      <c r="J2545" s="2" t="s">
        <v>3888</v>
      </c>
      <c r="K2545" s="2" t="s">
        <v>3893</v>
      </c>
      <c r="L2545" s="2">
        <v>2025</v>
      </c>
      <c r="M2545" s="2">
        <v>-364563</v>
      </c>
      <c r="N2545" s="2">
        <f xml:space="preserve"> (Table1[[#This Row],[Variance (USD)]] / Table1[[#This Row],[Actual Spending (USD)]]) * 100</f>
        <v>-44.220811120612794</v>
      </c>
      <c r="O2545" s="5" t="s">
        <v>3897</v>
      </c>
    </row>
    <row r="2546" spans="1:15" x14ac:dyDescent="0.25">
      <c r="A2546" s="4" t="s">
        <v>2559</v>
      </c>
      <c r="B2546" s="2" t="s">
        <v>3183</v>
      </c>
      <c r="C2546" s="2" t="s">
        <v>3875</v>
      </c>
      <c r="D2546" s="2" t="s">
        <v>3879</v>
      </c>
      <c r="E2546" s="3">
        <v>44938</v>
      </c>
      <c r="F2546" s="3">
        <v>45356</v>
      </c>
      <c r="G2546" s="2" t="s">
        <v>3884</v>
      </c>
      <c r="H2546" s="2">
        <v>631755</v>
      </c>
      <c r="I2546" s="2">
        <v>1065603</v>
      </c>
      <c r="J2546" s="2" t="s">
        <v>3889</v>
      </c>
      <c r="K2546" s="2" t="s">
        <v>3896</v>
      </c>
      <c r="L2546" s="2">
        <v>2024</v>
      </c>
      <c r="M2546" s="2">
        <v>-433848</v>
      </c>
      <c r="N2546" s="2">
        <f xml:space="preserve"> (Table1[[#This Row],[Variance (USD)]] / Table1[[#This Row],[Actual Spending (USD)]]) * 100</f>
        <v>-40.713849341640369</v>
      </c>
      <c r="O2546" s="5" t="s">
        <v>3897</v>
      </c>
    </row>
    <row r="2547" spans="1:15" x14ac:dyDescent="0.25">
      <c r="A2547" s="4" t="s">
        <v>2560</v>
      </c>
      <c r="B2547" s="2" t="s">
        <v>3791</v>
      </c>
      <c r="C2547" s="2" t="s">
        <v>3868</v>
      </c>
      <c r="D2547" s="2" t="s">
        <v>3876</v>
      </c>
      <c r="E2547" s="3">
        <v>44961</v>
      </c>
      <c r="F2547" s="3">
        <v>45678</v>
      </c>
      <c r="G2547" s="2" t="s">
        <v>3885</v>
      </c>
      <c r="H2547" s="2">
        <v>541135</v>
      </c>
      <c r="I2547" s="2">
        <v>822067</v>
      </c>
      <c r="J2547" s="2" t="s">
        <v>3892</v>
      </c>
      <c r="K2547" s="2" t="s">
        <v>3894</v>
      </c>
      <c r="L2547" s="2">
        <v>2024</v>
      </c>
      <c r="M2547" s="2">
        <v>-280932</v>
      </c>
      <c r="N2547" s="2">
        <f xml:space="preserve"> (Table1[[#This Row],[Variance (USD)]] / Table1[[#This Row],[Actual Spending (USD)]]) * 100</f>
        <v>-34.173856875412831</v>
      </c>
      <c r="O2547" s="5" t="s">
        <v>3898</v>
      </c>
    </row>
    <row r="2548" spans="1:15" x14ac:dyDescent="0.25">
      <c r="A2548" s="4" t="s">
        <v>2561</v>
      </c>
      <c r="B2548" s="2" t="s">
        <v>3045</v>
      </c>
      <c r="C2548" s="2" t="s">
        <v>3869</v>
      </c>
      <c r="D2548" s="2" t="s">
        <v>3879</v>
      </c>
      <c r="E2548" s="3">
        <v>45373</v>
      </c>
      <c r="F2548" s="3">
        <v>45786</v>
      </c>
      <c r="G2548" s="2" t="s">
        <v>3885</v>
      </c>
      <c r="H2548" s="2">
        <v>682020</v>
      </c>
      <c r="I2548" s="2">
        <v>918805</v>
      </c>
      <c r="J2548" s="2" t="s">
        <v>3891</v>
      </c>
      <c r="K2548" s="2" t="s">
        <v>3896</v>
      </c>
      <c r="L2548" s="2">
        <v>2024</v>
      </c>
      <c r="M2548" s="2">
        <v>-236785</v>
      </c>
      <c r="N2548" s="2">
        <f xml:space="preserve"> (Table1[[#This Row],[Variance (USD)]] / Table1[[#This Row],[Actual Spending (USD)]]) * 100</f>
        <v>-25.770974254602447</v>
      </c>
      <c r="O2548" s="5" t="s">
        <v>3898</v>
      </c>
    </row>
    <row r="2549" spans="1:15" x14ac:dyDescent="0.25">
      <c r="A2549" s="4" t="s">
        <v>2562</v>
      </c>
      <c r="B2549" s="2" t="s">
        <v>3312</v>
      </c>
      <c r="C2549" s="2" t="s">
        <v>3874</v>
      </c>
      <c r="D2549" s="2" t="s">
        <v>3878</v>
      </c>
      <c r="E2549" s="3">
        <v>45378</v>
      </c>
      <c r="F2549" s="3">
        <v>45984</v>
      </c>
      <c r="G2549" s="2" t="s">
        <v>3884</v>
      </c>
      <c r="H2549" s="2">
        <v>198079</v>
      </c>
      <c r="I2549" s="2">
        <v>920987</v>
      </c>
      <c r="J2549" s="2" t="s">
        <v>3890</v>
      </c>
      <c r="K2549" s="2" t="s">
        <v>3893</v>
      </c>
      <c r="L2549" s="2">
        <v>2024</v>
      </c>
      <c r="M2549" s="2">
        <v>-722908</v>
      </c>
      <c r="N2549" s="2">
        <f xml:space="preserve"> (Table1[[#This Row],[Variance (USD)]] / Table1[[#This Row],[Actual Spending (USD)]]) * 100</f>
        <v>-78.492747454632905</v>
      </c>
      <c r="O2549" s="5" t="s">
        <v>3897</v>
      </c>
    </row>
    <row r="2550" spans="1:15" x14ac:dyDescent="0.25">
      <c r="A2550" s="4" t="s">
        <v>2563</v>
      </c>
      <c r="B2550" s="2" t="s">
        <v>3681</v>
      </c>
      <c r="C2550" s="2" t="s">
        <v>3870</v>
      </c>
      <c r="D2550" s="2" t="s">
        <v>3879</v>
      </c>
      <c r="E2550" s="3">
        <v>45146</v>
      </c>
      <c r="F2550" s="3">
        <v>45706</v>
      </c>
      <c r="G2550" s="2" t="s">
        <v>3884</v>
      </c>
      <c r="H2550" s="2">
        <v>413604</v>
      </c>
      <c r="I2550" s="2">
        <v>402027</v>
      </c>
      <c r="J2550" s="2" t="s">
        <v>3888</v>
      </c>
      <c r="K2550" s="2" t="s">
        <v>3896</v>
      </c>
      <c r="L2550" s="2">
        <v>2023</v>
      </c>
      <c r="M2550" s="2">
        <v>11577</v>
      </c>
      <c r="N2550" s="2">
        <f xml:space="preserve"> (Table1[[#This Row],[Variance (USD)]] / Table1[[#This Row],[Actual Spending (USD)]]) * 100</f>
        <v>2.879657336447552</v>
      </c>
      <c r="O2550" s="5" t="s">
        <v>3897</v>
      </c>
    </row>
    <row r="2551" spans="1:15" x14ac:dyDescent="0.25">
      <c r="A2551" s="4" t="s">
        <v>2564</v>
      </c>
      <c r="B2551" s="2" t="s">
        <v>3317</v>
      </c>
      <c r="C2551" s="2" t="s">
        <v>3872</v>
      </c>
      <c r="D2551" s="2" t="s">
        <v>3878</v>
      </c>
      <c r="E2551" s="3">
        <v>45367</v>
      </c>
      <c r="F2551" s="3">
        <v>45321</v>
      </c>
      <c r="G2551" s="2" t="s">
        <v>3886</v>
      </c>
      <c r="H2551" s="2">
        <v>538963</v>
      </c>
      <c r="I2551" s="2">
        <v>278945</v>
      </c>
      <c r="J2551" s="2" t="s">
        <v>3892</v>
      </c>
      <c r="K2551" s="2" t="s">
        <v>3896</v>
      </c>
      <c r="L2551" s="2">
        <v>2023</v>
      </c>
      <c r="M2551" s="2">
        <v>260018</v>
      </c>
      <c r="N2551" s="2">
        <f xml:space="preserve"> (Table1[[#This Row],[Variance (USD)]] / Table1[[#This Row],[Actual Spending (USD)]]) * 100</f>
        <v>93.214791446342474</v>
      </c>
      <c r="O2551" s="5" t="s">
        <v>3899</v>
      </c>
    </row>
    <row r="2552" spans="1:15" x14ac:dyDescent="0.25">
      <c r="A2552" s="4" t="s">
        <v>2565</v>
      </c>
      <c r="B2552" s="2" t="s">
        <v>3785</v>
      </c>
      <c r="C2552" s="2" t="s">
        <v>3874</v>
      </c>
      <c r="D2552" s="2" t="s">
        <v>3878</v>
      </c>
      <c r="E2552" s="3">
        <v>45579</v>
      </c>
      <c r="F2552" s="3">
        <v>45557</v>
      </c>
      <c r="G2552" s="2" t="s">
        <v>3884</v>
      </c>
      <c r="H2552" s="2">
        <v>782224</v>
      </c>
      <c r="I2552" s="2">
        <v>180694</v>
      </c>
      <c r="J2552" s="2" t="s">
        <v>3890</v>
      </c>
      <c r="K2552" s="2" t="s">
        <v>3895</v>
      </c>
      <c r="L2552" s="2">
        <v>2023</v>
      </c>
      <c r="M2552" s="2">
        <v>601530</v>
      </c>
      <c r="N2552" s="2">
        <f xml:space="preserve"> (Table1[[#This Row],[Variance (USD)]] / Table1[[#This Row],[Actual Spending (USD)]]) * 100</f>
        <v>332.8998195844909</v>
      </c>
      <c r="O2552" s="5" t="s">
        <v>3897</v>
      </c>
    </row>
    <row r="2553" spans="1:15" x14ac:dyDescent="0.25">
      <c r="A2553" s="4" t="s">
        <v>2566</v>
      </c>
      <c r="B2553" s="2" t="s">
        <v>3791</v>
      </c>
      <c r="C2553" s="2" t="s">
        <v>3870</v>
      </c>
      <c r="D2553" s="2" t="s">
        <v>3879</v>
      </c>
      <c r="E2553" s="3">
        <v>45461</v>
      </c>
      <c r="F2553" s="3">
        <v>45619</v>
      </c>
      <c r="G2553" s="2" t="s">
        <v>3886</v>
      </c>
      <c r="H2553" s="2">
        <v>446605</v>
      </c>
      <c r="I2553" s="2">
        <v>104975</v>
      </c>
      <c r="J2553" s="2" t="s">
        <v>3889</v>
      </c>
      <c r="K2553" s="2" t="s">
        <v>3893</v>
      </c>
      <c r="L2553" s="2">
        <v>2025</v>
      </c>
      <c r="M2553" s="2">
        <v>341630</v>
      </c>
      <c r="N2553" s="2">
        <f xml:space="preserve"> (Table1[[#This Row],[Variance (USD)]] / Table1[[#This Row],[Actual Spending (USD)]]) * 100</f>
        <v>325.43939033103123</v>
      </c>
      <c r="O2553" s="5" t="s">
        <v>3899</v>
      </c>
    </row>
    <row r="2554" spans="1:15" x14ac:dyDescent="0.25">
      <c r="A2554" s="4" t="s">
        <v>2567</v>
      </c>
      <c r="B2554" s="2" t="s">
        <v>3842</v>
      </c>
      <c r="C2554" s="2" t="s">
        <v>3875</v>
      </c>
      <c r="D2554" s="2" t="s">
        <v>3880</v>
      </c>
      <c r="E2554" s="3">
        <v>45521</v>
      </c>
      <c r="F2554" s="3">
        <v>45783</v>
      </c>
      <c r="G2554" s="2" t="s">
        <v>3884</v>
      </c>
      <c r="H2554" s="2">
        <v>168105</v>
      </c>
      <c r="I2554" s="2">
        <v>90666</v>
      </c>
      <c r="J2554" s="2" t="s">
        <v>3891</v>
      </c>
      <c r="K2554" s="2" t="s">
        <v>3896</v>
      </c>
      <c r="L2554" s="2">
        <v>2024</v>
      </c>
      <c r="M2554" s="2">
        <v>77439</v>
      </c>
      <c r="N2554" s="2">
        <f xml:space="preserve"> (Table1[[#This Row],[Variance (USD)]] / Table1[[#This Row],[Actual Spending (USD)]]) * 100</f>
        <v>85.411289788895502</v>
      </c>
      <c r="O2554" s="5" t="s">
        <v>3897</v>
      </c>
    </row>
    <row r="2555" spans="1:15" x14ac:dyDescent="0.25">
      <c r="A2555" s="4" t="s">
        <v>2568</v>
      </c>
      <c r="B2555" s="2" t="s">
        <v>3810</v>
      </c>
      <c r="C2555" s="2" t="s">
        <v>3873</v>
      </c>
      <c r="D2555" s="2" t="s">
        <v>3877</v>
      </c>
      <c r="E2555" s="3">
        <v>45155</v>
      </c>
      <c r="F2555" s="3">
        <v>45508</v>
      </c>
      <c r="G2555" s="2" t="s">
        <v>3884</v>
      </c>
      <c r="H2555" s="2">
        <v>174535</v>
      </c>
      <c r="I2555" s="2">
        <v>393021</v>
      </c>
      <c r="J2555" s="2" t="s">
        <v>3890</v>
      </c>
      <c r="K2555" s="2" t="s">
        <v>3893</v>
      </c>
      <c r="L2555" s="2">
        <v>2023</v>
      </c>
      <c r="M2555" s="2">
        <v>-218486</v>
      </c>
      <c r="N2555" s="2">
        <f xml:space="preserve"> (Table1[[#This Row],[Variance (USD)]] / Table1[[#This Row],[Actual Spending (USD)]]) * 100</f>
        <v>-55.591431501115721</v>
      </c>
      <c r="O2555" s="5" t="s">
        <v>3897</v>
      </c>
    </row>
    <row r="2556" spans="1:15" x14ac:dyDescent="0.25">
      <c r="A2556" s="4" t="s">
        <v>2569</v>
      </c>
      <c r="B2556" s="2" t="s">
        <v>3696</v>
      </c>
      <c r="C2556" s="2" t="s">
        <v>3874</v>
      </c>
      <c r="D2556" s="2" t="s">
        <v>3879</v>
      </c>
      <c r="E2556" s="3">
        <v>45270</v>
      </c>
      <c r="F2556" s="3">
        <v>45611</v>
      </c>
      <c r="G2556" s="2" t="s">
        <v>3886</v>
      </c>
      <c r="H2556" s="2">
        <v>321602</v>
      </c>
      <c r="I2556" s="2">
        <v>172475</v>
      </c>
      <c r="J2556" s="2" t="s">
        <v>3891</v>
      </c>
      <c r="K2556" s="2" t="s">
        <v>3894</v>
      </c>
      <c r="L2556" s="2">
        <v>2024</v>
      </c>
      <c r="M2556" s="2">
        <v>149127</v>
      </c>
      <c r="N2556" s="2">
        <f xml:space="preserve"> (Table1[[#This Row],[Variance (USD)]] / Table1[[#This Row],[Actual Spending (USD)]]) * 100</f>
        <v>86.462965647195247</v>
      </c>
      <c r="O2556" s="5" t="s">
        <v>3899</v>
      </c>
    </row>
    <row r="2557" spans="1:15" x14ac:dyDescent="0.25">
      <c r="A2557" s="4" t="s">
        <v>2570</v>
      </c>
      <c r="B2557" s="2" t="s">
        <v>3274</v>
      </c>
      <c r="C2557" s="2" t="s">
        <v>3870</v>
      </c>
      <c r="D2557" s="2" t="s">
        <v>3883</v>
      </c>
      <c r="E2557" s="3">
        <v>45006</v>
      </c>
      <c r="F2557" s="3">
        <v>45690</v>
      </c>
      <c r="G2557" s="2" t="s">
        <v>3884</v>
      </c>
      <c r="H2557" s="2">
        <v>642769</v>
      </c>
      <c r="I2557" s="2">
        <v>614765</v>
      </c>
      <c r="J2557" s="2" t="s">
        <v>3890</v>
      </c>
      <c r="K2557" s="2" t="s">
        <v>3893</v>
      </c>
      <c r="L2557" s="2">
        <v>2023</v>
      </c>
      <c r="M2557" s="2">
        <v>28004</v>
      </c>
      <c r="N2557" s="2">
        <f xml:space="preserve"> (Table1[[#This Row],[Variance (USD)]] / Table1[[#This Row],[Actual Spending (USD)]]) * 100</f>
        <v>4.5552365538051118</v>
      </c>
      <c r="O2557" s="5" t="s">
        <v>3897</v>
      </c>
    </row>
    <row r="2558" spans="1:15" x14ac:dyDescent="0.25">
      <c r="A2558" s="4" t="s">
        <v>2571</v>
      </c>
      <c r="B2558" s="2" t="s">
        <v>3697</v>
      </c>
      <c r="C2558" s="2" t="s">
        <v>3875</v>
      </c>
      <c r="D2558" s="2" t="s">
        <v>3880</v>
      </c>
      <c r="E2558" s="3">
        <v>45279</v>
      </c>
      <c r="F2558" s="3">
        <v>45396</v>
      </c>
      <c r="G2558" s="2" t="s">
        <v>3885</v>
      </c>
      <c r="H2558" s="2">
        <v>649176</v>
      </c>
      <c r="I2558" s="2">
        <v>1047114</v>
      </c>
      <c r="J2558" s="2" t="s">
        <v>3889</v>
      </c>
      <c r="K2558" s="2" t="s">
        <v>3894</v>
      </c>
      <c r="L2558" s="2">
        <v>2025</v>
      </c>
      <c r="M2558" s="2">
        <v>-397938</v>
      </c>
      <c r="N2558" s="2">
        <f xml:space="preserve"> (Table1[[#This Row],[Variance (USD)]] / Table1[[#This Row],[Actual Spending (USD)]]) * 100</f>
        <v>-38.00331196030232</v>
      </c>
      <c r="O2558" s="5" t="s">
        <v>3898</v>
      </c>
    </row>
    <row r="2559" spans="1:15" x14ac:dyDescent="0.25">
      <c r="A2559" s="4" t="s">
        <v>2572</v>
      </c>
      <c r="B2559" s="2" t="s">
        <v>3258</v>
      </c>
      <c r="C2559" s="2" t="s">
        <v>3875</v>
      </c>
      <c r="D2559" s="2" t="s">
        <v>3880</v>
      </c>
      <c r="E2559" s="3">
        <v>45322</v>
      </c>
      <c r="F2559" s="3">
        <v>45987</v>
      </c>
      <c r="G2559" s="2" t="s">
        <v>3884</v>
      </c>
      <c r="H2559" s="2">
        <v>650310</v>
      </c>
      <c r="I2559" s="2">
        <v>916837</v>
      </c>
      <c r="J2559" s="2" t="s">
        <v>3892</v>
      </c>
      <c r="K2559" s="2" t="s">
        <v>3893</v>
      </c>
      <c r="L2559" s="2">
        <v>2023</v>
      </c>
      <c r="M2559" s="2">
        <v>-266527</v>
      </c>
      <c r="N2559" s="2">
        <f xml:space="preserve"> (Table1[[#This Row],[Variance (USD)]] / Table1[[#This Row],[Actual Spending (USD)]]) * 100</f>
        <v>-29.070270942381253</v>
      </c>
      <c r="O2559" s="5" t="s">
        <v>3897</v>
      </c>
    </row>
    <row r="2560" spans="1:15" x14ac:dyDescent="0.25">
      <c r="A2560" s="4" t="s">
        <v>2573</v>
      </c>
      <c r="B2560" s="2" t="s">
        <v>3744</v>
      </c>
      <c r="C2560" s="2" t="s">
        <v>3873</v>
      </c>
      <c r="D2560" s="2" t="s">
        <v>3883</v>
      </c>
      <c r="E2560" s="3">
        <v>45216</v>
      </c>
      <c r="F2560" s="3">
        <v>45621</v>
      </c>
      <c r="G2560" s="2" t="s">
        <v>3884</v>
      </c>
      <c r="H2560" s="2">
        <v>222472</v>
      </c>
      <c r="I2560" s="2">
        <v>515705</v>
      </c>
      <c r="J2560" s="2" t="s">
        <v>3891</v>
      </c>
      <c r="K2560" s="2" t="s">
        <v>3893</v>
      </c>
      <c r="L2560" s="2">
        <v>2025</v>
      </c>
      <c r="M2560" s="2">
        <v>-293233</v>
      </c>
      <c r="N2560" s="2">
        <f xml:space="preserve"> (Table1[[#This Row],[Variance (USD)]] / Table1[[#This Row],[Actual Spending (USD)]]) * 100</f>
        <v>-56.860608293501123</v>
      </c>
      <c r="O2560" s="5" t="s">
        <v>3897</v>
      </c>
    </row>
    <row r="2561" spans="1:15" x14ac:dyDescent="0.25">
      <c r="A2561" s="4" t="s">
        <v>2574</v>
      </c>
      <c r="B2561" s="2" t="s">
        <v>3772</v>
      </c>
      <c r="C2561" s="2" t="s">
        <v>3871</v>
      </c>
      <c r="D2561" s="2" t="s">
        <v>3877</v>
      </c>
      <c r="E2561" s="3">
        <v>45381</v>
      </c>
      <c r="F2561" s="3">
        <v>45951</v>
      </c>
      <c r="G2561" s="2" t="s">
        <v>3887</v>
      </c>
      <c r="H2561" s="2">
        <v>641916</v>
      </c>
      <c r="I2561" s="2">
        <v>348952</v>
      </c>
      <c r="J2561" s="2" t="s">
        <v>3891</v>
      </c>
      <c r="K2561" s="2" t="s">
        <v>3896</v>
      </c>
      <c r="L2561" s="2">
        <v>2024</v>
      </c>
      <c r="M2561" s="2">
        <v>292964</v>
      </c>
      <c r="N2561" s="2">
        <f xml:space="preserve"> (Table1[[#This Row],[Variance (USD)]] / Table1[[#This Row],[Actual Spending (USD)]]) * 100</f>
        <v>83.955386414177312</v>
      </c>
      <c r="O2561" s="5" t="s">
        <v>3900</v>
      </c>
    </row>
    <row r="2562" spans="1:15" x14ac:dyDescent="0.25">
      <c r="A2562" s="4" t="s">
        <v>2575</v>
      </c>
      <c r="B2562" s="2" t="s">
        <v>3756</v>
      </c>
      <c r="C2562" s="2" t="s">
        <v>3874</v>
      </c>
      <c r="D2562" s="2" t="s">
        <v>3880</v>
      </c>
      <c r="E2562" s="3">
        <v>45597</v>
      </c>
      <c r="F2562" s="3">
        <v>45908</v>
      </c>
      <c r="G2562" s="2" t="s">
        <v>3884</v>
      </c>
      <c r="H2562" s="2">
        <v>757217</v>
      </c>
      <c r="I2562" s="2">
        <v>1112156</v>
      </c>
      <c r="J2562" s="2" t="s">
        <v>3892</v>
      </c>
      <c r="K2562" s="2" t="s">
        <v>3896</v>
      </c>
      <c r="L2562" s="2">
        <v>2023</v>
      </c>
      <c r="M2562" s="2">
        <v>-354939</v>
      </c>
      <c r="N2562" s="2">
        <f xml:space="preserve"> (Table1[[#This Row],[Variance (USD)]] / Table1[[#This Row],[Actual Spending (USD)]]) * 100</f>
        <v>-31.914497606450894</v>
      </c>
      <c r="O2562" s="5" t="s">
        <v>3897</v>
      </c>
    </row>
    <row r="2563" spans="1:15" x14ac:dyDescent="0.25">
      <c r="A2563" s="4" t="s">
        <v>2576</v>
      </c>
      <c r="B2563" s="2" t="s">
        <v>3736</v>
      </c>
      <c r="C2563" s="2" t="s">
        <v>3874</v>
      </c>
      <c r="D2563" s="2" t="s">
        <v>3878</v>
      </c>
      <c r="E2563" s="3">
        <v>45054</v>
      </c>
      <c r="F2563" s="3">
        <v>45338</v>
      </c>
      <c r="G2563" s="2" t="s">
        <v>3886</v>
      </c>
      <c r="H2563" s="2">
        <v>217599</v>
      </c>
      <c r="I2563" s="2">
        <v>1004556</v>
      </c>
      <c r="J2563" s="2" t="s">
        <v>3891</v>
      </c>
      <c r="K2563" s="2" t="s">
        <v>3894</v>
      </c>
      <c r="L2563" s="2">
        <v>2023</v>
      </c>
      <c r="M2563" s="2">
        <v>-786957</v>
      </c>
      <c r="N2563" s="2">
        <f xml:space="preserve"> (Table1[[#This Row],[Variance (USD)]] / Table1[[#This Row],[Actual Spending (USD)]]) * 100</f>
        <v>-78.338788479686556</v>
      </c>
      <c r="O2563" s="5" t="s">
        <v>3899</v>
      </c>
    </row>
    <row r="2564" spans="1:15" x14ac:dyDescent="0.25">
      <c r="A2564" s="4" t="s">
        <v>2577</v>
      </c>
      <c r="B2564" s="2" t="s">
        <v>3845</v>
      </c>
      <c r="C2564" s="2" t="s">
        <v>3871</v>
      </c>
      <c r="D2564" s="2" t="s">
        <v>3882</v>
      </c>
      <c r="E2564" s="3">
        <v>45628</v>
      </c>
      <c r="F2564" s="3">
        <v>45890</v>
      </c>
      <c r="G2564" s="2" t="s">
        <v>3884</v>
      </c>
      <c r="H2564" s="2">
        <v>644936</v>
      </c>
      <c r="I2564" s="2">
        <v>153731</v>
      </c>
      <c r="J2564" s="2" t="s">
        <v>3888</v>
      </c>
      <c r="K2564" s="2" t="s">
        <v>3894</v>
      </c>
      <c r="L2564" s="2">
        <v>2023</v>
      </c>
      <c r="M2564" s="2">
        <v>491205</v>
      </c>
      <c r="N2564" s="2">
        <f xml:space="preserve"> (Table1[[#This Row],[Variance (USD)]] / Table1[[#This Row],[Actual Spending (USD)]]) * 100</f>
        <v>319.52241252577551</v>
      </c>
      <c r="O2564" s="5" t="s">
        <v>3897</v>
      </c>
    </row>
    <row r="2565" spans="1:15" x14ac:dyDescent="0.25">
      <c r="A2565" s="4" t="s">
        <v>2578</v>
      </c>
      <c r="B2565" s="2" t="s">
        <v>3488</v>
      </c>
      <c r="C2565" s="2" t="s">
        <v>3868</v>
      </c>
      <c r="D2565" s="2" t="s">
        <v>3877</v>
      </c>
      <c r="E2565" s="3">
        <v>45469</v>
      </c>
      <c r="F2565" s="3">
        <v>45932</v>
      </c>
      <c r="G2565" s="2" t="s">
        <v>3886</v>
      </c>
      <c r="H2565" s="2">
        <v>853369</v>
      </c>
      <c r="I2565" s="2">
        <v>384000</v>
      </c>
      <c r="J2565" s="2" t="s">
        <v>3892</v>
      </c>
      <c r="K2565" s="2" t="s">
        <v>3895</v>
      </c>
      <c r="L2565" s="2">
        <v>2024</v>
      </c>
      <c r="M2565" s="2">
        <v>469369</v>
      </c>
      <c r="N2565" s="2">
        <f xml:space="preserve"> (Table1[[#This Row],[Variance (USD)]] / Table1[[#This Row],[Actual Spending (USD)]]) * 100</f>
        <v>122.23151041666667</v>
      </c>
      <c r="O2565" s="5" t="s">
        <v>3899</v>
      </c>
    </row>
    <row r="2566" spans="1:15" x14ac:dyDescent="0.25">
      <c r="A2566" s="4" t="s">
        <v>2579</v>
      </c>
      <c r="B2566" s="2" t="s">
        <v>3803</v>
      </c>
      <c r="C2566" s="2" t="s">
        <v>3868</v>
      </c>
      <c r="D2566" s="2" t="s">
        <v>3881</v>
      </c>
      <c r="E2566" s="3">
        <v>45285</v>
      </c>
      <c r="F2566" s="3">
        <v>45605</v>
      </c>
      <c r="G2566" s="2" t="s">
        <v>3886</v>
      </c>
      <c r="H2566" s="2">
        <v>743032</v>
      </c>
      <c r="I2566" s="2">
        <v>72898</v>
      </c>
      <c r="J2566" s="2" t="s">
        <v>3889</v>
      </c>
      <c r="K2566" s="2" t="s">
        <v>3896</v>
      </c>
      <c r="L2566" s="2">
        <v>2025</v>
      </c>
      <c r="M2566" s="2">
        <v>670134</v>
      </c>
      <c r="N2566" s="2">
        <f xml:space="preserve"> (Table1[[#This Row],[Variance (USD)]] / Table1[[#This Row],[Actual Spending (USD)]]) * 100</f>
        <v>919.27624900545959</v>
      </c>
      <c r="O2566" s="5" t="s">
        <v>3899</v>
      </c>
    </row>
    <row r="2567" spans="1:15" x14ac:dyDescent="0.25">
      <c r="A2567" s="4" t="s">
        <v>2580</v>
      </c>
      <c r="B2567" s="2" t="s">
        <v>3768</v>
      </c>
      <c r="C2567" s="2" t="s">
        <v>3871</v>
      </c>
      <c r="D2567" s="2" t="s">
        <v>3883</v>
      </c>
      <c r="E2567" s="3">
        <v>45453</v>
      </c>
      <c r="F2567" s="3">
        <v>45438</v>
      </c>
      <c r="G2567" s="2" t="s">
        <v>3884</v>
      </c>
      <c r="H2567" s="2">
        <v>816922</v>
      </c>
      <c r="I2567" s="2">
        <v>1161366</v>
      </c>
      <c r="J2567" s="2" t="s">
        <v>3890</v>
      </c>
      <c r="K2567" s="2" t="s">
        <v>3894</v>
      </c>
      <c r="L2567" s="2">
        <v>2025</v>
      </c>
      <c r="M2567" s="2">
        <v>-344444</v>
      </c>
      <c r="N2567" s="2">
        <f xml:space="preserve"> (Table1[[#This Row],[Variance (USD)]] / Table1[[#This Row],[Actual Spending (USD)]]) * 100</f>
        <v>-29.65852280848587</v>
      </c>
      <c r="O2567" s="5" t="s">
        <v>3897</v>
      </c>
    </row>
    <row r="2568" spans="1:15" x14ac:dyDescent="0.25">
      <c r="A2568" s="4" t="s">
        <v>2581</v>
      </c>
      <c r="B2568" s="2" t="s">
        <v>3565</v>
      </c>
      <c r="C2568" s="2" t="s">
        <v>3872</v>
      </c>
      <c r="D2568" s="2" t="s">
        <v>3877</v>
      </c>
      <c r="E2568" s="3">
        <v>45239</v>
      </c>
      <c r="F2568" s="3">
        <v>45753</v>
      </c>
      <c r="G2568" s="2" t="s">
        <v>3885</v>
      </c>
      <c r="H2568" s="2">
        <v>575400</v>
      </c>
      <c r="I2568" s="2">
        <v>569515</v>
      </c>
      <c r="J2568" s="2" t="s">
        <v>3890</v>
      </c>
      <c r="K2568" s="2" t="s">
        <v>3896</v>
      </c>
      <c r="L2568" s="2">
        <v>2023</v>
      </c>
      <c r="M2568" s="2">
        <v>5885</v>
      </c>
      <c r="N2568" s="2">
        <f xml:space="preserve"> (Table1[[#This Row],[Variance (USD)]] / Table1[[#This Row],[Actual Spending (USD)]]) * 100</f>
        <v>1.0333353818600037</v>
      </c>
      <c r="O2568" s="5" t="s">
        <v>3898</v>
      </c>
    </row>
    <row r="2569" spans="1:15" x14ac:dyDescent="0.25">
      <c r="A2569" s="4" t="s">
        <v>2582</v>
      </c>
      <c r="B2569" s="2" t="s">
        <v>3457</v>
      </c>
      <c r="C2569" s="2" t="s">
        <v>3869</v>
      </c>
      <c r="D2569" s="2" t="s">
        <v>3879</v>
      </c>
      <c r="E2569" s="3">
        <v>45001</v>
      </c>
      <c r="F2569" s="3">
        <v>45875</v>
      </c>
      <c r="G2569" s="2" t="s">
        <v>3886</v>
      </c>
      <c r="H2569" s="2">
        <v>540492</v>
      </c>
      <c r="I2569" s="2">
        <v>391116</v>
      </c>
      <c r="J2569" s="2" t="s">
        <v>3892</v>
      </c>
      <c r="K2569" s="2" t="s">
        <v>3893</v>
      </c>
      <c r="L2569" s="2">
        <v>2024</v>
      </c>
      <c r="M2569" s="2">
        <v>149376</v>
      </c>
      <c r="N2569" s="2">
        <f xml:space="preserve"> (Table1[[#This Row],[Variance (USD)]] / Table1[[#This Row],[Actual Spending (USD)]]) * 100</f>
        <v>38.192249869603899</v>
      </c>
      <c r="O2569" s="5" t="s">
        <v>3899</v>
      </c>
    </row>
    <row r="2570" spans="1:15" x14ac:dyDescent="0.25">
      <c r="A2570" s="4" t="s">
        <v>2583</v>
      </c>
      <c r="B2570" s="2" t="s">
        <v>3482</v>
      </c>
      <c r="C2570" s="2" t="s">
        <v>3875</v>
      </c>
      <c r="D2570" s="2" t="s">
        <v>3882</v>
      </c>
      <c r="E2570" s="3">
        <v>45472</v>
      </c>
      <c r="F2570" s="3">
        <v>45777</v>
      </c>
      <c r="G2570" s="2" t="s">
        <v>3884</v>
      </c>
      <c r="H2570" s="2">
        <v>532233</v>
      </c>
      <c r="I2570" s="2">
        <v>481420</v>
      </c>
      <c r="J2570" s="2" t="s">
        <v>3888</v>
      </c>
      <c r="K2570" s="2" t="s">
        <v>3895</v>
      </c>
      <c r="L2570" s="2">
        <v>2025</v>
      </c>
      <c r="M2570" s="2">
        <v>50813</v>
      </c>
      <c r="N2570" s="2">
        <f xml:space="preserve"> (Table1[[#This Row],[Variance (USD)]] / Table1[[#This Row],[Actual Spending (USD)]]) * 100</f>
        <v>10.554816999709193</v>
      </c>
      <c r="O2570" s="5" t="s">
        <v>3897</v>
      </c>
    </row>
    <row r="2571" spans="1:15" x14ac:dyDescent="0.25">
      <c r="A2571" s="4" t="s">
        <v>2584</v>
      </c>
      <c r="B2571" s="2" t="s">
        <v>3495</v>
      </c>
      <c r="C2571" s="2" t="s">
        <v>3869</v>
      </c>
      <c r="D2571" s="2" t="s">
        <v>3877</v>
      </c>
      <c r="E2571" s="3">
        <v>45122</v>
      </c>
      <c r="F2571" s="3">
        <v>45943</v>
      </c>
      <c r="G2571" s="2" t="s">
        <v>3886</v>
      </c>
      <c r="H2571" s="2">
        <v>884787</v>
      </c>
      <c r="I2571" s="2">
        <v>431889</v>
      </c>
      <c r="J2571" s="2" t="s">
        <v>3889</v>
      </c>
      <c r="K2571" s="2" t="s">
        <v>3896</v>
      </c>
      <c r="L2571" s="2">
        <v>2025</v>
      </c>
      <c r="M2571" s="2">
        <v>452898</v>
      </c>
      <c r="N2571" s="2">
        <f xml:space="preserve"> (Table1[[#This Row],[Variance (USD)]] / Table1[[#This Row],[Actual Spending (USD)]]) * 100</f>
        <v>104.864444336392</v>
      </c>
      <c r="O2571" s="5" t="s">
        <v>3899</v>
      </c>
    </row>
    <row r="2572" spans="1:15" x14ac:dyDescent="0.25">
      <c r="A2572" s="4" t="s">
        <v>2585</v>
      </c>
      <c r="B2572" s="2" t="s">
        <v>3325</v>
      </c>
      <c r="C2572" s="2" t="s">
        <v>3875</v>
      </c>
      <c r="D2572" s="2" t="s">
        <v>3878</v>
      </c>
      <c r="E2572" s="3">
        <v>44955</v>
      </c>
      <c r="F2572" s="3">
        <v>45701</v>
      </c>
      <c r="G2572" s="2" t="s">
        <v>3886</v>
      </c>
      <c r="H2572" s="2">
        <v>125561</v>
      </c>
      <c r="I2572" s="2">
        <v>647690</v>
      </c>
      <c r="J2572" s="2" t="s">
        <v>3890</v>
      </c>
      <c r="K2572" s="2" t="s">
        <v>3896</v>
      </c>
      <c r="L2572" s="2">
        <v>2025</v>
      </c>
      <c r="M2572" s="2">
        <v>-522129</v>
      </c>
      <c r="N2572" s="2">
        <f xml:space="preserve"> (Table1[[#This Row],[Variance (USD)]] / Table1[[#This Row],[Actual Spending (USD)]]) * 100</f>
        <v>-80.614028316015379</v>
      </c>
      <c r="O2572" s="5" t="s">
        <v>3899</v>
      </c>
    </row>
    <row r="2573" spans="1:15" x14ac:dyDescent="0.25">
      <c r="A2573" s="4" t="s">
        <v>2586</v>
      </c>
      <c r="B2573" s="2" t="s">
        <v>3027</v>
      </c>
      <c r="C2573" s="2" t="s">
        <v>3871</v>
      </c>
      <c r="D2573" s="2" t="s">
        <v>3882</v>
      </c>
      <c r="E2573" s="3">
        <v>45632</v>
      </c>
      <c r="F2573" s="3">
        <v>45318</v>
      </c>
      <c r="G2573" s="2" t="s">
        <v>3884</v>
      </c>
      <c r="H2573" s="2">
        <v>215154</v>
      </c>
      <c r="I2573" s="2">
        <v>852590</v>
      </c>
      <c r="J2573" s="2" t="s">
        <v>3890</v>
      </c>
      <c r="K2573" s="2" t="s">
        <v>3896</v>
      </c>
      <c r="L2573" s="2">
        <v>2025</v>
      </c>
      <c r="M2573" s="2">
        <v>-637436</v>
      </c>
      <c r="N2573" s="2">
        <f xml:space="preserve"> (Table1[[#This Row],[Variance (USD)]] / Table1[[#This Row],[Actual Spending (USD)]]) * 100</f>
        <v>-74.764658276545575</v>
      </c>
      <c r="O2573" s="5" t="s">
        <v>3897</v>
      </c>
    </row>
    <row r="2574" spans="1:15" x14ac:dyDescent="0.25">
      <c r="A2574" s="4" t="s">
        <v>2587</v>
      </c>
      <c r="B2574" s="2" t="s">
        <v>3276</v>
      </c>
      <c r="C2574" s="2" t="s">
        <v>3868</v>
      </c>
      <c r="D2574" s="2" t="s">
        <v>3879</v>
      </c>
      <c r="E2574" s="3">
        <v>44942</v>
      </c>
      <c r="F2574" s="3">
        <v>45320</v>
      </c>
      <c r="G2574" s="2" t="s">
        <v>3884</v>
      </c>
      <c r="H2574" s="2">
        <v>692469</v>
      </c>
      <c r="I2574" s="2">
        <v>498205</v>
      </c>
      <c r="J2574" s="2" t="s">
        <v>3888</v>
      </c>
      <c r="K2574" s="2" t="s">
        <v>3896</v>
      </c>
      <c r="L2574" s="2">
        <v>2025</v>
      </c>
      <c r="M2574" s="2">
        <v>194264</v>
      </c>
      <c r="N2574" s="2">
        <f xml:space="preserve"> (Table1[[#This Row],[Variance (USD)]] / Table1[[#This Row],[Actual Spending (USD)]]) * 100</f>
        <v>38.992784094900692</v>
      </c>
      <c r="O2574" s="5" t="s">
        <v>3897</v>
      </c>
    </row>
    <row r="2575" spans="1:15" x14ac:dyDescent="0.25">
      <c r="A2575" s="4" t="s">
        <v>2588</v>
      </c>
      <c r="B2575" s="2" t="s">
        <v>3038</v>
      </c>
      <c r="C2575" s="2" t="s">
        <v>3872</v>
      </c>
      <c r="D2575" s="2" t="s">
        <v>3876</v>
      </c>
      <c r="E2575" s="3">
        <v>45349</v>
      </c>
      <c r="F2575" s="3">
        <v>45562</v>
      </c>
      <c r="G2575" s="2" t="s">
        <v>3884</v>
      </c>
      <c r="H2575" s="2">
        <v>634770</v>
      </c>
      <c r="I2575" s="2">
        <v>700756</v>
      </c>
      <c r="J2575" s="2" t="s">
        <v>3891</v>
      </c>
      <c r="K2575" s="2" t="s">
        <v>3894</v>
      </c>
      <c r="L2575" s="2">
        <v>2023</v>
      </c>
      <c r="M2575" s="2">
        <v>-65986</v>
      </c>
      <c r="N2575" s="2">
        <f xml:space="preserve"> (Table1[[#This Row],[Variance (USD)]] / Table1[[#This Row],[Actual Spending (USD)]]) * 100</f>
        <v>-9.416401714719532</v>
      </c>
      <c r="O2575" s="5" t="s">
        <v>3897</v>
      </c>
    </row>
    <row r="2576" spans="1:15" x14ac:dyDescent="0.25">
      <c r="A2576" s="4" t="s">
        <v>2589</v>
      </c>
      <c r="B2576" s="2" t="s">
        <v>3099</v>
      </c>
      <c r="C2576" s="2" t="s">
        <v>3868</v>
      </c>
      <c r="D2576" s="2" t="s">
        <v>3883</v>
      </c>
      <c r="E2576" s="3">
        <v>45515</v>
      </c>
      <c r="F2576" s="3">
        <v>45977</v>
      </c>
      <c r="G2576" s="2" t="s">
        <v>3884</v>
      </c>
      <c r="H2576" s="2">
        <v>653386</v>
      </c>
      <c r="I2576" s="2">
        <v>1070486</v>
      </c>
      <c r="J2576" s="2" t="s">
        <v>3892</v>
      </c>
      <c r="K2576" s="2" t="s">
        <v>3894</v>
      </c>
      <c r="L2576" s="2">
        <v>2023</v>
      </c>
      <c r="M2576" s="2">
        <v>-417100</v>
      </c>
      <c r="N2576" s="2">
        <f xml:space="preserve"> (Table1[[#This Row],[Variance (USD)]] / Table1[[#This Row],[Actual Spending (USD)]]) * 100</f>
        <v>-38.963610920647255</v>
      </c>
      <c r="O2576" s="5" t="s">
        <v>3897</v>
      </c>
    </row>
    <row r="2577" spans="1:15" x14ac:dyDescent="0.25">
      <c r="A2577" s="4" t="s">
        <v>2590</v>
      </c>
      <c r="B2577" s="2" t="s">
        <v>3086</v>
      </c>
      <c r="C2577" s="2" t="s">
        <v>3869</v>
      </c>
      <c r="D2577" s="2" t="s">
        <v>3882</v>
      </c>
      <c r="E2577" s="3">
        <v>45519</v>
      </c>
      <c r="F2577" s="3">
        <v>45792</v>
      </c>
      <c r="G2577" s="2" t="s">
        <v>3886</v>
      </c>
      <c r="H2577" s="2">
        <v>454520</v>
      </c>
      <c r="I2577" s="2">
        <v>254978</v>
      </c>
      <c r="J2577" s="2" t="s">
        <v>3888</v>
      </c>
      <c r="K2577" s="2" t="s">
        <v>3895</v>
      </c>
      <c r="L2577" s="2">
        <v>2023</v>
      </c>
      <c r="M2577" s="2">
        <v>199542</v>
      </c>
      <c r="N2577" s="2">
        <f xml:space="preserve"> (Table1[[#This Row],[Variance (USD)]] / Table1[[#This Row],[Actual Spending (USD)]]) * 100</f>
        <v>78.258516421024567</v>
      </c>
      <c r="O2577" s="5" t="s">
        <v>3899</v>
      </c>
    </row>
    <row r="2578" spans="1:15" x14ac:dyDescent="0.25">
      <c r="A2578" s="4" t="s">
        <v>2591</v>
      </c>
      <c r="B2578" s="2" t="s">
        <v>3075</v>
      </c>
      <c r="C2578" s="2" t="s">
        <v>3868</v>
      </c>
      <c r="D2578" s="2" t="s">
        <v>3883</v>
      </c>
      <c r="E2578" s="3">
        <v>45331</v>
      </c>
      <c r="F2578" s="3">
        <v>45544</v>
      </c>
      <c r="G2578" s="2" t="s">
        <v>3884</v>
      </c>
      <c r="H2578" s="2">
        <v>959410</v>
      </c>
      <c r="I2578" s="2">
        <v>1166045</v>
      </c>
      <c r="J2578" s="2" t="s">
        <v>3888</v>
      </c>
      <c r="K2578" s="2" t="s">
        <v>3893</v>
      </c>
      <c r="L2578" s="2">
        <v>2025</v>
      </c>
      <c r="M2578" s="2">
        <v>-206635</v>
      </c>
      <c r="N2578" s="2">
        <f xml:space="preserve"> (Table1[[#This Row],[Variance (USD)]] / Table1[[#This Row],[Actual Spending (USD)]]) * 100</f>
        <v>-17.721014197565275</v>
      </c>
      <c r="O2578" s="5" t="s">
        <v>3897</v>
      </c>
    </row>
    <row r="2579" spans="1:15" x14ac:dyDescent="0.25">
      <c r="A2579" s="4" t="s">
        <v>2592</v>
      </c>
      <c r="B2579" s="2" t="s">
        <v>3116</v>
      </c>
      <c r="C2579" s="2" t="s">
        <v>3871</v>
      </c>
      <c r="D2579" s="2" t="s">
        <v>3877</v>
      </c>
      <c r="E2579" s="3">
        <v>45562</v>
      </c>
      <c r="F2579" s="3">
        <v>45676</v>
      </c>
      <c r="G2579" s="2" t="s">
        <v>3885</v>
      </c>
      <c r="H2579" s="2">
        <v>106625</v>
      </c>
      <c r="I2579" s="2">
        <v>389140</v>
      </c>
      <c r="J2579" s="2" t="s">
        <v>3888</v>
      </c>
      <c r="K2579" s="2" t="s">
        <v>3893</v>
      </c>
      <c r="L2579" s="2">
        <v>2025</v>
      </c>
      <c r="M2579" s="2">
        <v>-282515</v>
      </c>
      <c r="N2579" s="2">
        <f xml:space="preserve"> (Table1[[#This Row],[Variance (USD)]] / Table1[[#This Row],[Actual Spending (USD)]]) * 100</f>
        <v>-72.599835534768971</v>
      </c>
      <c r="O2579" s="5" t="s">
        <v>3898</v>
      </c>
    </row>
    <row r="2580" spans="1:15" x14ac:dyDescent="0.25">
      <c r="A2580" s="4" t="s">
        <v>2593</v>
      </c>
      <c r="B2580" s="2" t="s">
        <v>3190</v>
      </c>
      <c r="C2580" s="2" t="s">
        <v>3872</v>
      </c>
      <c r="D2580" s="2" t="s">
        <v>3880</v>
      </c>
      <c r="E2580" s="3">
        <v>45457</v>
      </c>
      <c r="F2580" s="3">
        <v>45351</v>
      </c>
      <c r="G2580" s="2" t="s">
        <v>3884</v>
      </c>
      <c r="H2580" s="2">
        <v>436503</v>
      </c>
      <c r="I2580" s="2">
        <v>57268</v>
      </c>
      <c r="J2580" s="2" t="s">
        <v>3888</v>
      </c>
      <c r="K2580" s="2" t="s">
        <v>3895</v>
      </c>
      <c r="L2580" s="2">
        <v>2025</v>
      </c>
      <c r="M2580" s="2">
        <v>379235</v>
      </c>
      <c r="N2580" s="2">
        <f xml:space="preserve"> (Table1[[#This Row],[Variance (USD)]] / Table1[[#This Row],[Actual Spending (USD)]]) * 100</f>
        <v>662.21100789271497</v>
      </c>
      <c r="O2580" s="5" t="s">
        <v>3897</v>
      </c>
    </row>
    <row r="2581" spans="1:15" x14ac:dyDescent="0.25">
      <c r="A2581" s="4" t="s">
        <v>2594</v>
      </c>
      <c r="B2581" s="2" t="s">
        <v>3132</v>
      </c>
      <c r="C2581" s="2" t="s">
        <v>3869</v>
      </c>
      <c r="D2581" s="2" t="s">
        <v>3879</v>
      </c>
      <c r="E2581" s="3">
        <v>45540</v>
      </c>
      <c r="F2581" s="3">
        <v>45398</v>
      </c>
      <c r="G2581" s="2" t="s">
        <v>3884</v>
      </c>
      <c r="H2581" s="2">
        <v>383390</v>
      </c>
      <c r="I2581" s="2">
        <v>94636</v>
      </c>
      <c r="J2581" s="2" t="s">
        <v>3891</v>
      </c>
      <c r="K2581" s="2" t="s">
        <v>3893</v>
      </c>
      <c r="L2581" s="2">
        <v>2023</v>
      </c>
      <c r="M2581" s="2">
        <v>288754</v>
      </c>
      <c r="N2581" s="2">
        <f xml:space="preserve"> (Table1[[#This Row],[Variance (USD)]] / Table1[[#This Row],[Actual Spending (USD)]]) * 100</f>
        <v>305.12067289403609</v>
      </c>
      <c r="O2581" s="5" t="s">
        <v>3897</v>
      </c>
    </row>
    <row r="2582" spans="1:15" x14ac:dyDescent="0.25">
      <c r="A2582" s="4" t="s">
        <v>2595</v>
      </c>
      <c r="B2582" s="2" t="s">
        <v>3426</v>
      </c>
      <c r="C2582" s="2" t="s">
        <v>3872</v>
      </c>
      <c r="D2582" s="2" t="s">
        <v>3876</v>
      </c>
      <c r="E2582" s="3">
        <v>45003</v>
      </c>
      <c r="F2582" s="3">
        <v>45511</v>
      </c>
      <c r="G2582" s="2" t="s">
        <v>3886</v>
      </c>
      <c r="H2582" s="2">
        <v>324732</v>
      </c>
      <c r="I2582" s="2">
        <v>975751</v>
      </c>
      <c r="J2582" s="2" t="s">
        <v>3889</v>
      </c>
      <c r="K2582" s="2" t="s">
        <v>3894</v>
      </c>
      <c r="L2582" s="2">
        <v>2025</v>
      </c>
      <c r="M2582" s="2">
        <v>-651019</v>
      </c>
      <c r="N2582" s="2">
        <f xml:space="preserve"> (Table1[[#This Row],[Variance (USD)]] / Table1[[#This Row],[Actual Spending (USD)]]) * 100</f>
        <v>-66.719788142671646</v>
      </c>
      <c r="O2582" s="5" t="s">
        <v>3899</v>
      </c>
    </row>
    <row r="2583" spans="1:15" x14ac:dyDescent="0.25">
      <c r="A2583" s="4" t="s">
        <v>2596</v>
      </c>
      <c r="B2583" s="2" t="s">
        <v>3272</v>
      </c>
      <c r="C2583" s="2" t="s">
        <v>3874</v>
      </c>
      <c r="D2583" s="2" t="s">
        <v>3879</v>
      </c>
      <c r="E2583" s="3">
        <v>45155</v>
      </c>
      <c r="F2583" s="3">
        <v>45732</v>
      </c>
      <c r="G2583" s="2" t="s">
        <v>3884</v>
      </c>
      <c r="H2583" s="2">
        <v>952342</v>
      </c>
      <c r="I2583" s="2">
        <v>415905</v>
      </c>
      <c r="J2583" s="2" t="s">
        <v>3888</v>
      </c>
      <c r="K2583" s="2" t="s">
        <v>3896</v>
      </c>
      <c r="L2583" s="2">
        <v>2023</v>
      </c>
      <c r="M2583" s="2">
        <v>536437</v>
      </c>
      <c r="N2583" s="2">
        <f xml:space="preserve"> (Table1[[#This Row],[Variance (USD)]] / Table1[[#This Row],[Actual Spending (USD)]]) * 100</f>
        <v>128.98065664033854</v>
      </c>
      <c r="O2583" s="5" t="s">
        <v>3897</v>
      </c>
    </row>
    <row r="2584" spans="1:15" x14ac:dyDescent="0.25">
      <c r="A2584" s="4" t="s">
        <v>2597</v>
      </c>
      <c r="B2584" s="2" t="s">
        <v>3377</v>
      </c>
      <c r="C2584" s="2" t="s">
        <v>3875</v>
      </c>
      <c r="D2584" s="2" t="s">
        <v>3883</v>
      </c>
      <c r="E2584" s="3">
        <v>45223</v>
      </c>
      <c r="F2584" s="3">
        <v>45949</v>
      </c>
      <c r="G2584" s="2" t="s">
        <v>3884</v>
      </c>
      <c r="H2584" s="2">
        <v>178658</v>
      </c>
      <c r="I2584" s="2">
        <v>832717</v>
      </c>
      <c r="J2584" s="2" t="s">
        <v>3888</v>
      </c>
      <c r="K2584" s="2" t="s">
        <v>3893</v>
      </c>
      <c r="L2584" s="2">
        <v>2025</v>
      </c>
      <c r="M2584" s="2">
        <v>-654059</v>
      </c>
      <c r="N2584" s="2">
        <f xml:space="preserve"> (Table1[[#This Row],[Variance (USD)]] / Table1[[#This Row],[Actual Spending (USD)]]) * 100</f>
        <v>-78.545172009218021</v>
      </c>
      <c r="O2584" s="5" t="s">
        <v>3897</v>
      </c>
    </row>
    <row r="2585" spans="1:15" x14ac:dyDescent="0.25">
      <c r="A2585" s="4" t="s">
        <v>2598</v>
      </c>
      <c r="B2585" s="2" t="s">
        <v>3369</v>
      </c>
      <c r="C2585" s="2" t="s">
        <v>3868</v>
      </c>
      <c r="D2585" s="2" t="s">
        <v>3879</v>
      </c>
      <c r="E2585" s="3">
        <v>45436</v>
      </c>
      <c r="F2585" s="3">
        <v>45855</v>
      </c>
      <c r="G2585" s="2" t="s">
        <v>3884</v>
      </c>
      <c r="H2585" s="2">
        <v>595255</v>
      </c>
      <c r="I2585" s="2">
        <v>247975</v>
      </c>
      <c r="J2585" s="2" t="s">
        <v>3892</v>
      </c>
      <c r="K2585" s="2" t="s">
        <v>3896</v>
      </c>
      <c r="L2585" s="2">
        <v>2023</v>
      </c>
      <c r="M2585" s="2">
        <v>347280</v>
      </c>
      <c r="N2585" s="2">
        <f xml:space="preserve"> (Table1[[#This Row],[Variance (USD)]] / Table1[[#This Row],[Actual Spending (USD)]]) * 100</f>
        <v>140.04637564270593</v>
      </c>
      <c r="O2585" s="5" t="s">
        <v>3897</v>
      </c>
    </row>
    <row r="2586" spans="1:15" x14ac:dyDescent="0.25">
      <c r="A2586" s="4" t="s">
        <v>2599</v>
      </c>
      <c r="B2586" s="2" t="s">
        <v>3462</v>
      </c>
      <c r="C2586" s="2" t="s">
        <v>3872</v>
      </c>
      <c r="D2586" s="2" t="s">
        <v>3876</v>
      </c>
      <c r="E2586" s="3">
        <v>45641</v>
      </c>
      <c r="F2586" s="3">
        <v>45863</v>
      </c>
      <c r="G2586" s="2" t="s">
        <v>3884</v>
      </c>
      <c r="H2586" s="2">
        <v>442297</v>
      </c>
      <c r="I2586" s="2">
        <v>551471</v>
      </c>
      <c r="J2586" s="2" t="s">
        <v>3890</v>
      </c>
      <c r="K2586" s="2" t="s">
        <v>3896</v>
      </c>
      <c r="L2586" s="2">
        <v>2024</v>
      </c>
      <c r="M2586" s="2">
        <v>-109174</v>
      </c>
      <c r="N2586" s="2">
        <f xml:space="preserve"> (Table1[[#This Row],[Variance (USD)]] / Table1[[#This Row],[Actual Spending (USD)]]) * 100</f>
        <v>-19.796870551669986</v>
      </c>
      <c r="O2586" s="5" t="s">
        <v>3897</v>
      </c>
    </row>
    <row r="2587" spans="1:15" x14ac:dyDescent="0.25">
      <c r="A2587" s="4" t="s">
        <v>2600</v>
      </c>
      <c r="B2587" s="2" t="s">
        <v>3208</v>
      </c>
      <c r="C2587" s="2" t="s">
        <v>3873</v>
      </c>
      <c r="D2587" s="2" t="s">
        <v>3880</v>
      </c>
      <c r="E2587" s="3">
        <v>45499</v>
      </c>
      <c r="F2587" s="3">
        <v>45837</v>
      </c>
      <c r="G2587" s="2" t="s">
        <v>3884</v>
      </c>
      <c r="H2587" s="2">
        <v>336400</v>
      </c>
      <c r="I2587" s="2">
        <v>1102712</v>
      </c>
      <c r="J2587" s="2" t="s">
        <v>3891</v>
      </c>
      <c r="K2587" s="2" t="s">
        <v>3894</v>
      </c>
      <c r="L2587" s="2">
        <v>2025</v>
      </c>
      <c r="M2587" s="2">
        <v>-766312</v>
      </c>
      <c r="N2587" s="2">
        <f xml:space="preserve"> (Table1[[#This Row],[Variance (USD)]] / Table1[[#This Row],[Actual Spending (USD)]]) * 100</f>
        <v>-69.493394467458415</v>
      </c>
      <c r="O2587" s="5" t="s">
        <v>3897</v>
      </c>
    </row>
    <row r="2588" spans="1:15" x14ac:dyDescent="0.25">
      <c r="A2588" s="4" t="s">
        <v>2601</v>
      </c>
      <c r="B2588" s="2" t="s">
        <v>3453</v>
      </c>
      <c r="C2588" s="2" t="s">
        <v>3874</v>
      </c>
      <c r="D2588" s="2" t="s">
        <v>3877</v>
      </c>
      <c r="E2588" s="3">
        <v>45464</v>
      </c>
      <c r="F2588" s="3">
        <v>45387</v>
      </c>
      <c r="G2588" s="2" t="s">
        <v>3887</v>
      </c>
      <c r="H2588" s="2">
        <v>763708</v>
      </c>
      <c r="I2588" s="2">
        <v>1007882</v>
      </c>
      <c r="J2588" s="2" t="s">
        <v>3888</v>
      </c>
      <c r="K2588" s="2" t="s">
        <v>3896</v>
      </c>
      <c r="L2588" s="2">
        <v>2025</v>
      </c>
      <c r="M2588" s="2">
        <v>-244174</v>
      </c>
      <c r="N2588" s="2">
        <f xml:space="preserve"> (Table1[[#This Row],[Variance (USD)]] / Table1[[#This Row],[Actual Spending (USD)]]) * 100</f>
        <v>-24.226447143614035</v>
      </c>
      <c r="O2588" s="5" t="s">
        <v>3900</v>
      </c>
    </row>
    <row r="2589" spans="1:15" x14ac:dyDescent="0.25">
      <c r="A2589" s="4" t="s">
        <v>2602</v>
      </c>
      <c r="B2589" s="2" t="s">
        <v>3387</v>
      </c>
      <c r="C2589" s="2" t="s">
        <v>3868</v>
      </c>
      <c r="D2589" s="2" t="s">
        <v>3878</v>
      </c>
      <c r="E2589" s="3">
        <v>45509</v>
      </c>
      <c r="F2589" s="3">
        <v>45380</v>
      </c>
      <c r="G2589" s="2" t="s">
        <v>3884</v>
      </c>
      <c r="H2589" s="2">
        <v>992556</v>
      </c>
      <c r="I2589" s="2">
        <v>573249</v>
      </c>
      <c r="J2589" s="2" t="s">
        <v>3889</v>
      </c>
      <c r="K2589" s="2" t="s">
        <v>3893</v>
      </c>
      <c r="L2589" s="2">
        <v>2023</v>
      </c>
      <c r="M2589" s="2">
        <v>419307</v>
      </c>
      <c r="N2589" s="2">
        <f xml:space="preserve"> (Table1[[#This Row],[Variance (USD)]] / Table1[[#This Row],[Actual Spending (USD)]]) * 100</f>
        <v>73.145701082775545</v>
      </c>
      <c r="O2589" s="5" t="s">
        <v>3897</v>
      </c>
    </row>
    <row r="2590" spans="1:15" x14ac:dyDescent="0.25">
      <c r="A2590" s="4" t="s">
        <v>2603</v>
      </c>
      <c r="B2590" s="2" t="s">
        <v>3242</v>
      </c>
      <c r="C2590" s="2" t="s">
        <v>3875</v>
      </c>
      <c r="D2590" s="2" t="s">
        <v>3879</v>
      </c>
      <c r="E2590" s="3">
        <v>45541</v>
      </c>
      <c r="F2590" s="3">
        <v>45522</v>
      </c>
      <c r="G2590" s="2" t="s">
        <v>3885</v>
      </c>
      <c r="H2590" s="2">
        <v>964553</v>
      </c>
      <c r="I2590" s="2">
        <v>367553</v>
      </c>
      <c r="J2590" s="2" t="s">
        <v>3889</v>
      </c>
      <c r="K2590" s="2" t="s">
        <v>3894</v>
      </c>
      <c r="L2590" s="2">
        <v>2025</v>
      </c>
      <c r="M2590" s="2">
        <v>597000</v>
      </c>
      <c r="N2590" s="2">
        <f xml:space="preserve"> (Table1[[#This Row],[Variance (USD)]] / Table1[[#This Row],[Actual Spending (USD)]]) * 100</f>
        <v>162.42555495397943</v>
      </c>
      <c r="O2590" s="5" t="s">
        <v>3898</v>
      </c>
    </row>
    <row r="2591" spans="1:15" x14ac:dyDescent="0.25">
      <c r="A2591" s="4" t="s">
        <v>2604</v>
      </c>
      <c r="B2591" s="2" t="s">
        <v>3232</v>
      </c>
      <c r="C2591" s="2" t="s">
        <v>3872</v>
      </c>
      <c r="D2591" s="2" t="s">
        <v>3882</v>
      </c>
      <c r="E2591" s="3">
        <v>45252</v>
      </c>
      <c r="F2591" s="3">
        <v>45566</v>
      </c>
      <c r="G2591" s="2" t="s">
        <v>3886</v>
      </c>
      <c r="H2591" s="2">
        <v>786332</v>
      </c>
      <c r="I2591" s="2">
        <v>134249</v>
      </c>
      <c r="J2591" s="2" t="s">
        <v>3889</v>
      </c>
      <c r="K2591" s="2" t="s">
        <v>3895</v>
      </c>
      <c r="L2591" s="2">
        <v>2023</v>
      </c>
      <c r="M2591" s="2">
        <v>652083</v>
      </c>
      <c r="N2591" s="2">
        <f xml:space="preserve"> (Table1[[#This Row],[Variance (USD)]] / Table1[[#This Row],[Actual Spending (USD)]]) * 100</f>
        <v>485.72652310259292</v>
      </c>
      <c r="O2591" s="5" t="s">
        <v>3899</v>
      </c>
    </row>
    <row r="2592" spans="1:15" x14ac:dyDescent="0.25">
      <c r="A2592" s="4" t="s">
        <v>2605</v>
      </c>
      <c r="B2592" s="2" t="s">
        <v>3680</v>
      </c>
      <c r="C2592" s="2" t="s">
        <v>3869</v>
      </c>
      <c r="D2592" s="2" t="s">
        <v>3878</v>
      </c>
      <c r="E2592" s="3">
        <v>45289</v>
      </c>
      <c r="F2592" s="3">
        <v>45537</v>
      </c>
      <c r="G2592" s="2" t="s">
        <v>3884</v>
      </c>
      <c r="H2592" s="2">
        <v>792711</v>
      </c>
      <c r="I2592" s="2">
        <v>1104428</v>
      </c>
      <c r="J2592" s="2" t="s">
        <v>3892</v>
      </c>
      <c r="K2592" s="2" t="s">
        <v>3894</v>
      </c>
      <c r="L2592" s="2">
        <v>2023</v>
      </c>
      <c r="M2592" s="2">
        <v>-311717</v>
      </c>
      <c r="N2592" s="2">
        <f xml:space="preserve"> (Table1[[#This Row],[Variance (USD)]] / Table1[[#This Row],[Actual Spending (USD)]]) * 100</f>
        <v>-28.224293480426066</v>
      </c>
      <c r="O2592" s="5" t="s">
        <v>3897</v>
      </c>
    </row>
    <row r="2593" spans="1:15" x14ac:dyDescent="0.25">
      <c r="A2593" s="4" t="s">
        <v>2606</v>
      </c>
      <c r="B2593" s="2" t="s">
        <v>3772</v>
      </c>
      <c r="C2593" s="2" t="s">
        <v>3875</v>
      </c>
      <c r="D2593" s="2" t="s">
        <v>3883</v>
      </c>
      <c r="E2593" s="3">
        <v>45595</v>
      </c>
      <c r="F2593" s="3">
        <v>45402</v>
      </c>
      <c r="G2593" s="2" t="s">
        <v>3884</v>
      </c>
      <c r="H2593" s="2">
        <v>763839</v>
      </c>
      <c r="I2593" s="2">
        <v>1116111</v>
      </c>
      <c r="J2593" s="2" t="s">
        <v>3889</v>
      </c>
      <c r="K2593" s="2" t="s">
        <v>3893</v>
      </c>
      <c r="L2593" s="2">
        <v>2024</v>
      </c>
      <c r="M2593" s="2">
        <v>-352272</v>
      </c>
      <c r="N2593" s="2">
        <f xml:space="preserve"> (Table1[[#This Row],[Variance (USD)]] / Table1[[#This Row],[Actual Spending (USD)]]) * 100</f>
        <v>-31.562452121697572</v>
      </c>
      <c r="O2593" s="5" t="s">
        <v>3897</v>
      </c>
    </row>
    <row r="2594" spans="1:15" x14ac:dyDescent="0.25">
      <c r="A2594" s="4" t="s">
        <v>2607</v>
      </c>
      <c r="B2594" s="2" t="s">
        <v>3799</v>
      </c>
      <c r="C2594" s="2" t="s">
        <v>3873</v>
      </c>
      <c r="D2594" s="2" t="s">
        <v>3877</v>
      </c>
      <c r="E2594" s="3">
        <v>45285</v>
      </c>
      <c r="F2594" s="3">
        <v>45525</v>
      </c>
      <c r="G2594" s="2" t="s">
        <v>3885</v>
      </c>
      <c r="H2594" s="2">
        <v>917164</v>
      </c>
      <c r="I2594" s="2">
        <v>659201</v>
      </c>
      <c r="J2594" s="2" t="s">
        <v>3892</v>
      </c>
      <c r="K2594" s="2" t="s">
        <v>3894</v>
      </c>
      <c r="L2594" s="2">
        <v>2024</v>
      </c>
      <c r="M2594" s="2">
        <v>257963</v>
      </c>
      <c r="N2594" s="2">
        <f xml:space="preserve"> (Table1[[#This Row],[Variance (USD)]] / Table1[[#This Row],[Actual Spending (USD)]]) * 100</f>
        <v>39.132677286593918</v>
      </c>
      <c r="O2594" s="5" t="s">
        <v>3898</v>
      </c>
    </row>
    <row r="2595" spans="1:15" x14ac:dyDescent="0.25">
      <c r="A2595" s="4" t="s">
        <v>2608</v>
      </c>
      <c r="B2595" s="2" t="s">
        <v>3366</v>
      </c>
      <c r="C2595" s="2" t="s">
        <v>3872</v>
      </c>
      <c r="D2595" s="2" t="s">
        <v>3881</v>
      </c>
      <c r="E2595" s="3">
        <v>45632</v>
      </c>
      <c r="F2595" s="3">
        <v>45569</v>
      </c>
      <c r="G2595" s="2" t="s">
        <v>3885</v>
      </c>
      <c r="H2595" s="2">
        <v>503416</v>
      </c>
      <c r="I2595" s="2">
        <v>37131</v>
      </c>
      <c r="J2595" s="2" t="s">
        <v>3891</v>
      </c>
      <c r="K2595" s="2" t="s">
        <v>3893</v>
      </c>
      <c r="L2595" s="2">
        <v>2025</v>
      </c>
      <c r="M2595" s="2">
        <v>466285</v>
      </c>
      <c r="N2595" s="2">
        <f xml:space="preserve"> (Table1[[#This Row],[Variance (USD)]] / Table1[[#This Row],[Actual Spending (USD)]]) * 100</f>
        <v>1255.783577064986</v>
      </c>
      <c r="O2595" s="5" t="s">
        <v>3898</v>
      </c>
    </row>
    <row r="2596" spans="1:15" x14ac:dyDescent="0.25">
      <c r="A2596" s="4" t="s">
        <v>2609</v>
      </c>
      <c r="B2596" s="2" t="s">
        <v>3713</v>
      </c>
      <c r="C2596" s="2" t="s">
        <v>3870</v>
      </c>
      <c r="D2596" s="2" t="s">
        <v>3877</v>
      </c>
      <c r="E2596" s="3">
        <v>45250</v>
      </c>
      <c r="F2596" s="3">
        <v>45768</v>
      </c>
      <c r="G2596" s="2" t="s">
        <v>3884</v>
      </c>
      <c r="H2596" s="2">
        <v>788985</v>
      </c>
      <c r="I2596" s="2">
        <v>768592</v>
      </c>
      <c r="J2596" s="2" t="s">
        <v>3889</v>
      </c>
      <c r="K2596" s="2" t="s">
        <v>3893</v>
      </c>
      <c r="L2596" s="2">
        <v>2025</v>
      </c>
      <c r="M2596" s="2">
        <v>20393</v>
      </c>
      <c r="N2596" s="2">
        <f xml:space="preserve"> (Table1[[#This Row],[Variance (USD)]] / Table1[[#This Row],[Actual Spending (USD)]]) * 100</f>
        <v>2.6532932947519621</v>
      </c>
      <c r="O2596" s="5" t="s">
        <v>3897</v>
      </c>
    </row>
    <row r="2597" spans="1:15" x14ac:dyDescent="0.25">
      <c r="A2597" s="4" t="s">
        <v>2610</v>
      </c>
      <c r="B2597" s="2" t="s">
        <v>3455</v>
      </c>
      <c r="C2597" s="2" t="s">
        <v>3870</v>
      </c>
      <c r="D2597" s="2" t="s">
        <v>3879</v>
      </c>
      <c r="E2597" s="3">
        <v>45624</v>
      </c>
      <c r="F2597" s="3">
        <v>45708</v>
      </c>
      <c r="G2597" s="2" t="s">
        <v>3884</v>
      </c>
      <c r="H2597" s="2">
        <v>526356</v>
      </c>
      <c r="I2597" s="2">
        <v>584868</v>
      </c>
      <c r="J2597" s="2" t="s">
        <v>3890</v>
      </c>
      <c r="K2597" s="2" t="s">
        <v>3894</v>
      </c>
      <c r="L2597" s="2">
        <v>2023</v>
      </c>
      <c r="M2597" s="2">
        <v>-58512</v>
      </c>
      <c r="N2597" s="2">
        <f xml:space="preserve"> (Table1[[#This Row],[Variance (USD)]] / Table1[[#This Row],[Actual Spending (USD)]]) * 100</f>
        <v>-10.004308664519174</v>
      </c>
      <c r="O2597" s="5" t="s">
        <v>3897</v>
      </c>
    </row>
    <row r="2598" spans="1:15" x14ac:dyDescent="0.25">
      <c r="A2598" s="4" t="s">
        <v>2611</v>
      </c>
      <c r="B2598" s="2" t="s">
        <v>3079</v>
      </c>
      <c r="C2598" s="2" t="s">
        <v>3871</v>
      </c>
      <c r="D2598" s="2" t="s">
        <v>3882</v>
      </c>
      <c r="E2598" s="3">
        <v>45252</v>
      </c>
      <c r="F2598" s="3">
        <v>45969</v>
      </c>
      <c r="G2598" s="2" t="s">
        <v>3884</v>
      </c>
      <c r="H2598" s="2">
        <v>704433</v>
      </c>
      <c r="I2598" s="2">
        <v>668451</v>
      </c>
      <c r="J2598" s="2" t="s">
        <v>3888</v>
      </c>
      <c r="K2598" s="2" t="s">
        <v>3893</v>
      </c>
      <c r="L2598" s="2">
        <v>2023</v>
      </c>
      <c r="M2598" s="2">
        <v>35982</v>
      </c>
      <c r="N2598" s="2">
        <f xml:space="preserve"> (Table1[[#This Row],[Variance (USD)]] / Table1[[#This Row],[Actual Spending (USD)]]) * 100</f>
        <v>5.3828926877213146</v>
      </c>
      <c r="O2598" s="5" t="s">
        <v>3897</v>
      </c>
    </row>
    <row r="2599" spans="1:15" x14ac:dyDescent="0.25">
      <c r="A2599" s="4" t="s">
        <v>2612</v>
      </c>
      <c r="B2599" s="2" t="s">
        <v>3639</v>
      </c>
      <c r="C2599" s="2" t="s">
        <v>3868</v>
      </c>
      <c r="D2599" s="2" t="s">
        <v>3880</v>
      </c>
      <c r="E2599" s="3">
        <v>45551</v>
      </c>
      <c r="F2599" s="3">
        <v>45419</v>
      </c>
      <c r="G2599" s="2" t="s">
        <v>3884</v>
      </c>
      <c r="H2599" s="2">
        <v>445722</v>
      </c>
      <c r="I2599" s="2">
        <v>1172776</v>
      </c>
      <c r="J2599" s="2" t="s">
        <v>3891</v>
      </c>
      <c r="K2599" s="2" t="s">
        <v>3895</v>
      </c>
      <c r="L2599" s="2">
        <v>2023</v>
      </c>
      <c r="M2599" s="2">
        <v>-727054</v>
      </c>
      <c r="N2599" s="2">
        <f xml:space="preserve"> (Table1[[#This Row],[Variance (USD)]] / Table1[[#This Row],[Actual Spending (USD)]]) * 100</f>
        <v>-61.994276826947349</v>
      </c>
      <c r="O2599" s="5" t="s">
        <v>3897</v>
      </c>
    </row>
    <row r="2600" spans="1:15" x14ac:dyDescent="0.25">
      <c r="A2600" s="4" t="s">
        <v>2613</v>
      </c>
      <c r="B2600" s="2" t="s">
        <v>3583</v>
      </c>
      <c r="C2600" s="2" t="s">
        <v>3869</v>
      </c>
      <c r="D2600" s="2" t="s">
        <v>3877</v>
      </c>
      <c r="E2600" s="3">
        <v>45091</v>
      </c>
      <c r="F2600" s="3">
        <v>45528</v>
      </c>
      <c r="G2600" s="2" t="s">
        <v>3886</v>
      </c>
      <c r="H2600" s="2">
        <v>148120</v>
      </c>
      <c r="I2600" s="2">
        <v>111118</v>
      </c>
      <c r="J2600" s="2" t="s">
        <v>3890</v>
      </c>
      <c r="K2600" s="2" t="s">
        <v>3893</v>
      </c>
      <c r="L2600" s="2">
        <v>2023</v>
      </c>
      <c r="M2600" s="2">
        <v>37002</v>
      </c>
      <c r="N2600" s="2">
        <f xml:space="preserve"> (Table1[[#This Row],[Variance (USD)]] / Table1[[#This Row],[Actual Spending (USD)]]) * 100</f>
        <v>33.299735416404182</v>
      </c>
      <c r="O2600" s="5" t="s">
        <v>3899</v>
      </c>
    </row>
    <row r="2601" spans="1:15" x14ac:dyDescent="0.25">
      <c r="A2601" s="4" t="s">
        <v>2614</v>
      </c>
      <c r="B2601" s="2" t="s">
        <v>3626</v>
      </c>
      <c r="C2601" s="2" t="s">
        <v>3871</v>
      </c>
      <c r="D2601" s="2" t="s">
        <v>3879</v>
      </c>
      <c r="E2601" s="3">
        <v>45499</v>
      </c>
      <c r="F2601" s="3">
        <v>45910</v>
      </c>
      <c r="G2601" s="2" t="s">
        <v>3885</v>
      </c>
      <c r="H2601" s="2">
        <v>726069</v>
      </c>
      <c r="I2601" s="2">
        <v>578524</v>
      </c>
      <c r="J2601" s="2" t="s">
        <v>3891</v>
      </c>
      <c r="K2601" s="2" t="s">
        <v>3895</v>
      </c>
      <c r="L2601" s="2">
        <v>2025</v>
      </c>
      <c r="M2601" s="2">
        <v>147545</v>
      </c>
      <c r="N2601" s="2">
        <f xml:space="preserve"> (Table1[[#This Row],[Variance (USD)]] / Table1[[#This Row],[Actual Spending (USD)]]) * 100</f>
        <v>25.503695611590878</v>
      </c>
      <c r="O2601" s="5" t="s">
        <v>3898</v>
      </c>
    </row>
    <row r="2602" spans="1:15" x14ac:dyDescent="0.25">
      <c r="A2602" s="4" t="s">
        <v>2615</v>
      </c>
      <c r="B2602" s="2" t="s">
        <v>3740</v>
      </c>
      <c r="C2602" s="2" t="s">
        <v>3872</v>
      </c>
      <c r="D2602" s="2" t="s">
        <v>3879</v>
      </c>
      <c r="E2602" s="3">
        <v>45530</v>
      </c>
      <c r="F2602" s="3">
        <v>45419</v>
      </c>
      <c r="G2602" s="2" t="s">
        <v>3884</v>
      </c>
      <c r="H2602" s="2">
        <v>763895</v>
      </c>
      <c r="I2602" s="2">
        <v>315574</v>
      </c>
      <c r="J2602" s="2" t="s">
        <v>3889</v>
      </c>
      <c r="K2602" s="2" t="s">
        <v>3895</v>
      </c>
      <c r="L2602" s="2">
        <v>2024</v>
      </c>
      <c r="M2602" s="2">
        <v>448321</v>
      </c>
      <c r="N2602" s="2">
        <f xml:space="preserve"> (Table1[[#This Row],[Variance (USD)]] / Table1[[#This Row],[Actual Spending (USD)]]) * 100</f>
        <v>142.06525252397219</v>
      </c>
      <c r="O2602" s="5" t="s">
        <v>3897</v>
      </c>
    </row>
    <row r="2603" spans="1:15" x14ac:dyDescent="0.25">
      <c r="A2603" s="4" t="s">
        <v>2616</v>
      </c>
      <c r="B2603" s="2" t="s">
        <v>3109</v>
      </c>
      <c r="C2603" s="2" t="s">
        <v>3870</v>
      </c>
      <c r="D2603" s="2" t="s">
        <v>3878</v>
      </c>
      <c r="E2603" s="3">
        <v>45381</v>
      </c>
      <c r="F2603" s="3">
        <v>45998</v>
      </c>
      <c r="G2603" s="2" t="s">
        <v>3886</v>
      </c>
      <c r="H2603" s="2">
        <v>356984</v>
      </c>
      <c r="I2603" s="2">
        <v>113299</v>
      </c>
      <c r="J2603" s="2" t="s">
        <v>3891</v>
      </c>
      <c r="K2603" s="2" t="s">
        <v>3893</v>
      </c>
      <c r="L2603" s="2">
        <v>2025</v>
      </c>
      <c r="M2603" s="2">
        <v>243685</v>
      </c>
      <c r="N2603" s="2">
        <f xml:space="preserve"> (Table1[[#This Row],[Variance (USD)]] / Table1[[#This Row],[Actual Spending (USD)]]) * 100</f>
        <v>215.0813334627843</v>
      </c>
      <c r="O2603" s="5" t="s">
        <v>3899</v>
      </c>
    </row>
    <row r="2604" spans="1:15" x14ac:dyDescent="0.25">
      <c r="A2604" s="4" t="s">
        <v>2617</v>
      </c>
      <c r="B2604" s="2" t="s">
        <v>3567</v>
      </c>
      <c r="C2604" s="2" t="s">
        <v>3870</v>
      </c>
      <c r="D2604" s="2" t="s">
        <v>3877</v>
      </c>
      <c r="E2604" s="3">
        <v>45079</v>
      </c>
      <c r="F2604" s="3">
        <v>45685</v>
      </c>
      <c r="G2604" s="2" t="s">
        <v>3886</v>
      </c>
      <c r="H2604" s="2">
        <v>295512</v>
      </c>
      <c r="I2604" s="2">
        <v>723540</v>
      </c>
      <c r="J2604" s="2" t="s">
        <v>3891</v>
      </c>
      <c r="K2604" s="2" t="s">
        <v>3896</v>
      </c>
      <c r="L2604" s="2">
        <v>2025</v>
      </c>
      <c r="M2604" s="2">
        <v>-428028</v>
      </c>
      <c r="N2604" s="2">
        <f xml:space="preserve"> (Table1[[#This Row],[Variance (USD)]] / Table1[[#This Row],[Actual Spending (USD)]]) * 100</f>
        <v>-59.157475744257404</v>
      </c>
      <c r="O2604" s="5" t="s">
        <v>3899</v>
      </c>
    </row>
    <row r="2605" spans="1:15" x14ac:dyDescent="0.25">
      <c r="A2605" s="4" t="s">
        <v>2618</v>
      </c>
      <c r="B2605" s="2" t="s">
        <v>3803</v>
      </c>
      <c r="C2605" s="2" t="s">
        <v>3870</v>
      </c>
      <c r="D2605" s="2" t="s">
        <v>3879</v>
      </c>
      <c r="E2605" s="3">
        <v>45053</v>
      </c>
      <c r="F2605" s="3">
        <v>45766</v>
      </c>
      <c r="G2605" s="2" t="s">
        <v>3884</v>
      </c>
      <c r="H2605" s="2">
        <v>949079</v>
      </c>
      <c r="I2605" s="2">
        <v>626658</v>
      </c>
      <c r="J2605" s="2" t="s">
        <v>3891</v>
      </c>
      <c r="K2605" s="2" t="s">
        <v>3895</v>
      </c>
      <c r="L2605" s="2">
        <v>2025</v>
      </c>
      <c r="M2605" s="2">
        <v>322421</v>
      </c>
      <c r="N2605" s="2">
        <f xml:space="preserve"> (Table1[[#This Row],[Variance (USD)]] / Table1[[#This Row],[Actual Spending (USD)]]) * 100</f>
        <v>51.450871129068808</v>
      </c>
      <c r="O2605" s="5" t="s">
        <v>3897</v>
      </c>
    </row>
    <row r="2606" spans="1:15" x14ac:dyDescent="0.25">
      <c r="A2606" s="4" t="s">
        <v>2619</v>
      </c>
      <c r="B2606" s="2" t="s">
        <v>3758</v>
      </c>
      <c r="C2606" s="2" t="s">
        <v>3872</v>
      </c>
      <c r="D2606" s="2" t="s">
        <v>3878</v>
      </c>
      <c r="E2606" s="3">
        <v>45119</v>
      </c>
      <c r="F2606" s="3">
        <v>45946</v>
      </c>
      <c r="G2606" s="2" t="s">
        <v>3884</v>
      </c>
      <c r="H2606" s="2">
        <v>241659</v>
      </c>
      <c r="I2606" s="2">
        <v>511239</v>
      </c>
      <c r="J2606" s="2" t="s">
        <v>3892</v>
      </c>
      <c r="K2606" s="2" t="s">
        <v>3895</v>
      </c>
      <c r="L2606" s="2">
        <v>2024</v>
      </c>
      <c r="M2606" s="2">
        <v>-269580</v>
      </c>
      <c r="N2606" s="2">
        <f xml:space="preserve"> (Table1[[#This Row],[Variance (USD)]] / Table1[[#This Row],[Actual Spending (USD)]]) * 100</f>
        <v>-52.730718900553363</v>
      </c>
      <c r="O2606" s="5" t="s">
        <v>3897</v>
      </c>
    </row>
    <row r="2607" spans="1:15" x14ac:dyDescent="0.25">
      <c r="A2607" s="4" t="s">
        <v>2620</v>
      </c>
      <c r="B2607" s="2" t="s">
        <v>3846</v>
      </c>
      <c r="C2607" s="2" t="s">
        <v>3870</v>
      </c>
      <c r="D2607" s="2" t="s">
        <v>3882</v>
      </c>
      <c r="E2607" s="3">
        <v>45553</v>
      </c>
      <c r="F2607" s="3">
        <v>45686</v>
      </c>
      <c r="G2607" s="2" t="s">
        <v>3886</v>
      </c>
      <c r="H2607" s="2">
        <v>109321</v>
      </c>
      <c r="I2607" s="2">
        <v>157845</v>
      </c>
      <c r="J2607" s="2" t="s">
        <v>3890</v>
      </c>
      <c r="K2607" s="2" t="s">
        <v>3894</v>
      </c>
      <c r="L2607" s="2">
        <v>2025</v>
      </c>
      <c r="M2607" s="2">
        <v>-48524</v>
      </c>
      <c r="N2607" s="2">
        <f xml:space="preserve"> (Table1[[#This Row],[Variance (USD)]] / Table1[[#This Row],[Actual Spending (USD)]]) * 100</f>
        <v>-30.741550254996991</v>
      </c>
      <c r="O2607" s="5" t="s">
        <v>3899</v>
      </c>
    </row>
    <row r="2608" spans="1:15" x14ac:dyDescent="0.25">
      <c r="A2608" s="4" t="s">
        <v>2621</v>
      </c>
      <c r="B2608" s="2" t="s">
        <v>3427</v>
      </c>
      <c r="C2608" s="2" t="s">
        <v>3875</v>
      </c>
      <c r="D2608" s="2" t="s">
        <v>3876</v>
      </c>
      <c r="E2608" s="3">
        <v>45456</v>
      </c>
      <c r="F2608" s="3">
        <v>45402</v>
      </c>
      <c r="G2608" s="2" t="s">
        <v>3885</v>
      </c>
      <c r="H2608" s="2">
        <v>284855</v>
      </c>
      <c r="I2608" s="2">
        <v>738636</v>
      </c>
      <c r="J2608" s="2" t="s">
        <v>3889</v>
      </c>
      <c r="K2608" s="2" t="s">
        <v>3895</v>
      </c>
      <c r="L2608" s="2">
        <v>2024</v>
      </c>
      <c r="M2608" s="2">
        <v>-453781</v>
      </c>
      <c r="N2608" s="2">
        <f xml:space="preserve"> (Table1[[#This Row],[Variance (USD)]] / Table1[[#This Row],[Actual Spending (USD)]]) * 100</f>
        <v>-61.43499639876746</v>
      </c>
      <c r="O2608" s="5" t="s">
        <v>3898</v>
      </c>
    </row>
    <row r="2609" spans="1:15" x14ac:dyDescent="0.25">
      <c r="A2609" s="4" t="s">
        <v>2622</v>
      </c>
      <c r="B2609" s="2" t="s">
        <v>3382</v>
      </c>
      <c r="C2609" s="2" t="s">
        <v>3874</v>
      </c>
      <c r="D2609" s="2" t="s">
        <v>3882</v>
      </c>
      <c r="E2609" s="3">
        <v>44936</v>
      </c>
      <c r="F2609" s="3">
        <v>45381</v>
      </c>
      <c r="G2609" s="2" t="s">
        <v>3886</v>
      </c>
      <c r="H2609" s="2">
        <v>93202</v>
      </c>
      <c r="I2609" s="2">
        <v>669340</v>
      </c>
      <c r="J2609" s="2" t="s">
        <v>3888</v>
      </c>
      <c r="K2609" s="2" t="s">
        <v>3895</v>
      </c>
      <c r="L2609" s="2">
        <v>2023</v>
      </c>
      <c r="M2609" s="2">
        <v>-576138</v>
      </c>
      <c r="N2609" s="2">
        <f xml:space="preserve"> (Table1[[#This Row],[Variance (USD)]] / Table1[[#This Row],[Actual Spending (USD)]]) * 100</f>
        <v>-86.075537096244062</v>
      </c>
      <c r="O2609" s="5" t="s">
        <v>3899</v>
      </c>
    </row>
    <row r="2610" spans="1:15" x14ac:dyDescent="0.25">
      <c r="A2610" s="4" t="s">
        <v>2623</v>
      </c>
      <c r="B2610" s="2" t="s">
        <v>3458</v>
      </c>
      <c r="C2610" s="2" t="s">
        <v>3872</v>
      </c>
      <c r="D2610" s="2" t="s">
        <v>3881</v>
      </c>
      <c r="E2610" s="3">
        <v>45018</v>
      </c>
      <c r="F2610" s="3">
        <v>45571</v>
      </c>
      <c r="G2610" s="2" t="s">
        <v>3884</v>
      </c>
      <c r="H2610" s="2">
        <v>237660</v>
      </c>
      <c r="I2610" s="2">
        <v>480968</v>
      </c>
      <c r="J2610" s="2" t="s">
        <v>3889</v>
      </c>
      <c r="K2610" s="2" t="s">
        <v>3895</v>
      </c>
      <c r="L2610" s="2">
        <v>2025</v>
      </c>
      <c r="M2610" s="2">
        <v>-243308</v>
      </c>
      <c r="N2610" s="2">
        <f xml:space="preserve"> (Table1[[#This Row],[Variance (USD)]] / Table1[[#This Row],[Actual Spending (USD)]]) * 100</f>
        <v>-50.587149249014487</v>
      </c>
      <c r="O2610" s="5" t="s">
        <v>3897</v>
      </c>
    </row>
    <row r="2611" spans="1:15" x14ac:dyDescent="0.25">
      <c r="A2611" s="4" t="s">
        <v>2624</v>
      </c>
      <c r="B2611" s="2" t="s">
        <v>3505</v>
      </c>
      <c r="C2611" s="2" t="s">
        <v>3869</v>
      </c>
      <c r="D2611" s="2" t="s">
        <v>3878</v>
      </c>
      <c r="E2611" s="3">
        <v>45065</v>
      </c>
      <c r="F2611" s="3">
        <v>45624</v>
      </c>
      <c r="G2611" s="2" t="s">
        <v>3884</v>
      </c>
      <c r="H2611" s="2">
        <v>708450</v>
      </c>
      <c r="I2611" s="2">
        <v>660025</v>
      </c>
      <c r="J2611" s="2" t="s">
        <v>3889</v>
      </c>
      <c r="K2611" s="2" t="s">
        <v>3895</v>
      </c>
      <c r="L2611" s="2">
        <v>2023</v>
      </c>
      <c r="M2611" s="2">
        <v>48425</v>
      </c>
      <c r="N2611" s="2">
        <f xml:space="preserve"> (Table1[[#This Row],[Variance (USD)]] / Table1[[#This Row],[Actual Spending (USD)]]) * 100</f>
        <v>7.3368433013900987</v>
      </c>
      <c r="O2611" s="5" t="s">
        <v>3897</v>
      </c>
    </row>
    <row r="2612" spans="1:15" x14ac:dyDescent="0.25">
      <c r="A2612" s="4" t="s">
        <v>2625</v>
      </c>
      <c r="B2612" s="2" t="s">
        <v>3287</v>
      </c>
      <c r="C2612" s="2" t="s">
        <v>3874</v>
      </c>
      <c r="D2612" s="2" t="s">
        <v>3878</v>
      </c>
      <c r="E2612" s="3">
        <v>45407</v>
      </c>
      <c r="F2612" s="3">
        <v>45515</v>
      </c>
      <c r="G2612" s="2" t="s">
        <v>3884</v>
      </c>
      <c r="H2612" s="2">
        <v>548017</v>
      </c>
      <c r="I2612" s="2">
        <v>329615</v>
      </c>
      <c r="J2612" s="2" t="s">
        <v>3892</v>
      </c>
      <c r="K2612" s="2" t="s">
        <v>3896</v>
      </c>
      <c r="L2612" s="2">
        <v>2023</v>
      </c>
      <c r="M2612" s="2">
        <v>218402</v>
      </c>
      <c r="N2612" s="2">
        <f xml:space="preserve"> (Table1[[#This Row],[Variance (USD)]] / Table1[[#This Row],[Actual Spending (USD)]]) * 100</f>
        <v>66.259727257558069</v>
      </c>
      <c r="O2612" s="5" t="s">
        <v>3897</v>
      </c>
    </row>
    <row r="2613" spans="1:15" x14ac:dyDescent="0.25">
      <c r="A2613" s="4" t="s">
        <v>2626</v>
      </c>
      <c r="B2613" s="2" t="s">
        <v>3790</v>
      </c>
      <c r="C2613" s="2" t="s">
        <v>3871</v>
      </c>
      <c r="D2613" s="2" t="s">
        <v>3879</v>
      </c>
      <c r="E2613" s="3">
        <v>45375</v>
      </c>
      <c r="F2613" s="3">
        <v>45392</v>
      </c>
      <c r="G2613" s="2" t="s">
        <v>3886</v>
      </c>
      <c r="H2613" s="2">
        <v>371375</v>
      </c>
      <c r="I2613" s="2">
        <v>1127338</v>
      </c>
      <c r="J2613" s="2" t="s">
        <v>3892</v>
      </c>
      <c r="K2613" s="2" t="s">
        <v>3895</v>
      </c>
      <c r="L2613" s="2">
        <v>2023</v>
      </c>
      <c r="M2613" s="2">
        <v>-755963</v>
      </c>
      <c r="N2613" s="2">
        <f xml:space="preserve"> (Table1[[#This Row],[Variance (USD)]] / Table1[[#This Row],[Actual Spending (USD)]]) * 100</f>
        <v>-67.057351034028841</v>
      </c>
      <c r="O2613" s="5" t="s">
        <v>3899</v>
      </c>
    </row>
    <row r="2614" spans="1:15" x14ac:dyDescent="0.25">
      <c r="A2614" s="4" t="s">
        <v>2627</v>
      </c>
      <c r="B2614" s="2" t="s">
        <v>3665</v>
      </c>
      <c r="C2614" s="2" t="s">
        <v>3869</v>
      </c>
      <c r="D2614" s="2" t="s">
        <v>3883</v>
      </c>
      <c r="E2614" s="3">
        <v>45259</v>
      </c>
      <c r="F2614" s="3">
        <v>45423</v>
      </c>
      <c r="G2614" s="2" t="s">
        <v>3886</v>
      </c>
      <c r="H2614" s="2">
        <v>857984</v>
      </c>
      <c r="I2614" s="2">
        <v>969019</v>
      </c>
      <c r="J2614" s="2" t="s">
        <v>3891</v>
      </c>
      <c r="K2614" s="2" t="s">
        <v>3893</v>
      </c>
      <c r="L2614" s="2">
        <v>2025</v>
      </c>
      <c r="M2614" s="2">
        <v>-111035</v>
      </c>
      <c r="N2614" s="2">
        <f xml:space="preserve"> (Table1[[#This Row],[Variance (USD)]] / Table1[[#This Row],[Actual Spending (USD)]]) * 100</f>
        <v>-11.458495653851989</v>
      </c>
      <c r="O2614" s="5" t="s">
        <v>3899</v>
      </c>
    </row>
    <row r="2615" spans="1:15" x14ac:dyDescent="0.25">
      <c r="A2615" s="4" t="s">
        <v>2628</v>
      </c>
      <c r="B2615" s="2" t="s">
        <v>3560</v>
      </c>
      <c r="C2615" s="2" t="s">
        <v>3874</v>
      </c>
      <c r="D2615" s="2" t="s">
        <v>3883</v>
      </c>
      <c r="E2615" s="3">
        <v>45266</v>
      </c>
      <c r="F2615" s="3">
        <v>45304</v>
      </c>
      <c r="G2615" s="2" t="s">
        <v>3884</v>
      </c>
      <c r="H2615" s="2">
        <v>275743</v>
      </c>
      <c r="I2615" s="2">
        <v>195379</v>
      </c>
      <c r="J2615" s="2" t="s">
        <v>3889</v>
      </c>
      <c r="K2615" s="2" t="s">
        <v>3896</v>
      </c>
      <c r="L2615" s="2">
        <v>2023</v>
      </c>
      <c r="M2615" s="2">
        <v>80364</v>
      </c>
      <c r="N2615" s="2">
        <f xml:space="preserve"> (Table1[[#This Row],[Variance (USD)]] / Table1[[#This Row],[Actual Spending (USD)]]) * 100</f>
        <v>41.132363252959628</v>
      </c>
      <c r="O2615" s="5" t="s">
        <v>3897</v>
      </c>
    </row>
    <row r="2616" spans="1:15" x14ac:dyDescent="0.25">
      <c r="A2616" s="4" t="s">
        <v>2629</v>
      </c>
      <c r="B2616" s="2" t="s">
        <v>3059</v>
      </c>
      <c r="C2616" s="2" t="s">
        <v>3873</v>
      </c>
      <c r="D2616" s="2" t="s">
        <v>3880</v>
      </c>
      <c r="E2616" s="3">
        <v>44978</v>
      </c>
      <c r="F2616" s="3">
        <v>45748</v>
      </c>
      <c r="G2616" s="2" t="s">
        <v>3885</v>
      </c>
      <c r="H2616" s="2">
        <v>261299</v>
      </c>
      <c r="I2616" s="2">
        <v>803481</v>
      </c>
      <c r="J2616" s="2" t="s">
        <v>3890</v>
      </c>
      <c r="K2616" s="2" t="s">
        <v>3895</v>
      </c>
      <c r="L2616" s="2">
        <v>2025</v>
      </c>
      <c r="M2616" s="2">
        <v>-542182</v>
      </c>
      <c r="N2616" s="2">
        <f xml:space="preserve"> (Table1[[#This Row],[Variance (USD)]] / Table1[[#This Row],[Actual Spending (USD)]]) * 100</f>
        <v>-67.479131429367968</v>
      </c>
      <c r="O2616" s="5" t="s">
        <v>3898</v>
      </c>
    </row>
    <row r="2617" spans="1:15" x14ac:dyDescent="0.25">
      <c r="A2617" s="4" t="s">
        <v>2630</v>
      </c>
      <c r="B2617" s="2" t="s">
        <v>3456</v>
      </c>
      <c r="C2617" s="2" t="s">
        <v>3870</v>
      </c>
      <c r="D2617" s="2" t="s">
        <v>3883</v>
      </c>
      <c r="E2617" s="3">
        <v>45633</v>
      </c>
      <c r="F2617" s="3">
        <v>45732</v>
      </c>
      <c r="G2617" s="2" t="s">
        <v>3886</v>
      </c>
      <c r="H2617" s="2">
        <v>333805</v>
      </c>
      <c r="I2617" s="2">
        <v>1026185</v>
      </c>
      <c r="J2617" s="2" t="s">
        <v>3892</v>
      </c>
      <c r="K2617" s="2" t="s">
        <v>3893</v>
      </c>
      <c r="L2617" s="2">
        <v>2023</v>
      </c>
      <c r="M2617" s="2">
        <v>-692380</v>
      </c>
      <c r="N2617" s="2">
        <f xml:space="preserve"> (Table1[[#This Row],[Variance (USD)]] / Table1[[#This Row],[Actual Spending (USD)]]) * 100</f>
        <v>-67.471264927863885</v>
      </c>
      <c r="O2617" s="5" t="s">
        <v>3899</v>
      </c>
    </row>
    <row r="2618" spans="1:15" x14ac:dyDescent="0.25">
      <c r="A2618" s="4" t="s">
        <v>2631</v>
      </c>
      <c r="B2618" s="2" t="s">
        <v>3847</v>
      </c>
      <c r="C2618" s="2" t="s">
        <v>3873</v>
      </c>
      <c r="D2618" s="2" t="s">
        <v>3878</v>
      </c>
      <c r="E2618" s="3">
        <v>45392</v>
      </c>
      <c r="F2618" s="3">
        <v>45389</v>
      </c>
      <c r="G2618" s="2" t="s">
        <v>3886</v>
      </c>
      <c r="H2618" s="2">
        <v>222097</v>
      </c>
      <c r="I2618" s="2">
        <v>703346</v>
      </c>
      <c r="J2618" s="2" t="s">
        <v>3892</v>
      </c>
      <c r="K2618" s="2" t="s">
        <v>3893</v>
      </c>
      <c r="L2618" s="2">
        <v>2025</v>
      </c>
      <c r="M2618" s="2">
        <v>-481249</v>
      </c>
      <c r="N2618" s="2">
        <f xml:space="preserve"> (Table1[[#This Row],[Variance (USD)]] / Table1[[#This Row],[Actual Spending (USD)]]) * 100</f>
        <v>-68.422796177130465</v>
      </c>
      <c r="O2618" s="5" t="s">
        <v>3899</v>
      </c>
    </row>
    <row r="2619" spans="1:15" x14ac:dyDescent="0.25">
      <c r="A2619" s="4" t="s">
        <v>2632</v>
      </c>
      <c r="B2619" s="2" t="s">
        <v>3265</v>
      </c>
      <c r="C2619" s="2" t="s">
        <v>3868</v>
      </c>
      <c r="D2619" s="2" t="s">
        <v>3880</v>
      </c>
      <c r="E2619" s="3">
        <v>45644</v>
      </c>
      <c r="F2619" s="3">
        <v>45411</v>
      </c>
      <c r="G2619" s="2" t="s">
        <v>3887</v>
      </c>
      <c r="H2619" s="2">
        <v>449308</v>
      </c>
      <c r="I2619" s="2">
        <v>376768</v>
      </c>
      <c r="J2619" s="2" t="s">
        <v>3890</v>
      </c>
      <c r="K2619" s="2" t="s">
        <v>3896</v>
      </c>
      <c r="L2619" s="2">
        <v>2025</v>
      </c>
      <c r="M2619" s="2">
        <v>72540</v>
      </c>
      <c r="N2619" s="2">
        <f xml:space="preserve"> (Table1[[#This Row],[Variance (USD)]] / Table1[[#This Row],[Actual Spending (USD)]]) * 100</f>
        <v>19.253227450314252</v>
      </c>
      <c r="O2619" s="5" t="s">
        <v>3900</v>
      </c>
    </row>
    <row r="2620" spans="1:15" x14ac:dyDescent="0.25">
      <c r="A2620" s="4" t="s">
        <v>2633</v>
      </c>
      <c r="B2620" s="2" t="s">
        <v>3712</v>
      </c>
      <c r="C2620" s="2" t="s">
        <v>3868</v>
      </c>
      <c r="D2620" s="2" t="s">
        <v>3882</v>
      </c>
      <c r="E2620" s="3">
        <v>45401</v>
      </c>
      <c r="F2620" s="3">
        <v>45584</v>
      </c>
      <c r="G2620" s="2" t="s">
        <v>3884</v>
      </c>
      <c r="H2620" s="2">
        <v>705930</v>
      </c>
      <c r="I2620" s="2">
        <v>362744</v>
      </c>
      <c r="J2620" s="2" t="s">
        <v>3892</v>
      </c>
      <c r="K2620" s="2" t="s">
        <v>3896</v>
      </c>
      <c r="L2620" s="2">
        <v>2025</v>
      </c>
      <c r="M2620" s="2">
        <v>343186</v>
      </c>
      <c r="N2620" s="2">
        <f xml:space="preserve"> (Table1[[#This Row],[Variance (USD)]] / Table1[[#This Row],[Actual Spending (USD)]]) * 100</f>
        <v>94.608318814370463</v>
      </c>
      <c r="O2620" s="5" t="s">
        <v>3897</v>
      </c>
    </row>
    <row r="2621" spans="1:15" x14ac:dyDescent="0.25">
      <c r="A2621" s="4" t="s">
        <v>2634</v>
      </c>
      <c r="B2621" s="2" t="s">
        <v>3770</v>
      </c>
      <c r="C2621" s="2" t="s">
        <v>3874</v>
      </c>
      <c r="D2621" s="2" t="s">
        <v>3879</v>
      </c>
      <c r="E2621" s="3">
        <v>45327</v>
      </c>
      <c r="F2621" s="3">
        <v>46002</v>
      </c>
      <c r="G2621" s="2" t="s">
        <v>3885</v>
      </c>
      <c r="H2621" s="2">
        <v>979588</v>
      </c>
      <c r="I2621" s="2">
        <v>672624</v>
      </c>
      <c r="J2621" s="2" t="s">
        <v>3890</v>
      </c>
      <c r="K2621" s="2" t="s">
        <v>3893</v>
      </c>
      <c r="L2621" s="2">
        <v>2023</v>
      </c>
      <c r="M2621" s="2">
        <v>306964</v>
      </c>
      <c r="N2621" s="2">
        <f xml:space="preserve"> (Table1[[#This Row],[Variance (USD)]] / Table1[[#This Row],[Actual Spending (USD)]]) * 100</f>
        <v>45.636789647708085</v>
      </c>
      <c r="O2621" s="5" t="s">
        <v>3898</v>
      </c>
    </row>
    <row r="2622" spans="1:15" x14ac:dyDescent="0.25">
      <c r="A2622" s="4" t="s">
        <v>2635</v>
      </c>
      <c r="B2622" s="2" t="s">
        <v>3750</v>
      </c>
      <c r="C2622" s="2" t="s">
        <v>3873</v>
      </c>
      <c r="D2622" s="2" t="s">
        <v>3882</v>
      </c>
      <c r="E2622" s="3">
        <v>45365</v>
      </c>
      <c r="F2622" s="3">
        <v>45292</v>
      </c>
      <c r="G2622" s="2" t="s">
        <v>3884</v>
      </c>
      <c r="H2622" s="2">
        <v>902275</v>
      </c>
      <c r="I2622" s="2">
        <v>1035236</v>
      </c>
      <c r="J2622" s="2" t="s">
        <v>3888</v>
      </c>
      <c r="K2622" s="2" t="s">
        <v>3896</v>
      </c>
      <c r="L2622" s="2">
        <v>2025</v>
      </c>
      <c r="M2622" s="2">
        <v>-132961</v>
      </c>
      <c r="N2622" s="2">
        <f xml:space="preserve"> (Table1[[#This Row],[Variance (USD)]] / Table1[[#This Row],[Actual Spending (USD)]]) * 100</f>
        <v>-12.843544853540642</v>
      </c>
      <c r="O2622" s="5" t="s">
        <v>3897</v>
      </c>
    </row>
    <row r="2623" spans="1:15" x14ac:dyDescent="0.25">
      <c r="A2623" s="4" t="s">
        <v>2636</v>
      </c>
      <c r="B2623" s="2" t="s">
        <v>3497</v>
      </c>
      <c r="C2623" s="2" t="s">
        <v>3872</v>
      </c>
      <c r="D2623" s="2" t="s">
        <v>3877</v>
      </c>
      <c r="E2623" s="3">
        <v>45531</v>
      </c>
      <c r="F2623" s="3">
        <v>45863</v>
      </c>
      <c r="G2623" s="2" t="s">
        <v>3884</v>
      </c>
      <c r="H2623" s="2">
        <v>503968</v>
      </c>
      <c r="I2623" s="2">
        <v>360168</v>
      </c>
      <c r="J2623" s="2" t="s">
        <v>3890</v>
      </c>
      <c r="K2623" s="2" t="s">
        <v>3896</v>
      </c>
      <c r="L2623" s="2">
        <v>2023</v>
      </c>
      <c r="M2623" s="2">
        <v>143800</v>
      </c>
      <c r="N2623" s="2">
        <f xml:space="preserve"> (Table1[[#This Row],[Variance (USD)]] / Table1[[#This Row],[Actual Spending (USD)]]) * 100</f>
        <v>39.925812398658408</v>
      </c>
      <c r="O2623" s="5" t="s">
        <v>3897</v>
      </c>
    </row>
    <row r="2624" spans="1:15" x14ac:dyDescent="0.25">
      <c r="A2624" s="4" t="s">
        <v>2637</v>
      </c>
      <c r="B2624" s="2" t="s">
        <v>3450</v>
      </c>
      <c r="C2624" s="2" t="s">
        <v>3869</v>
      </c>
      <c r="D2624" s="2" t="s">
        <v>3881</v>
      </c>
      <c r="E2624" s="3">
        <v>45583</v>
      </c>
      <c r="F2624" s="3">
        <v>45541</v>
      </c>
      <c r="G2624" s="2" t="s">
        <v>3885</v>
      </c>
      <c r="H2624" s="2">
        <v>381422</v>
      </c>
      <c r="I2624" s="2">
        <v>1169304</v>
      </c>
      <c r="J2624" s="2" t="s">
        <v>3888</v>
      </c>
      <c r="K2624" s="2" t="s">
        <v>3894</v>
      </c>
      <c r="L2624" s="2">
        <v>2024</v>
      </c>
      <c r="M2624" s="2">
        <v>-787882</v>
      </c>
      <c r="N2624" s="2">
        <f xml:space="preserve"> (Table1[[#This Row],[Variance (USD)]] / Table1[[#This Row],[Actual Spending (USD)]]) * 100</f>
        <v>-67.380424594459612</v>
      </c>
      <c r="O2624" s="5" t="s">
        <v>3898</v>
      </c>
    </row>
    <row r="2625" spans="1:15" x14ac:dyDescent="0.25">
      <c r="A2625" s="4" t="s">
        <v>2638</v>
      </c>
      <c r="B2625" s="2" t="s">
        <v>3022</v>
      </c>
      <c r="C2625" s="2" t="s">
        <v>3873</v>
      </c>
      <c r="D2625" s="2" t="s">
        <v>3881</v>
      </c>
      <c r="E2625" s="3">
        <v>45524</v>
      </c>
      <c r="F2625" s="3">
        <v>45943</v>
      </c>
      <c r="G2625" s="2" t="s">
        <v>3885</v>
      </c>
      <c r="H2625" s="2">
        <v>812638</v>
      </c>
      <c r="I2625" s="2">
        <v>845329</v>
      </c>
      <c r="J2625" s="2" t="s">
        <v>3891</v>
      </c>
      <c r="K2625" s="2" t="s">
        <v>3896</v>
      </c>
      <c r="L2625" s="2">
        <v>2023</v>
      </c>
      <c r="M2625" s="2">
        <v>-32691</v>
      </c>
      <c r="N2625" s="2">
        <f xml:space="preserve"> (Table1[[#This Row],[Variance (USD)]] / Table1[[#This Row],[Actual Spending (USD)]]) * 100</f>
        <v>-3.8672516854384504</v>
      </c>
      <c r="O2625" s="5" t="s">
        <v>3898</v>
      </c>
    </row>
    <row r="2626" spans="1:15" x14ac:dyDescent="0.25">
      <c r="A2626" s="4" t="s">
        <v>2639</v>
      </c>
      <c r="B2626" s="2" t="s">
        <v>3158</v>
      </c>
      <c r="C2626" s="2" t="s">
        <v>3868</v>
      </c>
      <c r="D2626" s="2" t="s">
        <v>3878</v>
      </c>
      <c r="E2626" s="3">
        <v>45435</v>
      </c>
      <c r="F2626" s="3">
        <v>45440</v>
      </c>
      <c r="G2626" s="2" t="s">
        <v>3884</v>
      </c>
      <c r="H2626" s="2">
        <v>144328</v>
      </c>
      <c r="I2626" s="2">
        <v>704162</v>
      </c>
      <c r="J2626" s="2" t="s">
        <v>3891</v>
      </c>
      <c r="K2626" s="2" t="s">
        <v>3894</v>
      </c>
      <c r="L2626" s="2">
        <v>2023</v>
      </c>
      <c r="M2626" s="2">
        <v>-559834</v>
      </c>
      <c r="N2626" s="2">
        <f xml:space="preserve"> (Table1[[#This Row],[Variance (USD)]] / Table1[[#This Row],[Actual Spending (USD)]]) * 100</f>
        <v>-79.50358014206958</v>
      </c>
      <c r="O2626" s="5" t="s">
        <v>3897</v>
      </c>
    </row>
    <row r="2627" spans="1:15" x14ac:dyDescent="0.25">
      <c r="A2627" s="4" t="s">
        <v>2640</v>
      </c>
      <c r="B2627" s="2" t="s">
        <v>3848</v>
      </c>
      <c r="C2627" s="2" t="s">
        <v>3873</v>
      </c>
      <c r="D2627" s="2" t="s">
        <v>3878</v>
      </c>
      <c r="E2627" s="3">
        <v>45079</v>
      </c>
      <c r="F2627" s="3">
        <v>45686</v>
      </c>
      <c r="G2627" s="2" t="s">
        <v>3886</v>
      </c>
      <c r="H2627" s="2">
        <v>968269</v>
      </c>
      <c r="I2627" s="2">
        <v>177483</v>
      </c>
      <c r="J2627" s="2" t="s">
        <v>3892</v>
      </c>
      <c r="K2627" s="2" t="s">
        <v>3896</v>
      </c>
      <c r="L2627" s="2">
        <v>2025</v>
      </c>
      <c r="M2627" s="2">
        <v>790786</v>
      </c>
      <c r="N2627" s="2">
        <f xml:space="preserve"> (Table1[[#This Row],[Variance (USD)]] / Table1[[#This Row],[Actual Spending (USD)]]) * 100</f>
        <v>445.55591239724367</v>
      </c>
      <c r="O2627" s="5" t="s">
        <v>3899</v>
      </c>
    </row>
    <row r="2628" spans="1:15" x14ac:dyDescent="0.25">
      <c r="A2628" s="4" t="s">
        <v>2641</v>
      </c>
      <c r="B2628" s="2" t="s">
        <v>3446</v>
      </c>
      <c r="C2628" s="2" t="s">
        <v>3872</v>
      </c>
      <c r="D2628" s="2" t="s">
        <v>3880</v>
      </c>
      <c r="E2628" s="3">
        <v>45440</v>
      </c>
      <c r="F2628" s="3">
        <v>45335</v>
      </c>
      <c r="G2628" s="2" t="s">
        <v>3886</v>
      </c>
      <c r="H2628" s="2">
        <v>700643</v>
      </c>
      <c r="I2628" s="2">
        <v>90399</v>
      </c>
      <c r="J2628" s="2" t="s">
        <v>3890</v>
      </c>
      <c r="K2628" s="2" t="s">
        <v>3896</v>
      </c>
      <c r="L2628" s="2">
        <v>2023</v>
      </c>
      <c r="M2628" s="2">
        <v>610244</v>
      </c>
      <c r="N2628" s="2">
        <f xml:space="preserve"> (Table1[[#This Row],[Variance (USD)]] / Table1[[#This Row],[Actual Spending (USD)]]) * 100</f>
        <v>675.05614000154867</v>
      </c>
      <c r="O2628" s="5" t="s">
        <v>3899</v>
      </c>
    </row>
    <row r="2629" spans="1:15" x14ac:dyDescent="0.25">
      <c r="A2629" s="4" t="s">
        <v>2642</v>
      </c>
      <c r="B2629" s="2" t="s">
        <v>3543</v>
      </c>
      <c r="C2629" s="2" t="s">
        <v>3873</v>
      </c>
      <c r="D2629" s="2" t="s">
        <v>3879</v>
      </c>
      <c r="E2629" s="3">
        <v>45429</v>
      </c>
      <c r="F2629" s="3">
        <v>45989</v>
      </c>
      <c r="G2629" s="2" t="s">
        <v>3885</v>
      </c>
      <c r="H2629" s="2">
        <v>288340</v>
      </c>
      <c r="I2629" s="2">
        <v>256274</v>
      </c>
      <c r="J2629" s="2" t="s">
        <v>3892</v>
      </c>
      <c r="K2629" s="2" t="s">
        <v>3893</v>
      </c>
      <c r="L2629" s="2">
        <v>2024</v>
      </c>
      <c r="M2629" s="2">
        <v>32066</v>
      </c>
      <c r="N2629" s="2">
        <f xml:space="preserve"> (Table1[[#This Row],[Variance (USD)]] / Table1[[#This Row],[Actual Spending (USD)]]) * 100</f>
        <v>12.512389083559002</v>
      </c>
      <c r="O2629" s="5" t="s">
        <v>3898</v>
      </c>
    </row>
    <row r="2630" spans="1:15" x14ac:dyDescent="0.25">
      <c r="A2630" s="4" t="s">
        <v>2643</v>
      </c>
      <c r="B2630" s="2" t="s">
        <v>3408</v>
      </c>
      <c r="C2630" s="2" t="s">
        <v>3869</v>
      </c>
      <c r="D2630" s="2" t="s">
        <v>3876</v>
      </c>
      <c r="E2630" s="3">
        <v>45602</v>
      </c>
      <c r="F2630" s="3">
        <v>45911</v>
      </c>
      <c r="G2630" s="2" t="s">
        <v>3884</v>
      </c>
      <c r="H2630" s="2">
        <v>336342</v>
      </c>
      <c r="I2630" s="2">
        <v>90692</v>
      </c>
      <c r="J2630" s="2" t="s">
        <v>3890</v>
      </c>
      <c r="K2630" s="2" t="s">
        <v>3894</v>
      </c>
      <c r="L2630" s="2">
        <v>2025</v>
      </c>
      <c r="M2630" s="2">
        <v>245650</v>
      </c>
      <c r="N2630" s="2">
        <f xml:space="preserve"> (Table1[[#This Row],[Variance (USD)]] / Table1[[#This Row],[Actual Spending (USD)]]) * 100</f>
        <v>270.86181802143517</v>
      </c>
      <c r="O2630" s="5" t="s">
        <v>3897</v>
      </c>
    </row>
    <row r="2631" spans="1:15" x14ac:dyDescent="0.25">
      <c r="A2631" s="4" t="s">
        <v>2644</v>
      </c>
      <c r="B2631" s="2" t="s">
        <v>3263</v>
      </c>
      <c r="C2631" s="2" t="s">
        <v>3871</v>
      </c>
      <c r="D2631" s="2" t="s">
        <v>3878</v>
      </c>
      <c r="E2631" s="3">
        <v>44932</v>
      </c>
      <c r="F2631" s="3">
        <v>45335</v>
      </c>
      <c r="G2631" s="2" t="s">
        <v>3885</v>
      </c>
      <c r="H2631" s="2">
        <v>111201</v>
      </c>
      <c r="I2631" s="2">
        <v>103513</v>
      </c>
      <c r="J2631" s="2" t="s">
        <v>3892</v>
      </c>
      <c r="K2631" s="2" t="s">
        <v>3896</v>
      </c>
      <c r="L2631" s="2">
        <v>2023</v>
      </c>
      <c r="M2631" s="2">
        <v>7688</v>
      </c>
      <c r="N2631" s="2">
        <f xml:space="preserve"> (Table1[[#This Row],[Variance (USD)]] / Table1[[#This Row],[Actual Spending (USD)]]) * 100</f>
        <v>7.4270864529092968</v>
      </c>
      <c r="O2631" s="5" t="s">
        <v>3898</v>
      </c>
    </row>
    <row r="2632" spans="1:15" x14ac:dyDescent="0.25">
      <c r="A2632" s="4" t="s">
        <v>2645</v>
      </c>
      <c r="B2632" s="2" t="s">
        <v>3792</v>
      </c>
      <c r="C2632" s="2" t="s">
        <v>3872</v>
      </c>
      <c r="D2632" s="2" t="s">
        <v>3876</v>
      </c>
      <c r="E2632" s="3">
        <v>45426</v>
      </c>
      <c r="F2632" s="3">
        <v>45369</v>
      </c>
      <c r="G2632" s="2" t="s">
        <v>3884</v>
      </c>
      <c r="H2632" s="2">
        <v>385415</v>
      </c>
      <c r="I2632" s="2">
        <v>520783</v>
      </c>
      <c r="J2632" s="2" t="s">
        <v>3891</v>
      </c>
      <c r="K2632" s="2" t="s">
        <v>3895</v>
      </c>
      <c r="L2632" s="2">
        <v>2023</v>
      </c>
      <c r="M2632" s="2">
        <v>-135368</v>
      </c>
      <c r="N2632" s="2">
        <f xml:space="preserve"> (Table1[[#This Row],[Variance (USD)]] / Table1[[#This Row],[Actual Spending (USD)]]) * 100</f>
        <v>-25.993167979753562</v>
      </c>
      <c r="O2632" s="5" t="s">
        <v>3897</v>
      </c>
    </row>
    <row r="2633" spans="1:15" x14ac:dyDescent="0.25">
      <c r="A2633" s="4" t="s">
        <v>2646</v>
      </c>
      <c r="B2633" s="2" t="s">
        <v>3349</v>
      </c>
      <c r="C2633" s="2" t="s">
        <v>3868</v>
      </c>
      <c r="D2633" s="2" t="s">
        <v>3882</v>
      </c>
      <c r="E2633" s="3">
        <v>45587</v>
      </c>
      <c r="F2633" s="3">
        <v>45517</v>
      </c>
      <c r="G2633" s="2" t="s">
        <v>3884</v>
      </c>
      <c r="H2633" s="2">
        <v>262810</v>
      </c>
      <c r="I2633" s="2">
        <v>231157</v>
      </c>
      <c r="J2633" s="2" t="s">
        <v>3891</v>
      </c>
      <c r="K2633" s="2" t="s">
        <v>3896</v>
      </c>
      <c r="L2633" s="2">
        <v>2025</v>
      </c>
      <c r="M2633" s="2">
        <v>31653</v>
      </c>
      <c r="N2633" s="2">
        <f xml:space="preserve"> (Table1[[#This Row],[Variance (USD)]] / Table1[[#This Row],[Actual Spending (USD)]]) * 100</f>
        <v>13.693290707181699</v>
      </c>
      <c r="O2633" s="5" t="s">
        <v>3897</v>
      </c>
    </row>
    <row r="2634" spans="1:15" x14ac:dyDescent="0.25">
      <c r="A2634" s="4" t="s">
        <v>2647</v>
      </c>
      <c r="B2634" s="2" t="s">
        <v>3527</v>
      </c>
      <c r="C2634" s="2" t="s">
        <v>3869</v>
      </c>
      <c r="D2634" s="2" t="s">
        <v>3876</v>
      </c>
      <c r="E2634" s="3">
        <v>45643</v>
      </c>
      <c r="F2634" s="3">
        <v>45453</v>
      </c>
      <c r="G2634" s="2" t="s">
        <v>3884</v>
      </c>
      <c r="H2634" s="2">
        <v>454593</v>
      </c>
      <c r="I2634" s="2">
        <v>967841</v>
      </c>
      <c r="J2634" s="2" t="s">
        <v>3892</v>
      </c>
      <c r="K2634" s="2" t="s">
        <v>3893</v>
      </c>
      <c r="L2634" s="2">
        <v>2025</v>
      </c>
      <c r="M2634" s="2">
        <v>-513248</v>
      </c>
      <c r="N2634" s="2">
        <f xml:space="preserve"> (Table1[[#This Row],[Variance (USD)]] / Table1[[#This Row],[Actual Spending (USD)]]) * 100</f>
        <v>-53.030198142050189</v>
      </c>
      <c r="O2634" s="5" t="s">
        <v>3897</v>
      </c>
    </row>
    <row r="2635" spans="1:15" x14ac:dyDescent="0.25">
      <c r="A2635" s="4" t="s">
        <v>2648</v>
      </c>
      <c r="B2635" s="2" t="s">
        <v>3664</v>
      </c>
      <c r="C2635" s="2" t="s">
        <v>3873</v>
      </c>
      <c r="D2635" s="2" t="s">
        <v>3883</v>
      </c>
      <c r="E2635" s="3">
        <v>45044</v>
      </c>
      <c r="F2635" s="3">
        <v>45544</v>
      </c>
      <c r="G2635" s="2" t="s">
        <v>3884</v>
      </c>
      <c r="H2635" s="2">
        <v>423722</v>
      </c>
      <c r="I2635" s="2">
        <v>385045</v>
      </c>
      <c r="J2635" s="2" t="s">
        <v>3890</v>
      </c>
      <c r="K2635" s="2" t="s">
        <v>3893</v>
      </c>
      <c r="L2635" s="2">
        <v>2023</v>
      </c>
      <c r="M2635" s="2">
        <v>38677</v>
      </c>
      <c r="N2635" s="2">
        <f xml:space="preserve"> (Table1[[#This Row],[Variance (USD)]] / Table1[[#This Row],[Actual Spending (USD)]]) * 100</f>
        <v>10.044799958446415</v>
      </c>
      <c r="O2635" s="5" t="s">
        <v>3897</v>
      </c>
    </row>
    <row r="2636" spans="1:15" x14ac:dyDescent="0.25">
      <c r="A2636" s="4" t="s">
        <v>2649</v>
      </c>
      <c r="B2636" s="2" t="s">
        <v>3381</v>
      </c>
      <c r="C2636" s="2" t="s">
        <v>3873</v>
      </c>
      <c r="D2636" s="2" t="s">
        <v>3879</v>
      </c>
      <c r="E2636" s="3">
        <v>45411</v>
      </c>
      <c r="F2636" s="3">
        <v>45423</v>
      </c>
      <c r="G2636" s="2" t="s">
        <v>3885</v>
      </c>
      <c r="H2636" s="2">
        <v>785193</v>
      </c>
      <c r="I2636" s="2">
        <v>798693</v>
      </c>
      <c r="J2636" s="2" t="s">
        <v>3889</v>
      </c>
      <c r="K2636" s="2" t="s">
        <v>3893</v>
      </c>
      <c r="L2636" s="2">
        <v>2023</v>
      </c>
      <c r="M2636" s="2">
        <v>-13500</v>
      </c>
      <c r="N2636" s="2">
        <f xml:space="preserve"> (Table1[[#This Row],[Variance (USD)]] / Table1[[#This Row],[Actual Spending (USD)]]) * 100</f>
        <v>-1.6902614646679013</v>
      </c>
      <c r="O2636" s="5" t="s">
        <v>3898</v>
      </c>
    </row>
    <row r="2637" spans="1:15" x14ac:dyDescent="0.25">
      <c r="A2637" s="4" t="s">
        <v>2650</v>
      </c>
      <c r="B2637" s="2" t="s">
        <v>3059</v>
      </c>
      <c r="C2637" s="2" t="s">
        <v>3871</v>
      </c>
      <c r="D2637" s="2" t="s">
        <v>3881</v>
      </c>
      <c r="E2637" s="3">
        <v>45527</v>
      </c>
      <c r="F2637" s="3">
        <v>45739</v>
      </c>
      <c r="G2637" s="2" t="s">
        <v>3884</v>
      </c>
      <c r="H2637" s="2">
        <v>451252</v>
      </c>
      <c r="I2637" s="2">
        <v>613884</v>
      </c>
      <c r="J2637" s="2" t="s">
        <v>3890</v>
      </c>
      <c r="K2637" s="2" t="s">
        <v>3894</v>
      </c>
      <c r="L2637" s="2">
        <v>2025</v>
      </c>
      <c r="M2637" s="2">
        <v>-162632</v>
      </c>
      <c r="N2637" s="2">
        <f xml:space="preserve"> (Table1[[#This Row],[Variance (USD)]] / Table1[[#This Row],[Actual Spending (USD)]]) * 100</f>
        <v>-26.492301477152036</v>
      </c>
      <c r="O2637" s="5" t="s">
        <v>3897</v>
      </c>
    </row>
    <row r="2638" spans="1:15" x14ac:dyDescent="0.25">
      <c r="A2638" s="4" t="s">
        <v>2651</v>
      </c>
      <c r="B2638" s="2" t="s">
        <v>3697</v>
      </c>
      <c r="C2638" s="2" t="s">
        <v>3868</v>
      </c>
      <c r="D2638" s="2" t="s">
        <v>3881</v>
      </c>
      <c r="E2638" s="3">
        <v>45592</v>
      </c>
      <c r="F2638" s="3">
        <v>45765</v>
      </c>
      <c r="G2638" s="2" t="s">
        <v>3887</v>
      </c>
      <c r="H2638" s="2">
        <v>352508</v>
      </c>
      <c r="I2638" s="2">
        <v>100509</v>
      </c>
      <c r="J2638" s="2" t="s">
        <v>3892</v>
      </c>
      <c r="K2638" s="2" t="s">
        <v>3894</v>
      </c>
      <c r="L2638" s="2">
        <v>2025</v>
      </c>
      <c r="M2638" s="2">
        <v>251999</v>
      </c>
      <c r="N2638" s="2">
        <f xml:space="preserve"> (Table1[[#This Row],[Variance (USD)]] / Table1[[#This Row],[Actual Spending (USD)]]) * 100</f>
        <v>250.72282084191465</v>
      </c>
      <c r="O2638" s="5" t="s">
        <v>3900</v>
      </c>
    </row>
    <row r="2639" spans="1:15" x14ac:dyDescent="0.25">
      <c r="A2639" s="4" t="s">
        <v>2652</v>
      </c>
      <c r="B2639" s="2" t="s">
        <v>3621</v>
      </c>
      <c r="C2639" s="2" t="s">
        <v>3868</v>
      </c>
      <c r="D2639" s="2" t="s">
        <v>3876</v>
      </c>
      <c r="E2639" s="3">
        <v>45605</v>
      </c>
      <c r="F2639" s="3">
        <v>45947</v>
      </c>
      <c r="G2639" s="2" t="s">
        <v>3884</v>
      </c>
      <c r="H2639" s="2">
        <v>951659</v>
      </c>
      <c r="I2639" s="2">
        <v>562724</v>
      </c>
      <c r="J2639" s="2" t="s">
        <v>3890</v>
      </c>
      <c r="K2639" s="2" t="s">
        <v>3894</v>
      </c>
      <c r="L2639" s="2">
        <v>2024</v>
      </c>
      <c r="M2639" s="2">
        <v>388935</v>
      </c>
      <c r="N2639" s="2">
        <f xml:space="preserve"> (Table1[[#This Row],[Variance (USD)]] / Table1[[#This Row],[Actual Spending (USD)]]) * 100</f>
        <v>69.116476283222326</v>
      </c>
      <c r="O2639" s="5" t="s">
        <v>3897</v>
      </c>
    </row>
    <row r="2640" spans="1:15" x14ac:dyDescent="0.25">
      <c r="A2640" s="4" t="s">
        <v>2653</v>
      </c>
      <c r="B2640" s="2" t="s">
        <v>3704</v>
      </c>
      <c r="C2640" s="2" t="s">
        <v>3875</v>
      </c>
      <c r="D2640" s="2" t="s">
        <v>3881</v>
      </c>
      <c r="E2640" s="3">
        <v>45394</v>
      </c>
      <c r="F2640" s="3">
        <v>45400</v>
      </c>
      <c r="G2640" s="2" t="s">
        <v>3886</v>
      </c>
      <c r="H2640" s="2">
        <v>533121</v>
      </c>
      <c r="I2640" s="2">
        <v>40086</v>
      </c>
      <c r="J2640" s="2" t="s">
        <v>3888</v>
      </c>
      <c r="K2640" s="2" t="s">
        <v>3895</v>
      </c>
      <c r="L2640" s="2">
        <v>2024</v>
      </c>
      <c r="M2640" s="2">
        <v>493035</v>
      </c>
      <c r="N2640" s="2">
        <f xml:space="preserve"> (Table1[[#This Row],[Variance (USD)]] / Table1[[#This Row],[Actual Spending (USD)]]) * 100</f>
        <v>1229.9431222870828</v>
      </c>
      <c r="O2640" s="5" t="s">
        <v>3899</v>
      </c>
    </row>
    <row r="2641" spans="1:15" x14ac:dyDescent="0.25">
      <c r="A2641" s="4" t="s">
        <v>2654</v>
      </c>
      <c r="B2641" s="2" t="s">
        <v>3319</v>
      </c>
      <c r="C2641" s="2" t="s">
        <v>3868</v>
      </c>
      <c r="D2641" s="2" t="s">
        <v>3882</v>
      </c>
      <c r="E2641" s="3">
        <v>45087</v>
      </c>
      <c r="F2641" s="3">
        <v>45997</v>
      </c>
      <c r="G2641" s="2" t="s">
        <v>3885</v>
      </c>
      <c r="H2641" s="2">
        <v>150353</v>
      </c>
      <c r="I2641" s="2">
        <v>1030780</v>
      </c>
      <c r="J2641" s="2" t="s">
        <v>3890</v>
      </c>
      <c r="K2641" s="2" t="s">
        <v>3894</v>
      </c>
      <c r="L2641" s="2">
        <v>2024</v>
      </c>
      <c r="M2641" s="2">
        <v>-880427</v>
      </c>
      <c r="N2641" s="2">
        <f xml:space="preserve"> (Table1[[#This Row],[Variance (USD)]] / Table1[[#This Row],[Actual Spending (USD)]]) * 100</f>
        <v>-85.413667319893676</v>
      </c>
      <c r="O2641" s="5" t="s">
        <v>3898</v>
      </c>
    </row>
    <row r="2642" spans="1:15" x14ac:dyDescent="0.25">
      <c r="A2642" s="4" t="s">
        <v>2655</v>
      </c>
      <c r="B2642" s="2" t="s">
        <v>3403</v>
      </c>
      <c r="C2642" s="2" t="s">
        <v>3871</v>
      </c>
      <c r="D2642" s="2" t="s">
        <v>3879</v>
      </c>
      <c r="E2642" s="3">
        <v>45196</v>
      </c>
      <c r="F2642" s="3">
        <v>45326</v>
      </c>
      <c r="G2642" s="2" t="s">
        <v>3886</v>
      </c>
      <c r="H2642" s="2">
        <v>823331</v>
      </c>
      <c r="I2642" s="2">
        <v>383198</v>
      </c>
      <c r="J2642" s="2" t="s">
        <v>3891</v>
      </c>
      <c r="K2642" s="2" t="s">
        <v>3893</v>
      </c>
      <c r="L2642" s="2">
        <v>2025</v>
      </c>
      <c r="M2642" s="2">
        <v>440133</v>
      </c>
      <c r="N2642" s="2">
        <f xml:space="preserve"> (Table1[[#This Row],[Variance (USD)]] / Table1[[#This Row],[Actual Spending (USD)]]) * 100</f>
        <v>114.85785416416579</v>
      </c>
      <c r="O2642" s="5" t="s">
        <v>3899</v>
      </c>
    </row>
    <row r="2643" spans="1:15" x14ac:dyDescent="0.25">
      <c r="A2643" s="4" t="s">
        <v>2656</v>
      </c>
      <c r="B2643" s="2" t="s">
        <v>3414</v>
      </c>
      <c r="C2643" s="2" t="s">
        <v>3870</v>
      </c>
      <c r="D2643" s="2" t="s">
        <v>3883</v>
      </c>
      <c r="E2643" s="3">
        <v>44982</v>
      </c>
      <c r="F2643" s="3">
        <v>45758</v>
      </c>
      <c r="G2643" s="2" t="s">
        <v>3886</v>
      </c>
      <c r="H2643" s="2">
        <v>742803</v>
      </c>
      <c r="I2643" s="2">
        <v>856164</v>
      </c>
      <c r="J2643" s="2" t="s">
        <v>3891</v>
      </c>
      <c r="K2643" s="2" t="s">
        <v>3894</v>
      </c>
      <c r="L2643" s="2">
        <v>2025</v>
      </c>
      <c r="M2643" s="2">
        <v>-113361</v>
      </c>
      <c r="N2643" s="2">
        <f xml:space="preserve"> (Table1[[#This Row],[Variance (USD)]] / Table1[[#This Row],[Actual Spending (USD)]]) * 100</f>
        <v>-13.240570731775689</v>
      </c>
      <c r="O2643" s="5" t="s">
        <v>3899</v>
      </c>
    </row>
    <row r="2644" spans="1:15" x14ac:dyDescent="0.25">
      <c r="A2644" s="4" t="s">
        <v>2657</v>
      </c>
      <c r="B2644" s="2" t="s">
        <v>3679</v>
      </c>
      <c r="C2644" s="2" t="s">
        <v>3875</v>
      </c>
      <c r="D2644" s="2" t="s">
        <v>3879</v>
      </c>
      <c r="E2644" s="3">
        <v>45154</v>
      </c>
      <c r="F2644" s="3">
        <v>45566</v>
      </c>
      <c r="G2644" s="2" t="s">
        <v>3886</v>
      </c>
      <c r="H2644" s="2">
        <v>444879</v>
      </c>
      <c r="I2644" s="2">
        <v>945360</v>
      </c>
      <c r="J2644" s="2" t="s">
        <v>3888</v>
      </c>
      <c r="K2644" s="2" t="s">
        <v>3894</v>
      </c>
      <c r="L2644" s="2">
        <v>2025</v>
      </c>
      <c r="M2644" s="2">
        <v>-500481</v>
      </c>
      <c r="N2644" s="2">
        <f xml:space="preserve"> (Table1[[#This Row],[Variance (USD)]] / Table1[[#This Row],[Actual Spending (USD)]]) * 100</f>
        <v>-52.940784463061682</v>
      </c>
      <c r="O2644" s="5" t="s">
        <v>3899</v>
      </c>
    </row>
    <row r="2645" spans="1:15" x14ac:dyDescent="0.25">
      <c r="A2645" s="4" t="s">
        <v>2658</v>
      </c>
      <c r="B2645" s="2" t="s">
        <v>3798</v>
      </c>
      <c r="C2645" s="2" t="s">
        <v>3875</v>
      </c>
      <c r="D2645" s="2" t="s">
        <v>3878</v>
      </c>
      <c r="E2645" s="3">
        <v>45075</v>
      </c>
      <c r="F2645" s="3">
        <v>45478</v>
      </c>
      <c r="G2645" s="2" t="s">
        <v>3885</v>
      </c>
      <c r="H2645" s="2">
        <v>220316</v>
      </c>
      <c r="I2645" s="2">
        <v>256562</v>
      </c>
      <c r="J2645" s="2" t="s">
        <v>3890</v>
      </c>
      <c r="K2645" s="2" t="s">
        <v>3896</v>
      </c>
      <c r="L2645" s="2">
        <v>2023</v>
      </c>
      <c r="M2645" s="2">
        <v>-36246</v>
      </c>
      <c r="N2645" s="2">
        <f xml:space="preserve"> (Table1[[#This Row],[Variance (USD)]] / Table1[[#This Row],[Actual Spending (USD)]]) * 100</f>
        <v>-14.127579298571105</v>
      </c>
      <c r="O2645" s="5" t="s">
        <v>3898</v>
      </c>
    </row>
    <row r="2646" spans="1:15" x14ac:dyDescent="0.25">
      <c r="A2646" s="4" t="s">
        <v>2659</v>
      </c>
      <c r="B2646" s="2" t="s">
        <v>3030</v>
      </c>
      <c r="C2646" s="2" t="s">
        <v>3873</v>
      </c>
      <c r="D2646" s="2" t="s">
        <v>3876</v>
      </c>
      <c r="E2646" s="3">
        <v>44972</v>
      </c>
      <c r="F2646" s="3">
        <v>45534</v>
      </c>
      <c r="G2646" s="2" t="s">
        <v>3885</v>
      </c>
      <c r="H2646" s="2">
        <v>913996</v>
      </c>
      <c r="I2646" s="2">
        <v>1080321</v>
      </c>
      <c r="J2646" s="2" t="s">
        <v>3889</v>
      </c>
      <c r="K2646" s="2" t="s">
        <v>3894</v>
      </c>
      <c r="L2646" s="2">
        <v>2025</v>
      </c>
      <c r="M2646" s="2">
        <v>-166325</v>
      </c>
      <c r="N2646" s="2">
        <f xml:space="preserve"> (Table1[[#This Row],[Variance (USD)]] / Table1[[#This Row],[Actual Spending (USD)]]) * 100</f>
        <v>-15.395886963226671</v>
      </c>
      <c r="O2646" s="5" t="s">
        <v>3898</v>
      </c>
    </row>
    <row r="2647" spans="1:15" x14ac:dyDescent="0.25">
      <c r="A2647" s="4" t="s">
        <v>2660</v>
      </c>
      <c r="B2647" s="2" t="s">
        <v>3187</v>
      </c>
      <c r="C2647" s="2" t="s">
        <v>3873</v>
      </c>
      <c r="D2647" s="2" t="s">
        <v>3879</v>
      </c>
      <c r="E2647" s="3">
        <v>45070</v>
      </c>
      <c r="F2647" s="3">
        <v>45555</v>
      </c>
      <c r="G2647" s="2" t="s">
        <v>3884</v>
      </c>
      <c r="H2647" s="2">
        <v>196149</v>
      </c>
      <c r="I2647" s="2">
        <v>829129</v>
      </c>
      <c r="J2647" s="2" t="s">
        <v>3890</v>
      </c>
      <c r="K2647" s="2" t="s">
        <v>3896</v>
      </c>
      <c r="L2647" s="2">
        <v>2023</v>
      </c>
      <c r="M2647" s="2">
        <v>-632980</v>
      </c>
      <c r="N2647" s="2">
        <f xml:space="preserve"> (Table1[[#This Row],[Variance (USD)]] / Table1[[#This Row],[Actual Spending (USD)]]) * 100</f>
        <v>-76.342764515533773</v>
      </c>
      <c r="O2647" s="5" t="s">
        <v>3897</v>
      </c>
    </row>
    <row r="2648" spans="1:15" x14ac:dyDescent="0.25">
      <c r="A2648" s="4" t="s">
        <v>2661</v>
      </c>
      <c r="B2648" s="2" t="s">
        <v>3756</v>
      </c>
      <c r="C2648" s="2" t="s">
        <v>3868</v>
      </c>
      <c r="D2648" s="2" t="s">
        <v>3882</v>
      </c>
      <c r="E2648" s="3">
        <v>45558</v>
      </c>
      <c r="F2648" s="3">
        <v>45813</v>
      </c>
      <c r="G2648" s="2" t="s">
        <v>3885</v>
      </c>
      <c r="H2648" s="2">
        <v>763209</v>
      </c>
      <c r="I2648" s="2">
        <v>515685</v>
      </c>
      <c r="J2648" s="2" t="s">
        <v>3891</v>
      </c>
      <c r="K2648" s="2" t="s">
        <v>3894</v>
      </c>
      <c r="L2648" s="2">
        <v>2025</v>
      </c>
      <c r="M2648" s="2">
        <v>247524</v>
      </c>
      <c r="N2648" s="2">
        <f xml:space="preserve"> (Table1[[#This Row],[Variance (USD)]] / Table1[[#This Row],[Actual Spending (USD)]]) * 100</f>
        <v>47.999069199220457</v>
      </c>
      <c r="O2648" s="5" t="s">
        <v>3898</v>
      </c>
    </row>
    <row r="2649" spans="1:15" x14ac:dyDescent="0.25">
      <c r="A2649" s="4" t="s">
        <v>2662</v>
      </c>
      <c r="B2649" s="2" t="s">
        <v>3817</v>
      </c>
      <c r="C2649" s="2" t="s">
        <v>3875</v>
      </c>
      <c r="D2649" s="2" t="s">
        <v>3881</v>
      </c>
      <c r="E2649" s="3">
        <v>45266</v>
      </c>
      <c r="F2649" s="3">
        <v>45969</v>
      </c>
      <c r="G2649" s="2" t="s">
        <v>3884</v>
      </c>
      <c r="H2649" s="2">
        <v>679735</v>
      </c>
      <c r="I2649" s="2">
        <v>1082455</v>
      </c>
      <c r="J2649" s="2" t="s">
        <v>3891</v>
      </c>
      <c r="K2649" s="2" t="s">
        <v>3896</v>
      </c>
      <c r="L2649" s="2">
        <v>2025</v>
      </c>
      <c r="M2649" s="2">
        <v>-402720</v>
      </c>
      <c r="N2649" s="2">
        <f xml:space="preserve"> (Table1[[#This Row],[Variance (USD)]] / Table1[[#This Row],[Actual Spending (USD)]]) * 100</f>
        <v>-37.204317962409519</v>
      </c>
      <c r="O2649" s="5" t="s">
        <v>3897</v>
      </c>
    </row>
    <row r="2650" spans="1:15" x14ac:dyDescent="0.25">
      <c r="A2650" s="4" t="s">
        <v>2663</v>
      </c>
      <c r="B2650" s="2" t="s">
        <v>3691</v>
      </c>
      <c r="C2650" s="2" t="s">
        <v>3874</v>
      </c>
      <c r="D2650" s="2" t="s">
        <v>3877</v>
      </c>
      <c r="E2650" s="3">
        <v>45339</v>
      </c>
      <c r="F2650" s="3">
        <v>45832</v>
      </c>
      <c r="G2650" s="2" t="s">
        <v>3884</v>
      </c>
      <c r="H2650" s="2">
        <v>331775</v>
      </c>
      <c r="I2650" s="2">
        <v>246769</v>
      </c>
      <c r="J2650" s="2" t="s">
        <v>3892</v>
      </c>
      <c r="K2650" s="2" t="s">
        <v>3893</v>
      </c>
      <c r="L2650" s="2">
        <v>2023</v>
      </c>
      <c r="M2650" s="2">
        <v>85006</v>
      </c>
      <c r="N2650" s="2">
        <f xml:space="preserve"> (Table1[[#This Row],[Variance (USD)]] / Table1[[#This Row],[Actual Spending (USD)]]) * 100</f>
        <v>34.447600792644131</v>
      </c>
      <c r="O2650" s="5" t="s">
        <v>3897</v>
      </c>
    </row>
    <row r="2651" spans="1:15" x14ac:dyDescent="0.25">
      <c r="A2651" s="4" t="s">
        <v>2664</v>
      </c>
      <c r="B2651" s="2" t="s">
        <v>3413</v>
      </c>
      <c r="C2651" s="2" t="s">
        <v>3873</v>
      </c>
      <c r="D2651" s="2" t="s">
        <v>3879</v>
      </c>
      <c r="E2651" s="3">
        <v>45446</v>
      </c>
      <c r="F2651" s="3">
        <v>45378</v>
      </c>
      <c r="G2651" s="2" t="s">
        <v>3885</v>
      </c>
      <c r="H2651" s="2">
        <v>758012</v>
      </c>
      <c r="I2651" s="2">
        <v>703859</v>
      </c>
      <c r="J2651" s="2" t="s">
        <v>3891</v>
      </c>
      <c r="K2651" s="2" t="s">
        <v>3894</v>
      </c>
      <c r="L2651" s="2">
        <v>2025</v>
      </c>
      <c r="M2651" s="2">
        <v>54153</v>
      </c>
      <c r="N2651" s="2">
        <f xml:space="preserve"> (Table1[[#This Row],[Variance (USD)]] / Table1[[#This Row],[Actual Spending (USD)]]) * 100</f>
        <v>7.6937284314045851</v>
      </c>
      <c r="O2651" s="5" t="s">
        <v>3898</v>
      </c>
    </row>
    <row r="2652" spans="1:15" x14ac:dyDescent="0.25">
      <c r="A2652" s="4" t="s">
        <v>2665</v>
      </c>
      <c r="B2652" s="2" t="s">
        <v>3722</v>
      </c>
      <c r="C2652" s="2" t="s">
        <v>3871</v>
      </c>
      <c r="D2652" s="2" t="s">
        <v>3876</v>
      </c>
      <c r="E2652" s="3">
        <v>45270</v>
      </c>
      <c r="F2652" s="3">
        <v>45826</v>
      </c>
      <c r="G2652" s="2" t="s">
        <v>3884</v>
      </c>
      <c r="H2652" s="2">
        <v>510662</v>
      </c>
      <c r="I2652" s="2">
        <v>773537</v>
      </c>
      <c r="J2652" s="2" t="s">
        <v>3892</v>
      </c>
      <c r="K2652" s="2" t="s">
        <v>3893</v>
      </c>
      <c r="L2652" s="2">
        <v>2025</v>
      </c>
      <c r="M2652" s="2">
        <v>-262875</v>
      </c>
      <c r="N2652" s="2">
        <f xml:space="preserve"> (Table1[[#This Row],[Variance (USD)]] / Table1[[#This Row],[Actual Spending (USD)]]) * 100</f>
        <v>-33.98350692985597</v>
      </c>
      <c r="O2652" s="5" t="s">
        <v>3897</v>
      </c>
    </row>
    <row r="2653" spans="1:15" x14ac:dyDescent="0.25">
      <c r="A2653" s="4" t="s">
        <v>2666</v>
      </c>
      <c r="B2653" s="2" t="s">
        <v>3680</v>
      </c>
      <c r="C2653" s="2" t="s">
        <v>3874</v>
      </c>
      <c r="D2653" s="2" t="s">
        <v>3883</v>
      </c>
      <c r="E2653" s="3">
        <v>45313</v>
      </c>
      <c r="F2653" s="3">
        <v>45501</v>
      </c>
      <c r="G2653" s="2" t="s">
        <v>3885</v>
      </c>
      <c r="H2653" s="2">
        <v>869932</v>
      </c>
      <c r="I2653" s="2">
        <v>853681</v>
      </c>
      <c r="J2653" s="2" t="s">
        <v>3891</v>
      </c>
      <c r="K2653" s="2" t="s">
        <v>3894</v>
      </c>
      <c r="L2653" s="2">
        <v>2025</v>
      </c>
      <c r="M2653" s="2">
        <v>16251</v>
      </c>
      <c r="N2653" s="2">
        <f xml:space="preserve"> (Table1[[#This Row],[Variance (USD)]] / Table1[[#This Row],[Actual Spending (USD)]]) * 100</f>
        <v>1.9036384785417506</v>
      </c>
      <c r="O2653" s="5" t="s">
        <v>3898</v>
      </c>
    </row>
    <row r="2654" spans="1:15" x14ac:dyDescent="0.25">
      <c r="A2654" s="4" t="s">
        <v>2667</v>
      </c>
      <c r="B2654" s="2" t="s">
        <v>3136</v>
      </c>
      <c r="C2654" s="2" t="s">
        <v>3873</v>
      </c>
      <c r="D2654" s="2" t="s">
        <v>3881</v>
      </c>
      <c r="E2654" s="3">
        <v>45399</v>
      </c>
      <c r="F2654" s="3">
        <v>45337</v>
      </c>
      <c r="G2654" s="2" t="s">
        <v>3884</v>
      </c>
      <c r="H2654" s="2">
        <v>463113</v>
      </c>
      <c r="I2654" s="2">
        <v>447065</v>
      </c>
      <c r="J2654" s="2" t="s">
        <v>3891</v>
      </c>
      <c r="K2654" s="2" t="s">
        <v>3895</v>
      </c>
      <c r="L2654" s="2">
        <v>2024</v>
      </c>
      <c r="M2654" s="2">
        <v>16048</v>
      </c>
      <c r="N2654" s="2">
        <f xml:space="preserve"> (Table1[[#This Row],[Variance (USD)]] / Table1[[#This Row],[Actual Spending (USD)]]) * 100</f>
        <v>3.5896346168901609</v>
      </c>
      <c r="O2654" s="5" t="s">
        <v>3897</v>
      </c>
    </row>
    <row r="2655" spans="1:15" x14ac:dyDescent="0.25">
      <c r="A2655" s="4" t="s">
        <v>2668</v>
      </c>
      <c r="B2655" s="2" t="s">
        <v>3261</v>
      </c>
      <c r="C2655" s="2" t="s">
        <v>3872</v>
      </c>
      <c r="D2655" s="2" t="s">
        <v>3883</v>
      </c>
      <c r="E2655" s="3">
        <v>45201</v>
      </c>
      <c r="F2655" s="3">
        <v>45758</v>
      </c>
      <c r="G2655" s="2" t="s">
        <v>3884</v>
      </c>
      <c r="H2655" s="2">
        <v>371059</v>
      </c>
      <c r="I2655" s="2">
        <v>1046737</v>
      </c>
      <c r="J2655" s="2" t="s">
        <v>3889</v>
      </c>
      <c r="K2655" s="2" t="s">
        <v>3895</v>
      </c>
      <c r="L2655" s="2">
        <v>2025</v>
      </c>
      <c r="M2655" s="2">
        <v>-675678</v>
      </c>
      <c r="N2655" s="2">
        <f xml:space="preserve"> (Table1[[#This Row],[Variance (USD)]] / Table1[[#This Row],[Actual Spending (USD)]]) * 100</f>
        <v>-64.55088527490669</v>
      </c>
      <c r="O2655" s="5" t="s">
        <v>3897</v>
      </c>
    </row>
    <row r="2656" spans="1:15" x14ac:dyDescent="0.25">
      <c r="A2656" s="4" t="s">
        <v>2669</v>
      </c>
      <c r="B2656" s="2" t="s">
        <v>3097</v>
      </c>
      <c r="C2656" s="2" t="s">
        <v>3872</v>
      </c>
      <c r="D2656" s="2" t="s">
        <v>3876</v>
      </c>
      <c r="E2656" s="3">
        <v>45279</v>
      </c>
      <c r="F2656" s="3">
        <v>45831</v>
      </c>
      <c r="G2656" s="2" t="s">
        <v>3884</v>
      </c>
      <c r="H2656" s="2">
        <v>939192</v>
      </c>
      <c r="I2656" s="2">
        <v>758669</v>
      </c>
      <c r="J2656" s="2" t="s">
        <v>3892</v>
      </c>
      <c r="K2656" s="2" t="s">
        <v>3893</v>
      </c>
      <c r="L2656" s="2">
        <v>2023</v>
      </c>
      <c r="M2656" s="2">
        <v>180523</v>
      </c>
      <c r="N2656" s="2">
        <f xml:space="preserve"> (Table1[[#This Row],[Variance (USD)]] / Table1[[#This Row],[Actual Spending (USD)]]) * 100</f>
        <v>23.794698346709829</v>
      </c>
      <c r="O2656" s="5" t="s">
        <v>3897</v>
      </c>
    </row>
    <row r="2657" spans="1:15" x14ac:dyDescent="0.25">
      <c r="A2657" s="4" t="s">
        <v>2670</v>
      </c>
      <c r="B2657" s="2" t="s">
        <v>3301</v>
      </c>
      <c r="C2657" s="2" t="s">
        <v>3873</v>
      </c>
      <c r="D2657" s="2" t="s">
        <v>3881</v>
      </c>
      <c r="E2657" s="3">
        <v>44992</v>
      </c>
      <c r="F2657" s="3">
        <v>45317</v>
      </c>
      <c r="G2657" s="2" t="s">
        <v>3884</v>
      </c>
      <c r="H2657" s="2">
        <v>339041</v>
      </c>
      <c r="I2657" s="2">
        <v>321220</v>
      </c>
      <c r="J2657" s="2" t="s">
        <v>3892</v>
      </c>
      <c r="K2657" s="2" t="s">
        <v>3893</v>
      </c>
      <c r="L2657" s="2">
        <v>2023</v>
      </c>
      <c r="M2657" s="2">
        <v>17821</v>
      </c>
      <c r="N2657" s="2">
        <f xml:space="preserve"> (Table1[[#This Row],[Variance (USD)]] / Table1[[#This Row],[Actual Spending (USD)]]) * 100</f>
        <v>5.5479110889732901</v>
      </c>
      <c r="O2657" s="5" t="s">
        <v>3897</v>
      </c>
    </row>
    <row r="2658" spans="1:15" x14ac:dyDescent="0.25">
      <c r="A2658" s="4" t="s">
        <v>2671</v>
      </c>
      <c r="B2658" s="2" t="s">
        <v>3322</v>
      </c>
      <c r="C2658" s="2" t="s">
        <v>3875</v>
      </c>
      <c r="D2658" s="2" t="s">
        <v>3878</v>
      </c>
      <c r="E2658" s="3">
        <v>45005</v>
      </c>
      <c r="F2658" s="3">
        <v>45557</v>
      </c>
      <c r="G2658" s="2" t="s">
        <v>3886</v>
      </c>
      <c r="H2658" s="2">
        <v>752640</v>
      </c>
      <c r="I2658" s="2">
        <v>755483</v>
      </c>
      <c r="J2658" s="2" t="s">
        <v>3891</v>
      </c>
      <c r="K2658" s="2" t="s">
        <v>3895</v>
      </c>
      <c r="L2658" s="2">
        <v>2023</v>
      </c>
      <c r="M2658" s="2">
        <v>-2843</v>
      </c>
      <c r="N2658" s="2">
        <f xml:space="preserve"> (Table1[[#This Row],[Variance (USD)]] / Table1[[#This Row],[Actual Spending (USD)]]) * 100</f>
        <v>-0.37631554912552634</v>
      </c>
      <c r="O2658" s="5" t="s">
        <v>3899</v>
      </c>
    </row>
    <row r="2659" spans="1:15" x14ac:dyDescent="0.25">
      <c r="A2659" s="4" t="s">
        <v>2672</v>
      </c>
      <c r="B2659" s="2" t="s">
        <v>3509</v>
      </c>
      <c r="C2659" s="2" t="s">
        <v>3870</v>
      </c>
      <c r="D2659" s="2" t="s">
        <v>3881</v>
      </c>
      <c r="E2659" s="3">
        <v>45524</v>
      </c>
      <c r="F2659" s="3">
        <v>45466</v>
      </c>
      <c r="G2659" s="2" t="s">
        <v>3884</v>
      </c>
      <c r="H2659" s="2">
        <v>675927</v>
      </c>
      <c r="I2659" s="2">
        <v>718484</v>
      </c>
      <c r="J2659" s="2" t="s">
        <v>3892</v>
      </c>
      <c r="K2659" s="2" t="s">
        <v>3895</v>
      </c>
      <c r="L2659" s="2">
        <v>2025</v>
      </c>
      <c r="M2659" s="2">
        <v>-42557</v>
      </c>
      <c r="N2659" s="2">
        <f xml:space="preserve"> (Table1[[#This Row],[Variance (USD)]] / Table1[[#This Row],[Actual Spending (USD)]]) * 100</f>
        <v>-5.9231659995212143</v>
      </c>
      <c r="O2659" s="5" t="s">
        <v>3897</v>
      </c>
    </row>
    <row r="2660" spans="1:15" x14ac:dyDescent="0.25">
      <c r="A2660" s="4" t="s">
        <v>2673</v>
      </c>
      <c r="B2660" s="2" t="s">
        <v>3094</v>
      </c>
      <c r="C2660" s="2" t="s">
        <v>3870</v>
      </c>
      <c r="D2660" s="2" t="s">
        <v>3878</v>
      </c>
      <c r="E2660" s="3">
        <v>45562</v>
      </c>
      <c r="F2660" s="3">
        <v>45807</v>
      </c>
      <c r="G2660" s="2" t="s">
        <v>3884</v>
      </c>
      <c r="H2660" s="2">
        <v>950281</v>
      </c>
      <c r="I2660" s="2">
        <v>701147</v>
      </c>
      <c r="J2660" s="2" t="s">
        <v>3891</v>
      </c>
      <c r="K2660" s="2" t="s">
        <v>3896</v>
      </c>
      <c r="L2660" s="2">
        <v>2023</v>
      </c>
      <c r="M2660" s="2">
        <v>249134</v>
      </c>
      <c r="N2660" s="2">
        <f xml:space="preserve"> (Table1[[#This Row],[Variance (USD)]] / Table1[[#This Row],[Actual Spending (USD)]]) * 100</f>
        <v>35.53234913648636</v>
      </c>
      <c r="O2660" s="5" t="s">
        <v>3897</v>
      </c>
    </row>
    <row r="2661" spans="1:15" x14ac:dyDescent="0.25">
      <c r="A2661" s="4" t="s">
        <v>2674</v>
      </c>
      <c r="B2661" s="2" t="s">
        <v>3810</v>
      </c>
      <c r="C2661" s="2" t="s">
        <v>3875</v>
      </c>
      <c r="D2661" s="2" t="s">
        <v>3883</v>
      </c>
      <c r="E2661" s="3">
        <v>45128</v>
      </c>
      <c r="F2661" s="3">
        <v>45602</v>
      </c>
      <c r="G2661" s="2" t="s">
        <v>3884</v>
      </c>
      <c r="H2661" s="2">
        <v>161118</v>
      </c>
      <c r="I2661" s="2">
        <v>378128</v>
      </c>
      <c r="J2661" s="2" t="s">
        <v>3891</v>
      </c>
      <c r="K2661" s="2" t="s">
        <v>3894</v>
      </c>
      <c r="L2661" s="2">
        <v>2024</v>
      </c>
      <c r="M2661" s="2">
        <v>-217010</v>
      </c>
      <c r="N2661" s="2">
        <f xml:space="preserve"> (Table1[[#This Row],[Variance (USD)]] / Table1[[#This Row],[Actual Spending (USD)]]) * 100</f>
        <v>-57.390619049633983</v>
      </c>
      <c r="O2661" s="5" t="s">
        <v>3897</v>
      </c>
    </row>
    <row r="2662" spans="1:15" x14ac:dyDescent="0.25">
      <c r="A2662" s="4" t="s">
        <v>2675</v>
      </c>
      <c r="B2662" s="2" t="s">
        <v>3736</v>
      </c>
      <c r="C2662" s="2" t="s">
        <v>3869</v>
      </c>
      <c r="D2662" s="2" t="s">
        <v>3883</v>
      </c>
      <c r="E2662" s="3">
        <v>45588</v>
      </c>
      <c r="F2662" s="3">
        <v>45613</v>
      </c>
      <c r="G2662" s="2" t="s">
        <v>3884</v>
      </c>
      <c r="H2662" s="2">
        <v>369464</v>
      </c>
      <c r="I2662" s="2">
        <v>1149611</v>
      </c>
      <c r="J2662" s="2" t="s">
        <v>3890</v>
      </c>
      <c r="K2662" s="2" t="s">
        <v>3895</v>
      </c>
      <c r="L2662" s="2">
        <v>2023</v>
      </c>
      <c r="M2662" s="2">
        <v>-780147</v>
      </c>
      <c r="N2662" s="2">
        <f xml:space="preserve"> (Table1[[#This Row],[Variance (USD)]] / Table1[[#This Row],[Actual Spending (USD)]]) * 100</f>
        <v>-67.861824565005037</v>
      </c>
      <c r="O2662" s="5" t="s">
        <v>3897</v>
      </c>
    </row>
    <row r="2663" spans="1:15" x14ac:dyDescent="0.25">
      <c r="A2663" s="4" t="s">
        <v>2676</v>
      </c>
      <c r="B2663" s="2" t="s">
        <v>3461</v>
      </c>
      <c r="C2663" s="2" t="s">
        <v>3870</v>
      </c>
      <c r="D2663" s="2" t="s">
        <v>3876</v>
      </c>
      <c r="E2663" s="3">
        <v>45484</v>
      </c>
      <c r="F2663" s="3">
        <v>45870</v>
      </c>
      <c r="G2663" s="2" t="s">
        <v>3886</v>
      </c>
      <c r="H2663" s="2">
        <v>777952</v>
      </c>
      <c r="I2663" s="2">
        <v>1082417</v>
      </c>
      <c r="J2663" s="2" t="s">
        <v>3892</v>
      </c>
      <c r="K2663" s="2" t="s">
        <v>3893</v>
      </c>
      <c r="L2663" s="2">
        <v>2025</v>
      </c>
      <c r="M2663" s="2">
        <v>-304465</v>
      </c>
      <c r="N2663" s="2">
        <f xml:space="preserve"> (Table1[[#This Row],[Variance (USD)]] / Table1[[#This Row],[Actual Spending (USD)]]) * 100</f>
        <v>-28.128253713679662</v>
      </c>
      <c r="O2663" s="5" t="s">
        <v>3899</v>
      </c>
    </row>
    <row r="2664" spans="1:15" x14ac:dyDescent="0.25">
      <c r="A2664" s="4" t="s">
        <v>2677</v>
      </c>
      <c r="B2664" s="2" t="s">
        <v>3807</v>
      </c>
      <c r="C2664" s="2" t="s">
        <v>3872</v>
      </c>
      <c r="D2664" s="2" t="s">
        <v>3878</v>
      </c>
      <c r="E2664" s="3">
        <v>45039</v>
      </c>
      <c r="F2664" s="3">
        <v>45426</v>
      </c>
      <c r="G2664" s="2" t="s">
        <v>3884</v>
      </c>
      <c r="H2664" s="2">
        <v>537702</v>
      </c>
      <c r="I2664" s="2">
        <v>579690</v>
      </c>
      <c r="J2664" s="2" t="s">
        <v>3888</v>
      </c>
      <c r="K2664" s="2" t="s">
        <v>3893</v>
      </c>
      <c r="L2664" s="2">
        <v>2024</v>
      </c>
      <c r="M2664" s="2">
        <v>-41988</v>
      </c>
      <c r="N2664" s="2">
        <f xml:space="preserve"> (Table1[[#This Row],[Variance (USD)]] / Table1[[#This Row],[Actual Spending (USD)]]) * 100</f>
        <v>-7.2431817005640937</v>
      </c>
      <c r="O2664" s="5" t="s">
        <v>3897</v>
      </c>
    </row>
    <row r="2665" spans="1:15" x14ac:dyDescent="0.25">
      <c r="A2665" s="4" t="s">
        <v>2678</v>
      </c>
      <c r="B2665" s="2" t="s">
        <v>3394</v>
      </c>
      <c r="C2665" s="2" t="s">
        <v>3871</v>
      </c>
      <c r="D2665" s="2" t="s">
        <v>3883</v>
      </c>
      <c r="E2665" s="3">
        <v>45017</v>
      </c>
      <c r="F2665" s="3">
        <v>45346</v>
      </c>
      <c r="G2665" s="2" t="s">
        <v>3886</v>
      </c>
      <c r="H2665" s="2">
        <v>904721</v>
      </c>
      <c r="I2665" s="2">
        <v>403857</v>
      </c>
      <c r="J2665" s="2" t="s">
        <v>3892</v>
      </c>
      <c r="K2665" s="2" t="s">
        <v>3895</v>
      </c>
      <c r="L2665" s="2">
        <v>2023</v>
      </c>
      <c r="M2665" s="2">
        <v>500864</v>
      </c>
      <c r="N2665" s="2">
        <f xml:space="preserve"> (Table1[[#This Row],[Variance (USD)]] / Table1[[#This Row],[Actual Spending (USD)]]) * 100</f>
        <v>124.02013584016125</v>
      </c>
      <c r="O2665" s="5" t="s">
        <v>3899</v>
      </c>
    </row>
    <row r="2666" spans="1:15" x14ac:dyDescent="0.25">
      <c r="A2666" s="4" t="s">
        <v>2679</v>
      </c>
      <c r="B2666" s="2" t="s">
        <v>3028</v>
      </c>
      <c r="C2666" s="2" t="s">
        <v>3875</v>
      </c>
      <c r="D2666" s="2" t="s">
        <v>3878</v>
      </c>
      <c r="E2666" s="3">
        <v>45067</v>
      </c>
      <c r="F2666" s="3">
        <v>45834</v>
      </c>
      <c r="G2666" s="2" t="s">
        <v>3885</v>
      </c>
      <c r="H2666" s="2">
        <v>606229</v>
      </c>
      <c r="I2666" s="2">
        <v>1036095</v>
      </c>
      <c r="J2666" s="2" t="s">
        <v>3892</v>
      </c>
      <c r="K2666" s="2" t="s">
        <v>3893</v>
      </c>
      <c r="L2666" s="2">
        <v>2024</v>
      </c>
      <c r="M2666" s="2">
        <v>-429866</v>
      </c>
      <c r="N2666" s="2">
        <f xml:space="preserve"> (Table1[[#This Row],[Variance (USD)]] / Table1[[#This Row],[Actual Spending (USD)]]) * 100</f>
        <v>-41.489052644786433</v>
      </c>
      <c r="O2666" s="5" t="s">
        <v>3898</v>
      </c>
    </row>
    <row r="2667" spans="1:15" x14ac:dyDescent="0.25">
      <c r="A2667" s="4" t="s">
        <v>2680</v>
      </c>
      <c r="B2667" s="2" t="s">
        <v>3282</v>
      </c>
      <c r="C2667" s="2" t="s">
        <v>3868</v>
      </c>
      <c r="D2667" s="2" t="s">
        <v>3883</v>
      </c>
      <c r="E2667" s="3">
        <v>45215</v>
      </c>
      <c r="F2667" s="3">
        <v>45877</v>
      </c>
      <c r="G2667" s="2" t="s">
        <v>3886</v>
      </c>
      <c r="H2667" s="2">
        <v>805036</v>
      </c>
      <c r="I2667" s="2">
        <v>127807</v>
      </c>
      <c r="J2667" s="2" t="s">
        <v>3889</v>
      </c>
      <c r="K2667" s="2" t="s">
        <v>3894</v>
      </c>
      <c r="L2667" s="2">
        <v>2023</v>
      </c>
      <c r="M2667" s="2">
        <v>677229</v>
      </c>
      <c r="N2667" s="2">
        <f xml:space="preserve"> (Table1[[#This Row],[Variance (USD)]] / Table1[[#This Row],[Actual Spending (USD)]]) * 100</f>
        <v>529.88412215293374</v>
      </c>
      <c r="O2667" s="5" t="s">
        <v>3899</v>
      </c>
    </row>
    <row r="2668" spans="1:15" x14ac:dyDescent="0.25">
      <c r="A2668" s="4" t="s">
        <v>2681</v>
      </c>
      <c r="B2668" s="2" t="s">
        <v>3849</v>
      </c>
      <c r="C2668" s="2" t="s">
        <v>3872</v>
      </c>
      <c r="D2668" s="2" t="s">
        <v>3881</v>
      </c>
      <c r="E2668" s="3">
        <v>45656</v>
      </c>
      <c r="F2668" s="3">
        <v>45822</v>
      </c>
      <c r="G2668" s="2" t="s">
        <v>3885</v>
      </c>
      <c r="H2668" s="2">
        <v>195306</v>
      </c>
      <c r="I2668" s="2">
        <v>839669</v>
      </c>
      <c r="J2668" s="2" t="s">
        <v>3888</v>
      </c>
      <c r="K2668" s="2" t="s">
        <v>3896</v>
      </c>
      <c r="L2668" s="2">
        <v>2025</v>
      </c>
      <c r="M2668" s="2">
        <v>-644363</v>
      </c>
      <c r="N2668" s="2">
        <f xml:space="preserve"> (Table1[[#This Row],[Variance (USD)]] / Table1[[#This Row],[Actual Spending (USD)]]) * 100</f>
        <v>-76.740120214036722</v>
      </c>
      <c r="O2668" s="5" t="s">
        <v>3898</v>
      </c>
    </row>
    <row r="2669" spans="1:15" x14ac:dyDescent="0.25">
      <c r="A2669" s="4" t="s">
        <v>2682</v>
      </c>
      <c r="B2669" s="2" t="s">
        <v>3771</v>
      </c>
      <c r="C2669" s="2" t="s">
        <v>3871</v>
      </c>
      <c r="D2669" s="2" t="s">
        <v>3879</v>
      </c>
      <c r="E2669" s="3">
        <v>45515</v>
      </c>
      <c r="F2669" s="3">
        <v>45447</v>
      </c>
      <c r="G2669" s="2" t="s">
        <v>3884</v>
      </c>
      <c r="H2669" s="2">
        <v>649460</v>
      </c>
      <c r="I2669" s="2">
        <v>237382</v>
      </c>
      <c r="J2669" s="2" t="s">
        <v>3888</v>
      </c>
      <c r="K2669" s="2" t="s">
        <v>3894</v>
      </c>
      <c r="L2669" s="2">
        <v>2024</v>
      </c>
      <c r="M2669" s="2">
        <v>412078</v>
      </c>
      <c r="N2669" s="2">
        <f xml:space="preserve"> (Table1[[#This Row],[Variance (USD)]] / Table1[[#This Row],[Actual Spending (USD)]]) * 100</f>
        <v>173.59277451533814</v>
      </c>
      <c r="O2669" s="5" t="s">
        <v>3897</v>
      </c>
    </row>
    <row r="2670" spans="1:15" x14ac:dyDescent="0.25">
      <c r="A2670" s="4" t="s">
        <v>2683</v>
      </c>
      <c r="B2670" s="2" t="s">
        <v>3811</v>
      </c>
      <c r="C2670" s="2" t="s">
        <v>3871</v>
      </c>
      <c r="D2670" s="2" t="s">
        <v>3882</v>
      </c>
      <c r="E2670" s="3">
        <v>45337</v>
      </c>
      <c r="F2670" s="3">
        <v>45959</v>
      </c>
      <c r="G2670" s="2" t="s">
        <v>3884</v>
      </c>
      <c r="H2670" s="2">
        <v>53376</v>
      </c>
      <c r="I2670" s="2">
        <v>423769</v>
      </c>
      <c r="J2670" s="2" t="s">
        <v>3889</v>
      </c>
      <c r="K2670" s="2" t="s">
        <v>3896</v>
      </c>
      <c r="L2670" s="2">
        <v>2023</v>
      </c>
      <c r="M2670" s="2">
        <v>-370393</v>
      </c>
      <c r="N2670" s="2">
        <f xml:space="preserve"> (Table1[[#This Row],[Variance (USD)]] / Table1[[#This Row],[Actual Spending (USD)]]) * 100</f>
        <v>-87.404458561150051</v>
      </c>
      <c r="O2670" s="5" t="s">
        <v>3897</v>
      </c>
    </row>
    <row r="2671" spans="1:15" x14ac:dyDescent="0.25">
      <c r="A2671" s="4" t="s">
        <v>2684</v>
      </c>
      <c r="B2671" s="2" t="s">
        <v>3363</v>
      </c>
      <c r="C2671" s="2" t="s">
        <v>3875</v>
      </c>
      <c r="D2671" s="2" t="s">
        <v>3877</v>
      </c>
      <c r="E2671" s="3">
        <v>45303</v>
      </c>
      <c r="F2671" s="3">
        <v>45438</v>
      </c>
      <c r="G2671" s="2" t="s">
        <v>3885</v>
      </c>
      <c r="H2671" s="2">
        <v>342927</v>
      </c>
      <c r="I2671" s="2">
        <v>699220</v>
      </c>
      <c r="J2671" s="2" t="s">
        <v>3889</v>
      </c>
      <c r="K2671" s="2" t="s">
        <v>3896</v>
      </c>
      <c r="L2671" s="2">
        <v>2023</v>
      </c>
      <c r="M2671" s="2">
        <v>-356293</v>
      </c>
      <c r="N2671" s="2">
        <f xml:space="preserve"> (Table1[[#This Row],[Variance (USD)]] / Table1[[#This Row],[Actual Spending (USD)]]) * 100</f>
        <v>-50.955779296930871</v>
      </c>
      <c r="O2671" s="5" t="s">
        <v>3898</v>
      </c>
    </row>
    <row r="2672" spans="1:15" x14ac:dyDescent="0.25">
      <c r="A2672" s="4" t="s">
        <v>2685</v>
      </c>
      <c r="B2672" s="2" t="s">
        <v>3696</v>
      </c>
      <c r="C2672" s="2" t="s">
        <v>3871</v>
      </c>
      <c r="D2672" s="2" t="s">
        <v>3882</v>
      </c>
      <c r="E2672" s="3">
        <v>45310</v>
      </c>
      <c r="F2672" s="3">
        <v>45776</v>
      </c>
      <c r="G2672" s="2" t="s">
        <v>3886</v>
      </c>
      <c r="H2672" s="2">
        <v>484465</v>
      </c>
      <c r="I2672" s="2">
        <v>644727</v>
      </c>
      <c r="J2672" s="2" t="s">
        <v>3892</v>
      </c>
      <c r="K2672" s="2" t="s">
        <v>3895</v>
      </c>
      <c r="L2672" s="2">
        <v>2024</v>
      </c>
      <c r="M2672" s="2">
        <v>-160262</v>
      </c>
      <c r="N2672" s="2">
        <f xml:space="preserve"> (Table1[[#This Row],[Variance (USD)]] / Table1[[#This Row],[Actual Spending (USD)]]) * 100</f>
        <v>-24.857342720252138</v>
      </c>
      <c r="O2672" s="5" t="s">
        <v>3899</v>
      </c>
    </row>
    <row r="2673" spans="1:15" x14ac:dyDescent="0.25">
      <c r="A2673" s="4" t="s">
        <v>2686</v>
      </c>
      <c r="B2673" s="2" t="s">
        <v>3850</v>
      </c>
      <c r="C2673" s="2" t="s">
        <v>3875</v>
      </c>
      <c r="D2673" s="2" t="s">
        <v>3881</v>
      </c>
      <c r="E2673" s="3">
        <v>45078</v>
      </c>
      <c r="F2673" s="3">
        <v>45890</v>
      </c>
      <c r="G2673" s="2" t="s">
        <v>3886</v>
      </c>
      <c r="H2673" s="2">
        <v>355169</v>
      </c>
      <c r="I2673" s="2">
        <v>367060</v>
      </c>
      <c r="J2673" s="2" t="s">
        <v>3890</v>
      </c>
      <c r="K2673" s="2" t="s">
        <v>3893</v>
      </c>
      <c r="L2673" s="2">
        <v>2024</v>
      </c>
      <c r="M2673" s="2">
        <v>-11891</v>
      </c>
      <c r="N2673" s="2">
        <f xml:space="preserve"> (Table1[[#This Row],[Variance (USD)]] / Table1[[#This Row],[Actual Spending (USD)]]) * 100</f>
        <v>-3.239524873317714</v>
      </c>
      <c r="O2673" s="5" t="s">
        <v>3899</v>
      </c>
    </row>
    <row r="2674" spans="1:15" x14ac:dyDescent="0.25">
      <c r="A2674" s="4" t="s">
        <v>2687</v>
      </c>
      <c r="B2674" s="2" t="s">
        <v>3637</v>
      </c>
      <c r="C2674" s="2" t="s">
        <v>3870</v>
      </c>
      <c r="D2674" s="2" t="s">
        <v>3880</v>
      </c>
      <c r="E2674" s="3">
        <v>45553</v>
      </c>
      <c r="F2674" s="3">
        <v>45311</v>
      </c>
      <c r="G2674" s="2" t="s">
        <v>3886</v>
      </c>
      <c r="H2674" s="2">
        <v>590735</v>
      </c>
      <c r="I2674" s="2">
        <v>86435</v>
      </c>
      <c r="J2674" s="2" t="s">
        <v>3889</v>
      </c>
      <c r="K2674" s="2" t="s">
        <v>3896</v>
      </c>
      <c r="L2674" s="2">
        <v>2024</v>
      </c>
      <c r="M2674" s="2">
        <v>504300</v>
      </c>
      <c r="N2674" s="2">
        <f xml:space="preserve"> (Table1[[#This Row],[Variance (USD)]] / Table1[[#This Row],[Actual Spending (USD)]]) * 100</f>
        <v>583.44420662925904</v>
      </c>
      <c r="O2674" s="5" t="s">
        <v>3899</v>
      </c>
    </row>
    <row r="2675" spans="1:15" x14ac:dyDescent="0.25">
      <c r="A2675" s="4" t="s">
        <v>2688</v>
      </c>
      <c r="B2675" s="2" t="s">
        <v>3186</v>
      </c>
      <c r="C2675" s="2" t="s">
        <v>3873</v>
      </c>
      <c r="D2675" s="2" t="s">
        <v>3882</v>
      </c>
      <c r="E2675" s="3">
        <v>45245</v>
      </c>
      <c r="F2675" s="3">
        <v>45560</v>
      </c>
      <c r="G2675" s="2" t="s">
        <v>3884</v>
      </c>
      <c r="H2675" s="2">
        <v>266937</v>
      </c>
      <c r="I2675" s="2">
        <v>128453</v>
      </c>
      <c r="J2675" s="2" t="s">
        <v>3888</v>
      </c>
      <c r="K2675" s="2" t="s">
        <v>3895</v>
      </c>
      <c r="L2675" s="2">
        <v>2024</v>
      </c>
      <c r="M2675" s="2">
        <v>138484</v>
      </c>
      <c r="N2675" s="2">
        <f xml:space="preserve"> (Table1[[#This Row],[Variance (USD)]] / Table1[[#This Row],[Actual Spending (USD)]]) * 100</f>
        <v>107.8090819210139</v>
      </c>
      <c r="O2675" s="5" t="s">
        <v>3897</v>
      </c>
    </row>
    <row r="2676" spans="1:15" x14ac:dyDescent="0.25">
      <c r="A2676" s="4" t="s">
        <v>2689</v>
      </c>
      <c r="B2676" s="2" t="s">
        <v>3491</v>
      </c>
      <c r="C2676" s="2" t="s">
        <v>3872</v>
      </c>
      <c r="D2676" s="2" t="s">
        <v>3879</v>
      </c>
      <c r="E2676" s="3">
        <v>45295</v>
      </c>
      <c r="F2676" s="3">
        <v>45624</v>
      </c>
      <c r="G2676" s="2" t="s">
        <v>3884</v>
      </c>
      <c r="H2676" s="2">
        <v>591001</v>
      </c>
      <c r="I2676" s="2">
        <v>550848</v>
      </c>
      <c r="J2676" s="2" t="s">
        <v>3888</v>
      </c>
      <c r="K2676" s="2" t="s">
        <v>3893</v>
      </c>
      <c r="L2676" s="2">
        <v>2023</v>
      </c>
      <c r="M2676" s="2">
        <v>40153</v>
      </c>
      <c r="N2676" s="2">
        <f xml:space="preserve"> (Table1[[#This Row],[Variance (USD)]] / Table1[[#This Row],[Actual Spending (USD)]]) * 100</f>
        <v>7.2893066689903572</v>
      </c>
      <c r="O2676" s="5" t="s">
        <v>3897</v>
      </c>
    </row>
    <row r="2677" spans="1:15" x14ac:dyDescent="0.25">
      <c r="A2677" s="4" t="s">
        <v>2690</v>
      </c>
      <c r="B2677" s="2" t="s">
        <v>3280</v>
      </c>
      <c r="C2677" s="2" t="s">
        <v>3869</v>
      </c>
      <c r="D2677" s="2" t="s">
        <v>3880</v>
      </c>
      <c r="E2677" s="3">
        <v>45532</v>
      </c>
      <c r="F2677" s="3">
        <v>45846</v>
      </c>
      <c r="G2677" s="2" t="s">
        <v>3886</v>
      </c>
      <c r="H2677" s="2">
        <v>965301</v>
      </c>
      <c r="I2677" s="2">
        <v>1081429</v>
      </c>
      <c r="J2677" s="2" t="s">
        <v>3892</v>
      </c>
      <c r="K2677" s="2" t="s">
        <v>3893</v>
      </c>
      <c r="L2677" s="2">
        <v>2023</v>
      </c>
      <c r="M2677" s="2">
        <v>-116128</v>
      </c>
      <c r="N2677" s="2">
        <f xml:space="preserve"> (Table1[[#This Row],[Variance (USD)]] / Table1[[#This Row],[Actual Spending (USD)]]) * 100</f>
        <v>-10.738384119530732</v>
      </c>
      <c r="O2677" s="5" t="s">
        <v>3899</v>
      </c>
    </row>
    <row r="2678" spans="1:15" x14ac:dyDescent="0.25">
      <c r="A2678" s="4" t="s">
        <v>2691</v>
      </c>
      <c r="B2678" s="2" t="s">
        <v>3193</v>
      </c>
      <c r="C2678" s="2" t="s">
        <v>3873</v>
      </c>
      <c r="D2678" s="2" t="s">
        <v>3883</v>
      </c>
      <c r="E2678" s="3">
        <v>45486</v>
      </c>
      <c r="F2678" s="3">
        <v>45692</v>
      </c>
      <c r="G2678" s="2" t="s">
        <v>3886</v>
      </c>
      <c r="H2678" s="2">
        <v>841290</v>
      </c>
      <c r="I2678" s="2">
        <v>140884</v>
      </c>
      <c r="J2678" s="2" t="s">
        <v>3890</v>
      </c>
      <c r="K2678" s="2" t="s">
        <v>3896</v>
      </c>
      <c r="L2678" s="2">
        <v>2023</v>
      </c>
      <c r="M2678" s="2">
        <v>700406</v>
      </c>
      <c r="N2678" s="2">
        <f xml:space="preserve"> (Table1[[#This Row],[Variance (USD)]] / Table1[[#This Row],[Actual Spending (USD)]]) * 100</f>
        <v>497.15084750574937</v>
      </c>
      <c r="O2678" s="5" t="s">
        <v>3899</v>
      </c>
    </row>
    <row r="2679" spans="1:15" x14ac:dyDescent="0.25">
      <c r="A2679" s="4" t="s">
        <v>2692</v>
      </c>
      <c r="B2679" s="2" t="s">
        <v>3724</v>
      </c>
      <c r="C2679" s="2" t="s">
        <v>3872</v>
      </c>
      <c r="D2679" s="2" t="s">
        <v>3877</v>
      </c>
      <c r="E2679" s="3">
        <v>45629</v>
      </c>
      <c r="F2679" s="3">
        <v>45597</v>
      </c>
      <c r="G2679" s="2" t="s">
        <v>3884</v>
      </c>
      <c r="H2679" s="2">
        <v>756475</v>
      </c>
      <c r="I2679" s="2">
        <v>78022</v>
      </c>
      <c r="J2679" s="2" t="s">
        <v>3891</v>
      </c>
      <c r="K2679" s="2" t="s">
        <v>3893</v>
      </c>
      <c r="L2679" s="2">
        <v>2025</v>
      </c>
      <c r="M2679" s="2">
        <v>678453</v>
      </c>
      <c r="N2679" s="2">
        <f xml:space="preserve"> (Table1[[#This Row],[Variance (USD)]] / Table1[[#This Row],[Actual Spending (USD)]]) * 100</f>
        <v>869.5662761785137</v>
      </c>
      <c r="O2679" s="5" t="s">
        <v>3897</v>
      </c>
    </row>
    <row r="2680" spans="1:15" x14ac:dyDescent="0.25">
      <c r="A2680" s="4" t="s">
        <v>2693</v>
      </c>
      <c r="B2680" s="2" t="s">
        <v>3742</v>
      </c>
      <c r="C2680" s="2" t="s">
        <v>3875</v>
      </c>
      <c r="D2680" s="2" t="s">
        <v>3877</v>
      </c>
      <c r="E2680" s="3">
        <v>45388</v>
      </c>
      <c r="F2680" s="3">
        <v>45319</v>
      </c>
      <c r="G2680" s="2" t="s">
        <v>3885</v>
      </c>
      <c r="H2680" s="2">
        <v>109834</v>
      </c>
      <c r="I2680" s="2">
        <v>325868</v>
      </c>
      <c r="J2680" s="2" t="s">
        <v>3889</v>
      </c>
      <c r="K2680" s="2" t="s">
        <v>3894</v>
      </c>
      <c r="L2680" s="2">
        <v>2024</v>
      </c>
      <c r="M2680" s="2">
        <v>-216034</v>
      </c>
      <c r="N2680" s="2">
        <f xml:space="preserve"> (Table1[[#This Row],[Variance (USD)]] / Table1[[#This Row],[Actual Spending (USD)]]) * 100</f>
        <v>-66.294941510059289</v>
      </c>
      <c r="O2680" s="5" t="s">
        <v>3898</v>
      </c>
    </row>
    <row r="2681" spans="1:15" x14ac:dyDescent="0.25">
      <c r="A2681" s="4" t="s">
        <v>2694</v>
      </c>
      <c r="B2681" s="2" t="s">
        <v>3546</v>
      </c>
      <c r="C2681" s="2" t="s">
        <v>3872</v>
      </c>
      <c r="D2681" s="2" t="s">
        <v>3883</v>
      </c>
      <c r="E2681" s="3">
        <v>44938</v>
      </c>
      <c r="F2681" s="3">
        <v>45758</v>
      </c>
      <c r="G2681" s="2" t="s">
        <v>3884</v>
      </c>
      <c r="H2681" s="2">
        <v>656348</v>
      </c>
      <c r="I2681" s="2">
        <v>827872</v>
      </c>
      <c r="J2681" s="2" t="s">
        <v>3889</v>
      </c>
      <c r="K2681" s="2" t="s">
        <v>3893</v>
      </c>
      <c r="L2681" s="2">
        <v>2023</v>
      </c>
      <c r="M2681" s="2">
        <v>-171524</v>
      </c>
      <c r="N2681" s="2">
        <f xml:space="preserve"> (Table1[[#This Row],[Variance (USD)]] / Table1[[#This Row],[Actual Spending (USD)]]) * 100</f>
        <v>-20.718661822117429</v>
      </c>
      <c r="O2681" s="5" t="s">
        <v>3897</v>
      </c>
    </row>
    <row r="2682" spans="1:15" x14ac:dyDescent="0.25">
      <c r="A2682" s="4" t="s">
        <v>2695</v>
      </c>
      <c r="B2682" s="2" t="s">
        <v>3743</v>
      </c>
      <c r="C2682" s="2" t="s">
        <v>3870</v>
      </c>
      <c r="D2682" s="2" t="s">
        <v>3883</v>
      </c>
      <c r="E2682" s="3">
        <v>45082</v>
      </c>
      <c r="F2682" s="3">
        <v>45551</v>
      </c>
      <c r="G2682" s="2" t="s">
        <v>3884</v>
      </c>
      <c r="H2682" s="2">
        <v>817283</v>
      </c>
      <c r="I2682" s="2">
        <v>453500</v>
      </c>
      <c r="J2682" s="2" t="s">
        <v>3892</v>
      </c>
      <c r="K2682" s="2" t="s">
        <v>3894</v>
      </c>
      <c r="L2682" s="2">
        <v>2024</v>
      </c>
      <c r="M2682" s="2">
        <v>363783</v>
      </c>
      <c r="N2682" s="2">
        <f xml:space="preserve"> (Table1[[#This Row],[Variance (USD)]] / Table1[[#This Row],[Actual Spending (USD)]]) * 100</f>
        <v>80.216758544652706</v>
      </c>
      <c r="O2682" s="5" t="s">
        <v>3897</v>
      </c>
    </row>
    <row r="2683" spans="1:15" x14ac:dyDescent="0.25">
      <c r="A2683" s="4" t="s">
        <v>2696</v>
      </c>
      <c r="B2683" s="2" t="s">
        <v>3099</v>
      </c>
      <c r="C2683" s="2" t="s">
        <v>3875</v>
      </c>
      <c r="D2683" s="2" t="s">
        <v>3878</v>
      </c>
      <c r="E2683" s="3">
        <v>45610</v>
      </c>
      <c r="F2683" s="3">
        <v>45825</v>
      </c>
      <c r="G2683" s="2" t="s">
        <v>3885</v>
      </c>
      <c r="H2683" s="2">
        <v>972043</v>
      </c>
      <c r="I2683" s="2">
        <v>1185487</v>
      </c>
      <c r="J2683" s="2" t="s">
        <v>3890</v>
      </c>
      <c r="K2683" s="2" t="s">
        <v>3893</v>
      </c>
      <c r="L2683" s="2">
        <v>2024</v>
      </c>
      <c r="M2683" s="2">
        <v>-213444</v>
      </c>
      <c r="N2683" s="2">
        <f xml:space="preserve"> (Table1[[#This Row],[Variance (USD)]] / Table1[[#This Row],[Actual Spending (USD)]]) * 100</f>
        <v>-18.004752477251966</v>
      </c>
      <c r="O2683" s="5" t="s">
        <v>3898</v>
      </c>
    </row>
    <row r="2684" spans="1:15" x14ac:dyDescent="0.25">
      <c r="A2684" s="4" t="s">
        <v>2697</v>
      </c>
      <c r="B2684" s="2" t="s">
        <v>3210</v>
      </c>
      <c r="C2684" s="2" t="s">
        <v>3873</v>
      </c>
      <c r="D2684" s="2" t="s">
        <v>3883</v>
      </c>
      <c r="E2684" s="3">
        <v>45403</v>
      </c>
      <c r="F2684" s="3">
        <v>45392</v>
      </c>
      <c r="G2684" s="2" t="s">
        <v>3886</v>
      </c>
      <c r="H2684" s="2">
        <v>507199</v>
      </c>
      <c r="I2684" s="2">
        <v>115694</v>
      </c>
      <c r="J2684" s="2" t="s">
        <v>3888</v>
      </c>
      <c r="K2684" s="2" t="s">
        <v>3896</v>
      </c>
      <c r="L2684" s="2">
        <v>2023</v>
      </c>
      <c r="M2684" s="2">
        <v>391505</v>
      </c>
      <c r="N2684" s="2">
        <f xml:space="preserve"> (Table1[[#This Row],[Variance (USD)]] / Table1[[#This Row],[Actual Spending (USD)]]) * 100</f>
        <v>338.39697823569065</v>
      </c>
      <c r="O2684" s="5" t="s">
        <v>3899</v>
      </c>
    </row>
    <row r="2685" spans="1:15" x14ac:dyDescent="0.25">
      <c r="A2685" s="4" t="s">
        <v>2698</v>
      </c>
      <c r="B2685" s="2" t="s">
        <v>3336</v>
      </c>
      <c r="C2685" s="2" t="s">
        <v>3868</v>
      </c>
      <c r="D2685" s="2" t="s">
        <v>3876</v>
      </c>
      <c r="E2685" s="3">
        <v>45327</v>
      </c>
      <c r="F2685" s="3">
        <v>45842</v>
      </c>
      <c r="G2685" s="2" t="s">
        <v>3884</v>
      </c>
      <c r="H2685" s="2">
        <v>462073</v>
      </c>
      <c r="I2685" s="2">
        <v>437558</v>
      </c>
      <c r="J2685" s="2" t="s">
        <v>3888</v>
      </c>
      <c r="K2685" s="2" t="s">
        <v>3896</v>
      </c>
      <c r="L2685" s="2">
        <v>2024</v>
      </c>
      <c r="M2685" s="2">
        <v>24515</v>
      </c>
      <c r="N2685" s="2">
        <f xml:space="preserve"> (Table1[[#This Row],[Variance (USD)]] / Table1[[#This Row],[Actual Spending (USD)]]) * 100</f>
        <v>5.6026858153661916</v>
      </c>
      <c r="O2685" s="5" t="s">
        <v>3897</v>
      </c>
    </row>
    <row r="2686" spans="1:15" x14ac:dyDescent="0.25">
      <c r="A2686" s="4" t="s">
        <v>2699</v>
      </c>
      <c r="B2686" s="2" t="s">
        <v>3471</v>
      </c>
      <c r="C2686" s="2" t="s">
        <v>3868</v>
      </c>
      <c r="D2686" s="2" t="s">
        <v>3882</v>
      </c>
      <c r="E2686" s="3">
        <v>45103</v>
      </c>
      <c r="F2686" s="3">
        <v>45644</v>
      </c>
      <c r="G2686" s="2" t="s">
        <v>3884</v>
      </c>
      <c r="H2686" s="2">
        <v>940330</v>
      </c>
      <c r="I2686" s="2">
        <v>225333</v>
      </c>
      <c r="J2686" s="2" t="s">
        <v>3891</v>
      </c>
      <c r="K2686" s="2" t="s">
        <v>3895</v>
      </c>
      <c r="L2686" s="2">
        <v>2024</v>
      </c>
      <c r="M2686" s="2">
        <v>714997</v>
      </c>
      <c r="N2686" s="2">
        <f xml:space="preserve"> (Table1[[#This Row],[Variance (USD)]] / Table1[[#This Row],[Actual Spending (USD)]]) * 100</f>
        <v>317.30683033554783</v>
      </c>
      <c r="O2686" s="5" t="s">
        <v>3897</v>
      </c>
    </row>
    <row r="2687" spans="1:15" x14ac:dyDescent="0.25">
      <c r="A2687" s="4" t="s">
        <v>2700</v>
      </c>
      <c r="B2687" s="2" t="s">
        <v>3371</v>
      </c>
      <c r="C2687" s="2" t="s">
        <v>3874</v>
      </c>
      <c r="D2687" s="2" t="s">
        <v>3883</v>
      </c>
      <c r="E2687" s="3">
        <v>45267</v>
      </c>
      <c r="F2687" s="3">
        <v>45591</v>
      </c>
      <c r="G2687" s="2" t="s">
        <v>3884</v>
      </c>
      <c r="H2687" s="2">
        <v>938639</v>
      </c>
      <c r="I2687" s="2">
        <v>1075901</v>
      </c>
      <c r="J2687" s="2" t="s">
        <v>3888</v>
      </c>
      <c r="K2687" s="2" t="s">
        <v>3894</v>
      </c>
      <c r="L2687" s="2">
        <v>2024</v>
      </c>
      <c r="M2687" s="2">
        <v>-137262</v>
      </c>
      <c r="N2687" s="2">
        <f xml:space="preserve"> (Table1[[#This Row],[Variance (USD)]] / Table1[[#This Row],[Actual Spending (USD)]]) * 100</f>
        <v>-12.757865268272825</v>
      </c>
      <c r="O2687" s="5" t="s">
        <v>3897</v>
      </c>
    </row>
    <row r="2688" spans="1:15" x14ac:dyDescent="0.25">
      <c r="A2688" s="4" t="s">
        <v>2701</v>
      </c>
      <c r="B2688" s="2" t="s">
        <v>3851</v>
      </c>
      <c r="C2688" s="2" t="s">
        <v>3874</v>
      </c>
      <c r="D2688" s="2" t="s">
        <v>3876</v>
      </c>
      <c r="E2688" s="3">
        <v>44983</v>
      </c>
      <c r="F2688" s="3">
        <v>45973</v>
      </c>
      <c r="G2688" s="2" t="s">
        <v>3886</v>
      </c>
      <c r="H2688" s="2">
        <v>972868</v>
      </c>
      <c r="I2688" s="2">
        <v>425151</v>
      </c>
      <c r="J2688" s="2" t="s">
        <v>3889</v>
      </c>
      <c r="K2688" s="2" t="s">
        <v>3894</v>
      </c>
      <c r="L2688" s="2">
        <v>2024</v>
      </c>
      <c r="M2688" s="2">
        <v>547717</v>
      </c>
      <c r="N2688" s="2">
        <f xml:space="preserve"> (Table1[[#This Row],[Variance (USD)]] / Table1[[#This Row],[Actual Spending (USD)]]) * 100</f>
        <v>128.82881611474511</v>
      </c>
      <c r="O2688" s="5" t="s">
        <v>3899</v>
      </c>
    </row>
    <row r="2689" spans="1:15" x14ac:dyDescent="0.25">
      <c r="A2689" s="4" t="s">
        <v>2702</v>
      </c>
      <c r="B2689" s="2" t="s">
        <v>3668</v>
      </c>
      <c r="C2689" s="2" t="s">
        <v>3872</v>
      </c>
      <c r="D2689" s="2" t="s">
        <v>3883</v>
      </c>
      <c r="E2689" s="3">
        <v>45374</v>
      </c>
      <c r="F2689" s="3">
        <v>45587</v>
      </c>
      <c r="G2689" s="2" t="s">
        <v>3884</v>
      </c>
      <c r="H2689" s="2">
        <v>247057</v>
      </c>
      <c r="I2689" s="2">
        <v>519218</v>
      </c>
      <c r="J2689" s="2" t="s">
        <v>3891</v>
      </c>
      <c r="K2689" s="2" t="s">
        <v>3896</v>
      </c>
      <c r="L2689" s="2">
        <v>2024</v>
      </c>
      <c r="M2689" s="2">
        <v>-272161</v>
      </c>
      <c r="N2689" s="2">
        <f xml:space="preserve"> (Table1[[#This Row],[Variance (USD)]] / Table1[[#This Row],[Actual Spending (USD)]]) * 100</f>
        <v>-52.41748167436414</v>
      </c>
      <c r="O2689" s="5" t="s">
        <v>3897</v>
      </c>
    </row>
    <row r="2690" spans="1:15" x14ac:dyDescent="0.25">
      <c r="A2690" s="4" t="s">
        <v>2703</v>
      </c>
      <c r="B2690" s="2" t="s">
        <v>3497</v>
      </c>
      <c r="C2690" s="2" t="s">
        <v>3868</v>
      </c>
      <c r="D2690" s="2" t="s">
        <v>3878</v>
      </c>
      <c r="E2690" s="3">
        <v>45129</v>
      </c>
      <c r="F2690" s="3">
        <v>45644</v>
      </c>
      <c r="G2690" s="2" t="s">
        <v>3885</v>
      </c>
      <c r="H2690" s="2">
        <v>502385</v>
      </c>
      <c r="I2690" s="2">
        <v>124203</v>
      </c>
      <c r="J2690" s="2" t="s">
        <v>3890</v>
      </c>
      <c r="K2690" s="2" t="s">
        <v>3896</v>
      </c>
      <c r="L2690" s="2">
        <v>2023</v>
      </c>
      <c r="M2690" s="2">
        <v>378182</v>
      </c>
      <c r="N2690" s="2">
        <f xml:space="preserve"> (Table1[[#This Row],[Variance (USD)]] / Table1[[#This Row],[Actual Spending (USD)]]) * 100</f>
        <v>304.48700917047091</v>
      </c>
      <c r="O2690" s="5" t="s">
        <v>3898</v>
      </c>
    </row>
    <row r="2691" spans="1:15" x14ac:dyDescent="0.25">
      <c r="A2691" s="4" t="s">
        <v>2704</v>
      </c>
      <c r="B2691" s="2" t="s">
        <v>3704</v>
      </c>
      <c r="C2691" s="2" t="s">
        <v>3875</v>
      </c>
      <c r="D2691" s="2" t="s">
        <v>3876</v>
      </c>
      <c r="E2691" s="3">
        <v>45623</v>
      </c>
      <c r="F2691" s="3">
        <v>45421</v>
      </c>
      <c r="G2691" s="2" t="s">
        <v>3885</v>
      </c>
      <c r="H2691" s="2">
        <v>136366</v>
      </c>
      <c r="I2691" s="2">
        <v>1048281</v>
      </c>
      <c r="J2691" s="2" t="s">
        <v>3891</v>
      </c>
      <c r="K2691" s="2" t="s">
        <v>3896</v>
      </c>
      <c r="L2691" s="2">
        <v>2023</v>
      </c>
      <c r="M2691" s="2">
        <v>-911915</v>
      </c>
      <c r="N2691" s="2">
        <f xml:space="preserve"> (Table1[[#This Row],[Variance (USD)]] / Table1[[#This Row],[Actual Spending (USD)]]) * 100</f>
        <v>-86.991465074727103</v>
      </c>
      <c r="O2691" s="5" t="s">
        <v>3898</v>
      </c>
    </row>
    <row r="2692" spans="1:15" x14ac:dyDescent="0.25">
      <c r="A2692" s="4" t="s">
        <v>2705</v>
      </c>
      <c r="B2692" s="2" t="s">
        <v>3816</v>
      </c>
      <c r="C2692" s="2" t="s">
        <v>3871</v>
      </c>
      <c r="D2692" s="2" t="s">
        <v>3882</v>
      </c>
      <c r="E2692" s="3">
        <v>45559</v>
      </c>
      <c r="F2692" s="3">
        <v>45447</v>
      </c>
      <c r="G2692" s="2" t="s">
        <v>3885</v>
      </c>
      <c r="H2692" s="2">
        <v>202150</v>
      </c>
      <c r="I2692" s="2">
        <v>1177615</v>
      </c>
      <c r="J2692" s="2" t="s">
        <v>3890</v>
      </c>
      <c r="K2692" s="2" t="s">
        <v>3894</v>
      </c>
      <c r="L2692" s="2">
        <v>2024</v>
      </c>
      <c r="M2692" s="2">
        <v>-975465</v>
      </c>
      <c r="N2692" s="2">
        <f xml:space="preserve"> (Table1[[#This Row],[Variance (USD)]] / Table1[[#This Row],[Actual Spending (USD)]]) * 100</f>
        <v>-82.833948276813729</v>
      </c>
      <c r="O2692" s="5" t="s">
        <v>3898</v>
      </c>
    </row>
    <row r="2693" spans="1:15" x14ac:dyDescent="0.25">
      <c r="A2693" s="4" t="s">
        <v>2706</v>
      </c>
      <c r="B2693" s="2" t="s">
        <v>3415</v>
      </c>
      <c r="C2693" s="2" t="s">
        <v>3875</v>
      </c>
      <c r="D2693" s="2" t="s">
        <v>3879</v>
      </c>
      <c r="E2693" s="3">
        <v>45128</v>
      </c>
      <c r="F2693" s="3">
        <v>45365</v>
      </c>
      <c r="G2693" s="2" t="s">
        <v>3884</v>
      </c>
      <c r="H2693" s="2">
        <v>837301</v>
      </c>
      <c r="I2693" s="2">
        <v>784936</v>
      </c>
      <c r="J2693" s="2" t="s">
        <v>3888</v>
      </c>
      <c r="K2693" s="2" t="s">
        <v>3895</v>
      </c>
      <c r="L2693" s="2">
        <v>2024</v>
      </c>
      <c r="M2693" s="2">
        <v>52365</v>
      </c>
      <c r="N2693" s="2">
        <f xml:space="preserve"> (Table1[[#This Row],[Variance (USD)]] / Table1[[#This Row],[Actual Spending (USD)]]) * 100</f>
        <v>6.6712445345862594</v>
      </c>
      <c r="O2693" s="5" t="s">
        <v>3897</v>
      </c>
    </row>
    <row r="2694" spans="1:15" x14ac:dyDescent="0.25">
      <c r="A2694" s="4" t="s">
        <v>2707</v>
      </c>
      <c r="B2694" s="2" t="s">
        <v>3044</v>
      </c>
      <c r="C2694" s="2" t="s">
        <v>3871</v>
      </c>
      <c r="D2694" s="2" t="s">
        <v>3876</v>
      </c>
      <c r="E2694" s="3">
        <v>45256</v>
      </c>
      <c r="F2694" s="3">
        <v>45633</v>
      </c>
      <c r="G2694" s="2" t="s">
        <v>3886</v>
      </c>
      <c r="H2694" s="2">
        <v>374768</v>
      </c>
      <c r="I2694" s="2">
        <v>1178742</v>
      </c>
      <c r="J2694" s="2" t="s">
        <v>3892</v>
      </c>
      <c r="K2694" s="2" t="s">
        <v>3894</v>
      </c>
      <c r="L2694" s="2">
        <v>2024</v>
      </c>
      <c r="M2694" s="2">
        <v>-803974</v>
      </c>
      <c r="N2694" s="2">
        <f xml:space="preserve"> (Table1[[#This Row],[Variance (USD)]] / Table1[[#This Row],[Actual Spending (USD)]]) * 100</f>
        <v>-68.206104474091873</v>
      </c>
      <c r="O2694" s="5" t="s">
        <v>3899</v>
      </c>
    </row>
    <row r="2695" spans="1:15" x14ac:dyDescent="0.25">
      <c r="A2695" s="4" t="s">
        <v>2708</v>
      </c>
      <c r="B2695" s="2" t="s">
        <v>3164</v>
      </c>
      <c r="C2695" s="2" t="s">
        <v>3873</v>
      </c>
      <c r="D2695" s="2" t="s">
        <v>3881</v>
      </c>
      <c r="E2695" s="3">
        <v>45289</v>
      </c>
      <c r="F2695" s="3">
        <v>45756</v>
      </c>
      <c r="G2695" s="2" t="s">
        <v>3884</v>
      </c>
      <c r="H2695" s="2">
        <v>221147</v>
      </c>
      <c r="I2695" s="2">
        <v>853426</v>
      </c>
      <c r="J2695" s="2" t="s">
        <v>3891</v>
      </c>
      <c r="K2695" s="2" t="s">
        <v>3896</v>
      </c>
      <c r="L2695" s="2">
        <v>2025</v>
      </c>
      <c r="M2695" s="2">
        <v>-632279</v>
      </c>
      <c r="N2695" s="2">
        <f xml:space="preserve"> (Table1[[#This Row],[Variance (USD)]] / Table1[[#This Row],[Actual Spending (USD)]]) * 100</f>
        <v>-74.087149911064344</v>
      </c>
      <c r="O2695" s="5" t="s">
        <v>3897</v>
      </c>
    </row>
    <row r="2696" spans="1:15" x14ac:dyDescent="0.25">
      <c r="A2696" s="4" t="s">
        <v>2709</v>
      </c>
      <c r="B2696" s="2" t="s">
        <v>3240</v>
      </c>
      <c r="C2696" s="2" t="s">
        <v>3869</v>
      </c>
      <c r="D2696" s="2" t="s">
        <v>3878</v>
      </c>
      <c r="E2696" s="3">
        <v>45380</v>
      </c>
      <c r="F2696" s="3">
        <v>45381</v>
      </c>
      <c r="G2696" s="2" t="s">
        <v>3884</v>
      </c>
      <c r="H2696" s="2">
        <v>143676</v>
      </c>
      <c r="I2696" s="2">
        <v>60384</v>
      </c>
      <c r="J2696" s="2" t="s">
        <v>3891</v>
      </c>
      <c r="K2696" s="2" t="s">
        <v>3895</v>
      </c>
      <c r="L2696" s="2">
        <v>2024</v>
      </c>
      <c r="M2696" s="2">
        <v>83292</v>
      </c>
      <c r="N2696" s="2">
        <f xml:space="preserve"> (Table1[[#This Row],[Variance (USD)]] / Table1[[#This Row],[Actual Spending (USD)]]) * 100</f>
        <v>137.93720190779015</v>
      </c>
      <c r="O2696" s="5" t="s">
        <v>3897</v>
      </c>
    </row>
    <row r="2697" spans="1:15" x14ac:dyDescent="0.25">
      <c r="A2697" s="4" t="s">
        <v>2710</v>
      </c>
      <c r="B2697" s="2" t="s">
        <v>3632</v>
      </c>
      <c r="C2697" s="2" t="s">
        <v>3871</v>
      </c>
      <c r="D2697" s="2" t="s">
        <v>3880</v>
      </c>
      <c r="E2697" s="3">
        <v>45282</v>
      </c>
      <c r="F2697" s="3">
        <v>45870</v>
      </c>
      <c r="G2697" s="2" t="s">
        <v>3884</v>
      </c>
      <c r="H2697" s="2">
        <v>577947</v>
      </c>
      <c r="I2697" s="2">
        <v>337522</v>
      </c>
      <c r="J2697" s="2" t="s">
        <v>3889</v>
      </c>
      <c r="K2697" s="2" t="s">
        <v>3893</v>
      </c>
      <c r="L2697" s="2">
        <v>2025</v>
      </c>
      <c r="M2697" s="2">
        <v>240425</v>
      </c>
      <c r="N2697" s="2">
        <f xml:space="preserve"> (Table1[[#This Row],[Variance (USD)]] / Table1[[#This Row],[Actual Spending (USD)]]) * 100</f>
        <v>71.232393740259894</v>
      </c>
      <c r="O2697" s="5" t="s">
        <v>3897</v>
      </c>
    </row>
    <row r="2698" spans="1:15" x14ac:dyDescent="0.25">
      <c r="A2698" s="4" t="s">
        <v>2711</v>
      </c>
      <c r="B2698" s="2" t="s">
        <v>3134</v>
      </c>
      <c r="C2698" s="2" t="s">
        <v>3868</v>
      </c>
      <c r="D2698" s="2" t="s">
        <v>3882</v>
      </c>
      <c r="E2698" s="3">
        <v>45142</v>
      </c>
      <c r="F2698" s="3">
        <v>45746</v>
      </c>
      <c r="G2698" s="2" t="s">
        <v>3884</v>
      </c>
      <c r="H2698" s="2">
        <v>479586</v>
      </c>
      <c r="I2698" s="2">
        <v>455859</v>
      </c>
      <c r="J2698" s="2" t="s">
        <v>3889</v>
      </c>
      <c r="K2698" s="2" t="s">
        <v>3893</v>
      </c>
      <c r="L2698" s="2">
        <v>2025</v>
      </c>
      <c r="M2698" s="2">
        <v>23727</v>
      </c>
      <c r="N2698" s="2">
        <f xml:space="preserve"> (Table1[[#This Row],[Variance (USD)]] / Table1[[#This Row],[Actual Spending (USD)]]) * 100</f>
        <v>5.2048988832073073</v>
      </c>
      <c r="O2698" s="5" t="s">
        <v>3897</v>
      </c>
    </row>
    <row r="2699" spans="1:15" x14ac:dyDescent="0.25">
      <c r="A2699" s="4" t="s">
        <v>2712</v>
      </c>
      <c r="B2699" s="2" t="s">
        <v>3059</v>
      </c>
      <c r="C2699" s="2" t="s">
        <v>3875</v>
      </c>
      <c r="D2699" s="2" t="s">
        <v>3876</v>
      </c>
      <c r="E2699" s="3">
        <v>45481</v>
      </c>
      <c r="F2699" s="3">
        <v>46003</v>
      </c>
      <c r="G2699" s="2" t="s">
        <v>3885</v>
      </c>
      <c r="H2699" s="2">
        <v>943320</v>
      </c>
      <c r="I2699" s="2">
        <v>440142</v>
      </c>
      <c r="J2699" s="2" t="s">
        <v>3890</v>
      </c>
      <c r="K2699" s="2" t="s">
        <v>3896</v>
      </c>
      <c r="L2699" s="2">
        <v>2025</v>
      </c>
      <c r="M2699" s="2">
        <v>503178</v>
      </c>
      <c r="N2699" s="2">
        <f xml:space="preserve"> (Table1[[#This Row],[Variance (USD)]] / Table1[[#This Row],[Actual Spending (USD)]]) * 100</f>
        <v>114.32174161975</v>
      </c>
      <c r="O2699" s="5" t="s">
        <v>3898</v>
      </c>
    </row>
    <row r="2700" spans="1:15" x14ac:dyDescent="0.25">
      <c r="A2700" s="4" t="s">
        <v>2713</v>
      </c>
      <c r="B2700" s="2" t="s">
        <v>3568</v>
      </c>
      <c r="C2700" s="2" t="s">
        <v>3873</v>
      </c>
      <c r="D2700" s="2" t="s">
        <v>3881</v>
      </c>
      <c r="E2700" s="3">
        <v>44949</v>
      </c>
      <c r="F2700" s="3">
        <v>45623</v>
      </c>
      <c r="G2700" s="2" t="s">
        <v>3884</v>
      </c>
      <c r="H2700" s="2">
        <v>632473</v>
      </c>
      <c r="I2700" s="2">
        <v>1117553</v>
      </c>
      <c r="J2700" s="2" t="s">
        <v>3892</v>
      </c>
      <c r="K2700" s="2" t="s">
        <v>3895</v>
      </c>
      <c r="L2700" s="2">
        <v>2023</v>
      </c>
      <c r="M2700" s="2">
        <v>-485080</v>
      </c>
      <c r="N2700" s="2">
        <f xml:space="preserve"> (Table1[[#This Row],[Variance (USD)]] / Table1[[#This Row],[Actual Spending (USD)]]) * 100</f>
        <v>-43.405547656352759</v>
      </c>
      <c r="O2700" s="5" t="s">
        <v>3897</v>
      </c>
    </row>
    <row r="2701" spans="1:15" x14ac:dyDescent="0.25">
      <c r="A2701" s="4" t="s">
        <v>2714</v>
      </c>
      <c r="B2701" s="2" t="s">
        <v>3710</v>
      </c>
      <c r="C2701" s="2" t="s">
        <v>3868</v>
      </c>
      <c r="D2701" s="2" t="s">
        <v>3881</v>
      </c>
      <c r="E2701" s="3">
        <v>45081</v>
      </c>
      <c r="F2701" s="3">
        <v>45639</v>
      </c>
      <c r="G2701" s="2" t="s">
        <v>3884</v>
      </c>
      <c r="H2701" s="2">
        <v>691424</v>
      </c>
      <c r="I2701" s="2">
        <v>1102228</v>
      </c>
      <c r="J2701" s="2" t="s">
        <v>3889</v>
      </c>
      <c r="K2701" s="2" t="s">
        <v>3896</v>
      </c>
      <c r="L2701" s="2">
        <v>2025</v>
      </c>
      <c r="M2701" s="2">
        <v>-410804</v>
      </c>
      <c r="N2701" s="2">
        <f xml:space="preserve"> (Table1[[#This Row],[Variance (USD)]] / Table1[[#This Row],[Actual Spending (USD)]]) * 100</f>
        <v>-37.270328824889226</v>
      </c>
      <c r="O2701" s="5" t="s">
        <v>3897</v>
      </c>
    </row>
    <row r="2702" spans="1:15" x14ac:dyDescent="0.25">
      <c r="A2702" s="4" t="s">
        <v>2715</v>
      </c>
      <c r="B2702" s="2" t="s">
        <v>3213</v>
      </c>
      <c r="C2702" s="2" t="s">
        <v>3873</v>
      </c>
      <c r="D2702" s="2" t="s">
        <v>3882</v>
      </c>
      <c r="E2702" s="3">
        <v>45112</v>
      </c>
      <c r="F2702" s="3">
        <v>45524</v>
      </c>
      <c r="G2702" s="2" t="s">
        <v>3887</v>
      </c>
      <c r="H2702" s="2">
        <v>523137</v>
      </c>
      <c r="I2702" s="2">
        <v>1088846</v>
      </c>
      <c r="J2702" s="2" t="s">
        <v>3889</v>
      </c>
      <c r="K2702" s="2" t="s">
        <v>3894</v>
      </c>
      <c r="L2702" s="2">
        <v>2024</v>
      </c>
      <c r="M2702" s="2">
        <v>-565709</v>
      </c>
      <c r="N2702" s="2">
        <f xml:space="preserve"> (Table1[[#This Row],[Variance (USD)]] / Table1[[#This Row],[Actual Spending (USD)]]) * 100</f>
        <v>-51.954913734357291</v>
      </c>
      <c r="O2702" s="5" t="s">
        <v>3900</v>
      </c>
    </row>
    <row r="2703" spans="1:15" x14ac:dyDescent="0.25">
      <c r="A2703" s="4" t="s">
        <v>2716</v>
      </c>
      <c r="B2703" s="2" t="s">
        <v>3684</v>
      </c>
      <c r="C2703" s="2" t="s">
        <v>3869</v>
      </c>
      <c r="D2703" s="2" t="s">
        <v>3882</v>
      </c>
      <c r="E2703" s="3">
        <v>45175</v>
      </c>
      <c r="F2703" s="3">
        <v>45889</v>
      </c>
      <c r="G2703" s="2" t="s">
        <v>3884</v>
      </c>
      <c r="H2703" s="2">
        <v>224823</v>
      </c>
      <c r="I2703" s="2">
        <v>222702</v>
      </c>
      <c r="J2703" s="2" t="s">
        <v>3888</v>
      </c>
      <c r="K2703" s="2" t="s">
        <v>3894</v>
      </c>
      <c r="L2703" s="2">
        <v>2024</v>
      </c>
      <c r="M2703" s="2">
        <v>2121</v>
      </c>
      <c r="N2703" s="2">
        <f xml:space="preserve"> (Table1[[#This Row],[Variance (USD)]] / Table1[[#This Row],[Actual Spending (USD)]]) * 100</f>
        <v>0.95239378182503975</v>
      </c>
      <c r="O2703" s="5" t="s">
        <v>3897</v>
      </c>
    </row>
    <row r="2704" spans="1:15" x14ac:dyDescent="0.25">
      <c r="A2704" s="4" t="s">
        <v>2717</v>
      </c>
      <c r="B2704" s="2" t="s">
        <v>3056</v>
      </c>
      <c r="C2704" s="2" t="s">
        <v>3870</v>
      </c>
      <c r="D2704" s="2" t="s">
        <v>3881</v>
      </c>
      <c r="E2704" s="3">
        <v>45060</v>
      </c>
      <c r="F2704" s="3">
        <v>45393</v>
      </c>
      <c r="G2704" s="2" t="s">
        <v>3886</v>
      </c>
      <c r="H2704" s="2">
        <v>899190</v>
      </c>
      <c r="I2704" s="2">
        <v>66417</v>
      </c>
      <c r="J2704" s="2" t="s">
        <v>3888</v>
      </c>
      <c r="K2704" s="2" t="s">
        <v>3895</v>
      </c>
      <c r="L2704" s="2">
        <v>2023</v>
      </c>
      <c r="M2704" s="2">
        <v>832773</v>
      </c>
      <c r="N2704" s="2">
        <f xml:space="preserve"> (Table1[[#This Row],[Variance (USD)]] / Table1[[#This Row],[Actual Spending (USD)]]) * 100</f>
        <v>1253.8551876778536</v>
      </c>
      <c r="O2704" s="5" t="s">
        <v>3899</v>
      </c>
    </row>
    <row r="2705" spans="1:15" x14ac:dyDescent="0.25">
      <c r="A2705" s="4" t="s">
        <v>2718</v>
      </c>
      <c r="B2705" s="2" t="s">
        <v>3794</v>
      </c>
      <c r="C2705" s="2" t="s">
        <v>3875</v>
      </c>
      <c r="D2705" s="2" t="s">
        <v>3883</v>
      </c>
      <c r="E2705" s="3">
        <v>45247</v>
      </c>
      <c r="F2705" s="3">
        <v>45772</v>
      </c>
      <c r="G2705" s="2" t="s">
        <v>3884</v>
      </c>
      <c r="H2705" s="2">
        <v>790233</v>
      </c>
      <c r="I2705" s="2">
        <v>157390</v>
      </c>
      <c r="J2705" s="2" t="s">
        <v>3889</v>
      </c>
      <c r="K2705" s="2" t="s">
        <v>3896</v>
      </c>
      <c r="L2705" s="2">
        <v>2023</v>
      </c>
      <c r="M2705" s="2">
        <v>632843</v>
      </c>
      <c r="N2705" s="2">
        <f xml:space="preserve"> (Table1[[#This Row],[Variance (USD)]] / Table1[[#This Row],[Actual Spending (USD)]]) * 100</f>
        <v>402.08590126437514</v>
      </c>
      <c r="O2705" s="5" t="s">
        <v>3897</v>
      </c>
    </row>
    <row r="2706" spans="1:15" x14ac:dyDescent="0.25">
      <c r="A2706" s="4" t="s">
        <v>2719</v>
      </c>
      <c r="B2706" s="2" t="s">
        <v>3296</v>
      </c>
      <c r="C2706" s="2" t="s">
        <v>3872</v>
      </c>
      <c r="D2706" s="2" t="s">
        <v>3881</v>
      </c>
      <c r="E2706" s="3">
        <v>45316</v>
      </c>
      <c r="F2706" s="3">
        <v>45505</v>
      </c>
      <c r="G2706" s="2" t="s">
        <v>3884</v>
      </c>
      <c r="H2706" s="2">
        <v>186203</v>
      </c>
      <c r="I2706" s="2">
        <v>470110</v>
      </c>
      <c r="J2706" s="2" t="s">
        <v>3890</v>
      </c>
      <c r="K2706" s="2" t="s">
        <v>3896</v>
      </c>
      <c r="L2706" s="2">
        <v>2024</v>
      </c>
      <c r="M2706" s="2">
        <v>-283907</v>
      </c>
      <c r="N2706" s="2">
        <f xml:space="preserve"> (Table1[[#This Row],[Variance (USD)]] / Table1[[#This Row],[Actual Spending (USD)]]) * 100</f>
        <v>-60.39161047414435</v>
      </c>
      <c r="O2706" s="5" t="s">
        <v>3897</v>
      </c>
    </row>
    <row r="2707" spans="1:15" x14ac:dyDescent="0.25">
      <c r="A2707" s="4" t="s">
        <v>2720</v>
      </c>
      <c r="B2707" s="2" t="s">
        <v>3117</v>
      </c>
      <c r="C2707" s="2" t="s">
        <v>3875</v>
      </c>
      <c r="D2707" s="2" t="s">
        <v>3883</v>
      </c>
      <c r="E2707" s="3">
        <v>45360</v>
      </c>
      <c r="F2707" s="3">
        <v>45399</v>
      </c>
      <c r="G2707" s="2" t="s">
        <v>3885</v>
      </c>
      <c r="H2707" s="2">
        <v>182430</v>
      </c>
      <c r="I2707" s="2">
        <v>610330</v>
      </c>
      <c r="J2707" s="2" t="s">
        <v>3892</v>
      </c>
      <c r="K2707" s="2" t="s">
        <v>3893</v>
      </c>
      <c r="L2707" s="2">
        <v>2023</v>
      </c>
      <c r="M2707" s="2">
        <v>-427900</v>
      </c>
      <c r="N2707" s="2">
        <f xml:space="preserve"> (Table1[[#This Row],[Variance (USD)]] / Table1[[#This Row],[Actual Spending (USD)]]) * 100</f>
        <v>-70.109612832402149</v>
      </c>
      <c r="O2707" s="5" t="s">
        <v>3898</v>
      </c>
    </row>
    <row r="2708" spans="1:15" x14ac:dyDescent="0.25">
      <c r="A2708" s="4" t="s">
        <v>2721</v>
      </c>
      <c r="B2708" s="2" t="s">
        <v>3333</v>
      </c>
      <c r="C2708" s="2" t="s">
        <v>3874</v>
      </c>
      <c r="D2708" s="2" t="s">
        <v>3880</v>
      </c>
      <c r="E2708" s="3">
        <v>44948</v>
      </c>
      <c r="F2708" s="3">
        <v>45456</v>
      </c>
      <c r="G2708" s="2" t="s">
        <v>3884</v>
      </c>
      <c r="H2708" s="2">
        <v>567086</v>
      </c>
      <c r="I2708" s="2">
        <v>355397</v>
      </c>
      <c r="J2708" s="2" t="s">
        <v>3889</v>
      </c>
      <c r="K2708" s="2" t="s">
        <v>3895</v>
      </c>
      <c r="L2708" s="2">
        <v>2023</v>
      </c>
      <c r="M2708" s="2">
        <v>211689</v>
      </c>
      <c r="N2708" s="2">
        <f xml:space="preserve"> (Table1[[#This Row],[Variance (USD)]] / Table1[[#This Row],[Actual Spending (USD)]]) * 100</f>
        <v>59.564093112772476</v>
      </c>
      <c r="O2708" s="5" t="s">
        <v>3897</v>
      </c>
    </row>
    <row r="2709" spans="1:15" x14ac:dyDescent="0.25">
      <c r="A2709" s="4" t="s">
        <v>2722</v>
      </c>
      <c r="B2709" s="2" t="s">
        <v>3427</v>
      </c>
      <c r="C2709" s="2" t="s">
        <v>3869</v>
      </c>
      <c r="D2709" s="2" t="s">
        <v>3878</v>
      </c>
      <c r="E2709" s="3">
        <v>45526</v>
      </c>
      <c r="F2709" s="3">
        <v>45894</v>
      </c>
      <c r="G2709" s="2" t="s">
        <v>3886</v>
      </c>
      <c r="H2709" s="2">
        <v>665438</v>
      </c>
      <c r="I2709" s="2">
        <v>344867</v>
      </c>
      <c r="J2709" s="2" t="s">
        <v>3890</v>
      </c>
      <c r="K2709" s="2" t="s">
        <v>3896</v>
      </c>
      <c r="L2709" s="2">
        <v>2025</v>
      </c>
      <c r="M2709" s="2">
        <v>320571</v>
      </c>
      <c r="N2709" s="2">
        <f xml:space="preserve"> (Table1[[#This Row],[Variance (USD)]] / Table1[[#This Row],[Actual Spending (USD)]]) * 100</f>
        <v>92.954965247472217</v>
      </c>
      <c r="O2709" s="5" t="s">
        <v>3899</v>
      </c>
    </row>
    <row r="2710" spans="1:15" x14ac:dyDescent="0.25">
      <c r="A2710" s="4" t="s">
        <v>2723</v>
      </c>
      <c r="B2710" s="2" t="s">
        <v>3601</v>
      </c>
      <c r="C2710" s="2" t="s">
        <v>3875</v>
      </c>
      <c r="D2710" s="2" t="s">
        <v>3877</v>
      </c>
      <c r="E2710" s="3">
        <v>45591</v>
      </c>
      <c r="F2710" s="3">
        <v>45995</v>
      </c>
      <c r="G2710" s="2" t="s">
        <v>3884</v>
      </c>
      <c r="H2710" s="2">
        <v>500587</v>
      </c>
      <c r="I2710" s="2">
        <v>181389</v>
      </c>
      <c r="J2710" s="2" t="s">
        <v>3890</v>
      </c>
      <c r="K2710" s="2" t="s">
        <v>3894</v>
      </c>
      <c r="L2710" s="2">
        <v>2025</v>
      </c>
      <c r="M2710" s="2">
        <v>319198</v>
      </c>
      <c r="N2710" s="2">
        <f xml:space="preserve"> (Table1[[#This Row],[Variance (USD)]] / Table1[[#This Row],[Actual Spending (USD)]]) * 100</f>
        <v>175.97428730518391</v>
      </c>
      <c r="O2710" s="5" t="s">
        <v>3897</v>
      </c>
    </row>
    <row r="2711" spans="1:15" x14ac:dyDescent="0.25">
      <c r="A2711" s="4" t="s">
        <v>2724</v>
      </c>
      <c r="B2711" s="2" t="s">
        <v>3790</v>
      </c>
      <c r="C2711" s="2" t="s">
        <v>3874</v>
      </c>
      <c r="D2711" s="2" t="s">
        <v>3883</v>
      </c>
      <c r="E2711" s="3">
        <v>45051</v>
      </c>
      <c r="F2711" s="3">
        <v>45626</v>
      </c>
      <c r="G2711" s="2" t="s">
        <v>3884</v>
      </c>
      <c r="H2711" s="2">
        <v>787667</v>
      </c>
      <c r="I2711" s="2">
        <v>1002512</v>
      </c>
      <c r="J2711" s="2" t="s">
        <v>3889</v>
      </c>
      <c r="K2711" s="2" t="s">
        <v>3896</v>
      </c>
      <c r="L2711" s="2">
        <v>2023</v>
      </c>
      <c r="M2711" s="2">
        <v>-214845</v>
      </c>
      <c r="N2711" s="2">
        <f xml:space="preserve"> (Table1[[#This Row],[Variance (USD)]] / Table1[[#This Row],[Actual Spending (USD)]]) * 100</f>
        <v>-21.430666166589525</v>
      </c>
      <c r="O2711" s="5" t="s">
        <v>3897</v>
      </c>
    </row>
    <row r="2712" spans="1:15" x14ac:dyDescent="0.25">
      <c r="A2712" s="4" t="s">
        <v>2725</v>
      </c>
      <c r="B2712" s="2" t="s">
        <v>3313</v>
      </c>
      <c r="C2712" s="2" t="s">
        <v>3872</v>
      </c>
      <c r="D2712" s="2" t="s">
        <v>3881</v>
      </c>
      <c r="E2712" s="3">
        <v>45005</v>
      </c>
      <c r="F2712" s="3">
        <v>45377</v>
      </c>
      <c r="G2712" s="2" t="s">
        <v>3884</v>
      </c>
      <c r="H2712" s="2">
        <v>522355</v>
      </c>
      <c r="I2712" s="2">
        <v>731485</v>
      </c>
      <c r="J2712" s="2" t="s">
        <v>3890</v>
      </c>
      <c r="K2712" s="2" t="s">
        <v>3896</v>
      </c>
      <c r="L2712" s="2">
        <v>2024</v>
      </c>
      <c r="M2712" s="2">
        <v>-209130</v>
      </c>
      <c r="N2712" s="2">
        <f xml:space="preserve"> (Table1[[#This Row],[Variance (USD)]] / Table1[[#This Row],[Actual Spending (USD)]]) * 100</f>
        <v>-28.589786530140742</v>
      </c>
      <c r="O2712" s="5" t="s">
        <v>3897</v>
      </c>
    </row>
    <row r="2713" spans="1:15" x14ac:dyDescent="0.25">
      <c r="A2713" s="4" t="s">
        <v>2726</v>
      </c>
      <c r="B2713" s="2" t="s">
        <v>3852</v>
      </c>
      <c r="C2713" s="2" t="s">
        <v>3871</v>
      </c>
      <c r="D2713" s="2" t="s">
        <v>3881</v>
      </c>
      <c r="E2713" s="3">
        <v>44977</v>
      </c>
      <c r="F2713" s="3">
        <v>45715</v>
      </c>
      <c r="G2713" s="2" t="s">
        <v>3884</v>
      </c>
      <c r="H2713" s="2">
        <v>983750</v>
      </c>
      <c r="I2713" s="2">
        <v>759462</v>
      </c>
      <c r="J2713" s="2" t="s">
        <v>3891</v>
      </c>
      <c r="K2713" s="2" t="s">
        <v>3894</v>
      </c>
      <c r="L2713" s="2">
        <v>2025</v>
      </c>
      <c r="M2713" s="2">
        <v>224288</v>
      </c>
      <c r="N2713" s="2">
        <f xml:space="preserve"> (Table1[[#This Row],[Variance (USD)]] / Table1[[#This Row],[Actual Spending (USD)]]) * 100</f>
        <v>29.532484837951078</v>
      </c>
      <c r="O2713" s="5" t="s">
        <v>3897</v>
      </c>
    </row>
    <row r="2714" spans="1:15" x14ac:dyDescent="0.25">
      <c r="A2714" s="4" t="s">
        <v>2727</v>
      </c>
      <c r="B2714" s="2" t="s">
        <v>3033</v>
      </c>
      <c r="C2714" s="2" t="s">
        <v>3873</v>
      </c>
      <c r="D2714" s="2" t="s">
        <v>3879</v>
      </c>
      <c r="E2714" s="3">
        <v>45654</v>
      </c>
      <c r="F2714" s="3">
        <v>45904</v>
      </c>
      <c r="G2714" s="2" t="s">
        <v>3884</v>
      </c>
      <c r="H2714" s="2">
        <v>329360</v>
      </c>
      <c r="I2714" s="2">
        <v>783340</v>
      </c>
      <c r="J2714" s="2" t="s">
        <v>3890</v>
      </c>
      <c r="K2714" s="2" t="s">
        <v>3894</v>
      </c>
      <c r="L2714" s="2">
        <v>2024</v>
      </c>
      <c r="M2714" s="2">
        <v>-453980</v>
      </c>
      <c r="N2714" s="2">
        <f xml:space="preserve"> (Table1[[#This Row],[Variance (USD)]] / Table1[[#This Row],[Actual Spending (USD)]]) * 100</f>
        <v>-57.954400388081808</v>
      </c>
      <c r="O2714" s="5" t="s">
        <v>3897</v>
      </c>
    </row>
    <row r="2715" spans="1:15" x14ac:dyDescent="0.25">
      <c r="A2715" s="4" t="s">
        <v>2728</v>
      </c>
      <c r="B2715" s="2" t="s">
        <v>3532</v>
      </c>
      <c r="C2715" s="2" t="s">
        <v>3872</v>
      </c>
      <c r="D2715" s="2" t="s">
        <v>3881</v>
      </c>
      <c r="E2715" s="3">
        <v>45102</v>
      </c>
      <c r="F2715" s="3">
        <v>45655</v>
      </c>
      <c r="G2715" s="2" t="s">
        <v>3886</v>
      </c>
      <c r="H2715" s="2">
        <v>877641</v>
      </c>
      <c r="I2715" s="2">
        <v>1159717</v>
      </c>
      <c r="J2715" s="2" t="s">
        <v>3889</v>
      </c>
      <c r="K2715" s="2" t="s">
        <v>3896</v>
      </c>
      <c r="L2715" s="2">
        <v>2023</v>
      </c>
      <c r="M2715" s="2">
        <v>-282076</v>
      </c>
      <c r="N2715" s="2">
        <f xml:space="preserve"> (Table1[[#This Row],[Variance (USD)]] / Table1[[#This Row],[Actual Spending (USD)]]) * 100</f>
        <v>-24.322830483643855</v>
      </c>
      <c r="O2715" s="5" t="s">
        <v>3899</v>
      </c>
    </row>
    <row r="2716" spans="1:15" x14ac:dyDescent="0.25">
      <c r="A2716" s="4" t="s">
        <v>2729</v>
      </c>
      <c r="B2716" s="2" t="s">
        <v>3436</v>
      </c>
      <c r="C2716" s="2" t="s">
        <v>3868</v>
      </c>
      <c r="D2716" s="2" t="s">
        <v>3878</v>
      </c>
      <c r="E2716" s="3">
        <v>45179</v>
      </c>
      <c r="F2716" s="3">
        <v>45351</v>
      </c>
      <c r="G2716" s="2" t="s">
        <v>3884</v>
      </c>
      <c r="H2716" s="2">
        <v>355131</v>
      </c>
      <c r="I2716" s="2">
        <v>924208</v>
      </c>
      <c r="J2716" s="2" t="s">
        <v>3890</v>
      </c>
      <c r="K2716" s="2" t="s">
        <v>3894</v>
      </c>
      <c r="L2716" s="2">
        <v>2024</v>
      </c>
      <c r="M2716" s="2">
        <v>-569077</v>
      </c>
      <c r="N2716" s="2">
        <f xml:space="preserve"> (Table1[[#This Row],[Variance (USD)]] / Table1[[#This Row],[Actual Spending (USD)]]) * 100</f>
        <v>-61.574558973737517</v>
      </c>
      <c r="O2716" s="5" t="s">
        <v>3897</v>
      </c>
    </row>
    <row r="2717" spans="1:15" x14ac:dyDescent="0.25">
      <c r="A2717" s="4" t="s">
        <v>2730</v>
      </c>
      <c r="B2717" s="2" t="s">
        <v>3820</v>
      </c>
      <c r="C2717" s="2" t="s">
        <v>3869</v>
      </c>
      <c r="D2717" s="2" t="s">
        <v>3876</v>
      </c>
      <c r="E2717" s="3">
        <v>45172</v>
      </c>
      <c r="F2717" s="3">
        <v>45773</v>
      </c>
      <c r="G2717" s="2" t="s">
        <v>3884</v>
      </c>
      <c r="H2717" s="2">
        <v>682312</v>
      </c>
      <c r="I2717" s="2">
        <v>76652</v>
      </c>
      <c r="J2717" s="2" t="s">
        <v>3889</v>
      </c>
      <c r="K2717" s="2" t="s">
        <v>3893</v>
      </c>
      <c r="L2717" s="2">
        <v>2024</v>
      </c>
      <c r="M2717" s="2">
        <v>605660</v>
      </c>
      <c r="N2717" s="2">
        <f xml:space="preserve"> (Table1[[#This Row],[Variance (USD)]] / Table1[[#This Row],[Actual Spending (USD)]]) * 100</f>
        <v>790.14246203621553</v>
      </c>
      <c r="O2717" s="5" t="s">
        <v>3897</v>
      </c>
    </row>
    <row r="2718" spans="1:15" x14ac:dyDescent="0.25">
      <c r="A2718" s="4" t="s">
        <v>2731</v>
      </c>
      <c r="B2718" s="2" t="s">
        <v>3072</v>
      </c>
      <c r="C2718" s="2" t="s">
        <v>3871</v>
      </c>
      <c r="D2718" s="2" t="s">
        <v>3876</v>
      </c>
      <c r="E2718" s="3">
        <v>45032</v>
      </c>
      <c r="F2718" s="3">
        <v>45541</v>
      </c>
      <c r="G2718" s="2" t="s">
        <v>3884</v>
      </c>
      <c r="H2718" s="2">
        <v>988081</v>
      </c>
      <c r="I2718" s="2">
        <v>146048</v>
      </c>
      <c r="J2718" s="2" t="s">
        <v>3888</v>
      </c>
      <c r="K2718" s="2" t="s">
        <v>3893</v>
      </c>
      <c r="L2718" s="2">
        <v>2024</v>
      </c>
      <c r="M2718" s="2">
        <v>842033</v>
      </c>
      <c r="N2718" s="2">
        <f xml:space="preserve"> (Table1[[#This Row],[Variance (USD)]] / Table1[[#This Row],[Actual Spending (USD)]]) * 100</f>
        <v>576.54538234005258</v>
      </c>
      <c r="O2718" s="5" t="s">
        <v>3897</v>
      </c>
    </row>
    <row r="2719" spans="1:15" x14ac:dyDescent="0.25">
      <c r="A2719" s="4" t="s">
        <v>2732</v>
      </c>
      <c r="B2719" s="2" t="s">
        <v>3106</v>
      </c>
      <c r="C2719" s="2" t="s">
        <v>3868</v>
      </c>
      <c r="D2719" s="2" t="s">
        <v>3881</v>
      </c>
      <c r="E2719" s="3">
        <v>45119</v>
      </c>
      <c r="F2719" s="3">
        <v>45851</v>
      </c>
      <c r="G2719" s="2" t="s">
        <v>3885</v>
      </c>
      <c r="H2719" s="2">
        <v>559742</v>
      </c>
      <c r="I2719" s="2">
        <v>90941</v>
      </c>
      <c r="J2719" s="2" t="s">
        <v>3889</v>
      </c>
      <c r="K2719" s="2" t="s">
        <v>3893</v>
      </c>
      <c r="L2719" s="2">
        <v>2024</v>
      </c>
      <c r="M2719" s="2">
        <v>468801</v>
      </c>
      <c r="N2719" s="2">
        <f xml:space="preserve"> (Table1[[#This Row],[Variance (USD)]] / Table1[[#This Row],[Actual Spending (USD)]]) * 100</f>
        <v>515.50015944403515</v>
      </c>
      <c r="O2719" s="5" t="s">
        <v>3898</v>
      </c>
    </row>
    <row r="2720" spans="1:15" x14ac:dyDescent="0.25">
      <c r="A2720" s="4" t="s">
        <v>2733</v>
      </c>
      <c r="B2720" s="2" t="s">
        <v>3051</v>
      </c>
      <c r="C2720" s="2" t="s">
        <v>3868</v>
      </c>
      <c r="D2720" s="2" t="s">
        <v>3879</v>
      </c>
      <c r="E2720" s="3">
        <v>45242</v>
      </c>
      <c r="F2720" s="3">
        <v>45408</v>
      </c>
      <c r="G2720" s="2" t="s">
        <v>3885</v>
      </c>
      <c r="H2720" s="2">
        <v>616608</v>
      </c>
      <c r="I2720" s="2">
        <v>903772</v>
      </c>
      <c r="J2720" s="2" t="s">
        <v>3890</v>
      </c>
      <c r="K2720" s="2" t="s">
        <v>3894</v>
      </c>
      <c r="L2720" s="2">
        <v>2023</v>
      </c>
      <c r="M2720" s="2">
        <v>-287164</v>
      </c>
      <c r="N2720" s="2">
        <f xml:space="preserve"> (Table1[[#This Row],[Variance (USD)]] / Table1[[#This Row],[Actual Spending (USD)]]) * 100</f>
        <v>-31.77394298562027</v>
      </c>
      <c r="O2720" s="5" t="s">
        <v>3898</v>
      </c>
    </row>
    <row r="2721" spans="1:15" x14ac:dyDescent="0.25">
      <c r="A2721" s="4" t="s">
        <v>2734</v>
      </c>
      <c r="B2721" s="2" t="s">
        <v>3571</v>
      </c>
      <c r="C2721" s="2" t="s">
        <v>3869</v>
      </c>
      <c r="D2721" s="2" t="s">
        <v>3883</v>
      </c>
      <c r="E2721" s="3">
        <v>45228</v>
      </c>
      <c r="F2721" s="3">
        <v>45836</v>
      </c>
      <c r="G2721" s="2" t="s">
        <v>3886</v>
      </c>
      <c r="H2721" s="2">
        <v>323445</v>
      </c>
      <c r="I2721" s="2">
        <v>187182</v>
      </c>
      <c r="J2721" s="2" t="s">
        <v>3889</v>
      </c>
      <c r="K2721" s="2" t="s">
        <v>3894</v>
      </c>
      <c r="L2721" s="2">
        <v>2023</v>
      </c>
      <c r="M2721" s="2">
        <v>136263</v>
      </c>
      <c r="N2721" s="2">
        <f xml:space="preserve"> (Table1[[#This Row],[Variance (USD)]] / Table1[[#This Row],[Actual Spending (USD)]]) * 100</f>
        <v>72.797063820239131</v>
      </c>
      <c r="O2721" s="5" t="s">
        <v>3899</v>
      </c>
    </row>
    <row r="2722" spans="1:15" x14ac:dyDescent="0.25">
      <c r="A2722" s="4" t="s">
        <v>2735</v>
      </c>
      <c r="B2722" s="2" t="s">
        <v>3474</v>
      </c>
      <c r="C2722" s="2" t="s">
        <v>3871</v>
      </c>
      <c r="D2722" s="2" t="s">
        <v>3878</v>
      </c>
      <c r="E2722" s="3">
        <v>45474</v>
      </c>
      <c r="F2722" s="3">
        <v>45335</v>
      </c>
      <c r="G2722" s="2" t="s">
        <v>3885</v>
      </c>
      <c r="H2722" s="2">
        <v>256123</v>
      </c>
      <c r="I2722" s="2">
        <v>428565</v>
      </c>
      <c r="J2722" s="2" t="s">
        <v>3892</v>
      </c>
      <c r="K2722" s="2" t="s">
        <v>3894</v>
      </c>
      <c r="L2722" s="2">
        <v>2025</v>
      </c>
      <c r="M2722" s="2">
        <v>-172442</v>
      </c>
      <c r="N2722" s="2">
        <f xml:space="preserve"> (Table1[[#This Row],[Variance (USD)]] / Table1[[#This Row],[Actual Spending (USD)]]) * 100</f>
        <v>-40.237070222720007</v>
      </c>
      <c r="O2722" s="5" t="s">
        <v>3898</v>
      </c>
    </row>
    <row r="2723" spans="1:15" x14ac:dyDescent="0.25">
      <c r="A2723" s="4" t="s">
        <v>2736</v>
      </c>
      <c r="B2723" s="2" t="s">
        <v>3249</v>
      </c>
      <c r="C2723" s="2" t="s">
        <v>3870</v>
      </c>
      <c r="D2723" s="2" t="s">
        <v>3879</v>
      </c>
      <c r="E2723" s="3">
        <v>45642</v>
      </c>
      <c r="F2723" s="3">
        <v>45800</v>
      </c>
      <c r="G2723" s="2" t="s">
        <v>3884</v>
      </c>
      <c r="H2723" s="2">
        <v>273410</v>
      </c>
      <c r="I2723" s="2">
        <v>376689</v>
      </c>
      <c r="J2723" s="2" t="s">
        <v>3889</v>
      </c>
      <c r="K2723" s="2" t="s">
        <v>3895</v>
      </c>
      <c r="L2723" s="2">
        <v>2025</v>
      </c>
      <c r="M2723" s="2">
        <v>-103279</v>
      </c>
      <c r="N2723" s="2">
        <f xml:space="preserve"> (Table1[[#This Row],[Variance (USD)]] / Table1[[#This Row],[Actual Spending (USD)]]) * 100</f>
        <v>-27.417577895823875</v>
      </c>
      <c r="O2723" s="5" t="s">
        <v>3897</v>
      </c>
    </row>
    <row r="2724" spans="1:15" x14ac:dyDescent="0.25">
      <c r="A2724" s="4" t="s">
        <v>2737</v>
      </c>
      <c r="B2724" s="2" t="s">
        <v>3078</v>
      </c>
      <c r="C2724" s="2" t="s">
        <v>3868</v>
      </c>
      <c r="D2724" s="2" t="s">
        <v>3883</v>
      </c>
      <c r="E2724" s="3">
        <v>45194</v>
      </c>
      <c r="F2724" s="3">
        <v>45456</v>
      </c>
      <c r="G2724" s="2" t="s">
        <v>3884</v>
      </c>
      <c r="H2724" s="2">
        <v>176560</v>
      </c>
      <c r="I2724" s="2">
        <v>402767</v>
      </c>
      <c r="J2724" s="2" t="s">
        <v>3889</v>
      </c>
      <c r="K2724" s="2" t="s">
        <v>3894</v>
      </c>
      <c r="L2724" s="2">
        <v>2025</v>
      </c>
      <c r="M2724" s="2">
        <v>-226207</v>
      </c>
      <c r="N2724" s="2">
        <f xml:space="preserve"> (Table1[[#This Row],[Variance (USD)]] / Table1[[#This Row],[Actual Spending (USD)]]) * 100</f>
        <v>-56.163240781891268</v>
      </c>
      <c r="O2724" s="5" t="s">
        <v>3897</v>
      </c>
    </row>
    <row r="2725" spans="1:15" x14ac:dyDescent="0.25">
      <c r="A2725" s="4" t="s">
        <v>2738</v>
      </c>
      <c r="B2725" s="2" t="s">
        <v>3424</v>
      </c>
      <c r="C2725" s="2" t="s">
        <v>3868</v>
      </c>
      <c r="D2725" s="2" t="s">
        <v>3878</v>
      </c>
      <c r="E2725" s="3">
        <v>45096</v>
      </c>
      <c r="F2725" s="3">
        <v>45659</v>
      </c>
      <c r="G2725" s="2" t="s">
        <v>3886</v>
      </c>
      <c r="H2725" s="2">
        <v>313035</v>
      </c>
      <c r="I2725" s="2">
        <v>423273</v>
      </c>
      <c r="J2725" s="2" t="s">
        <v>3892</v>
      </c>
      <c r="K2725" s="2" t="s">
        <v>3893</v>
      </c>
      <c r="L2725" s="2">
        <v>2025</v>
      </c>
      <c r="M2725" s="2">
        <v>-110238</v>
      </c>
      <c r="N2725" s="2">
        <f xml:space="preserve"> (Table1[[#This Row],[Variance (USD)]] / Table1[[#This Row],[Actual Spending (USD)]]) * 100</f>
        <v>-26.04418424988128</v>
      </c>
      <c r="O2725" s="5" t="s">
        <v>3899</v>
      </c>
    </row>
    <row r="2726" spans="1:15" x14ac:dyDescent="0.25">
      <c r="A2726" s="4" t="s">
        <v>2739</v>
      </c>
      <c r="B2726" s="2" t="s">
        <v>3061</v>
      </c>
      <c r="C2726" s="2" t="s">
        <v>3871</v>
      </c>
      <c r="D2726" s="2" t="s">
        <v>3881</v>
      </c>
      <c r="E2726" s="3">
        <v>45477</v>
      </c>
      <c r="F2726" s="3">
        <v>45583</v>
      </c>
      <c r="G2726" s="2" t="s">
        <v>3886</v>
      </c>
      <c r="H2726" s="2">
        <v>989476</v>
      </c>
      <c r="I2726" s="2">
        <v>1021543</v>
      </c>
      <c r="J2726" s="2" t="s">
        <v>3892</v>
      </c>
      <c r="K2726" s="2" t="s">
        <v>3893</v>
      </c>
      <c r="L2726" s="2">
        <v>2024</v>
      </c>
      <c r="M2726" s="2">
        <v>-32067</v>
      </c>
      <c r="N2726" s="2">
        <f xml:space="preserve"> (Table1[[#This Row],[Variance (USD)]] / Table1[[#This Row],[Actual Spending (USD)]]) * 100</f>
        <v>-3.1390749092304486</v>
      </c>
      <c r="O2726" s="5" t="s">
        <v>3899</v>
      </c>
    </row>
    <row r="2727" spans="1:15" x14ac:dyDescent="0.25">
      <c r="A2727" s="4" t="s">
        <v>2740</v>
      </c>
      <c r="B2727" s="2" t="s">
        <v>3052</v>
      </c>
      <c r="C2727" s="2" t="s">
        <v>3875</v>
      </c>
      <c r="D2727" s="2" t="s">
        <v>3876</v>
      </c>
      <c r="E2727" s="3">
        <v>45381</v>
      </c>
      <c r="F2727" s="3">
        <v>45577</v>
      </c>
      <c r="G2727" s="2" t="s">
        <v>3884</v>
      </c>
      <c r="H2727" s="2">
        <v>362601</v>
      </c>
      <c r="I2727" s="2">
        <v>356722</v>
      </c>
      <c r="J2727" s="2" t="s">
        <v>3892</v>
      </c>
      <c r="K2727" s="2" t="s">
        <v>3893</v>
      </c>
      <c r="L2727" s="2">
        <v>2025</v>
      </c>
      <c r="M2727" s="2">
        <v>5879</v>
      </c>
      <c r="N2727" s="2">
        <f xml:space="preserve"> (Table1[[#This Row],[Variance (USD)]] / Table1[[#This Row],[Actual Spending (USD)]]) * 100</f>
        <v>1.6480620763507716</v>
      </c>
      <c r="O2727" s="5" t="s">
        <v>3897</v>
      </c>
    </row>
    <row r="2728" spans="1:15" x14ac:dyDescent="0.25">
      <c r="A2728" s="4" t="s">
        <v>2741</v>
      </c>
      <c r="B2728" s="2" t="s">
        <v>3853</v>
      </c>
      <c r="C2728" s="2" t="s">
        <v>3868</v>
      </c>
      <c r="D2728" s="2" t="s">
        <v>3878</v>
      </c>
      <c r="E2728" s="3">
        <v>45577</v>
      </c>
      <c r="F2728" s="3">
        <v>45495</v>
      </c>
      <c r="G2728" s="2" t="s">
        <v>3884</v>
      </c>
      <c r="H2728" s="2">
        <v>687677</v>
      </c>
      <c r="I2728" s="2">
        <v>180193</v>
      </c>
      <c r="J2728" s="2" t="s">
        <v>3891</v>
      </c>
      <c r="K2728" s="2" t="s">
        <v>3895</v>
      </c>
      <c r="L2728" s="2">
        <v>2025</v>
      </c>
      <c r="M2728" s="2">
        <v>507484</v>
      </c>
      <c r="N2728" s="2">
        <f xml:space="preserve"> (Table1[[#This Row],[Variance (USD)]] / Table1[[#This Row],[Actual Spending (USD)]]) * 100</f>
        <v>281.63358177065703</v>
      </c>
      <c r="O2728" s="5" t="s">
        <v>3897</v>
      </c>
    </row>
    <row r="2729" spans="1:15" x14ac:dyDescent="0.25">
      <c r="A2729" s="4" t="s">
        <v>2742</v>
      </c>
      <c r="B2729" s="2" t="s">
        <v>3771</v>
      </c>
      <c r="C2729" s="2" t="s">
        <v>3873</v>
      </c>
      <c r="D2729" s="2" t="s">
        <v>3881</v>
      </c>
      <c r="E2729" s="3">
        <v>45218</v>
      </c>
      <c r="F2729" s="3">
        <v>45975</v>
      </c>
      <c r="G2729" s="2" t="s">
        <v>3887</v>
      </c>
      <c r="H2729" s="2">
        <v>497651</v>
      </c>
      <c r="I2729" s="2">
        <v>297637</v>
      </c>
      <c r="J2729" s="2" t="s">
        <v>3889</v>
      </c>
      <c r="K2729" s="2" t="s">
        <v>3896</v>
      </c>
      <c r="L2729" s="2">
        <v>2024</v>
      </c>
      <c r="M2729" s="2">
        <v>200014</v>
      </c>
      <c r="N2729" s="2">
        <f xml:space="preserve"> (Table1[[#This Row],[Variance (USD)]] / Table1[[#This Row],[Actual Spending (USD)]]) * 100</f>
        <v>67.20065045676445</v>
      </c>
      <c r="O2729" s="5" t="s">
        <v>3900</v>
      </c>
    </row>
    <row r="2730" spans="1:15" x14ac:dyDescent="0.25">
      <c r="A2730" s="4" t="s">
        <v>2743</v>
      </c>
      <c r="B2730" s="2" t="s">
        <v>3328</v>
      </c>
      <c r="C2730" s="2" t="s">
        <v>3871</v>
      </c>
      <c r="D2730" s="2" t="s">
        <v>3880</v>
      </c>
      <c r="E2730" s="3">
        <v>45490</v>
      </c>
      <c r="F2730" s="3">
        <v>45815</v>
      </c>
      <c r="G2730" s="2" t="s">
        <v>3885</v>
      </c>
      <c r="H2730" s="2">
        <v>333076</v>
      </c>
      <c r="I2730" s="2">
        <v>814118</v>
      </c>
      <c r="J2730" s="2" t="s">
        <v>3892</v>
      </c>
      <c r="K2730" s="2" t="s">
        <v>3893</v>
      </c>
      <c r="L2730" s="2">
        <v>2023</v>
      </c>
      <c r="M2730" s="2">
        <v>-481042</v>
      </c>
      <c r="N2730" s="2">
        <f xml:space="preserve"> (Table1[[#This Row],[Variance (USD)]] / Table1[[#This Row],[Actual Spending (USD)]]) * 100</f>
        <v>-59.087503285764477</v>
      </c>
      <c r="O2730" s="5" t="s">
        <v>3898</v>
      </c>
    </row>
    <row r="2731" spans="1:15" x14ac:dyDescent="0.25">
      <c r="A2731" s="4" t="s">
        <v>2744</v>
      </c>
      <c r="B2731" s="2" t="s">
        <v>3299</v>
      </c>
      <c r="C2731" s="2" t="s">
        <v>3868</v>
      </c>
      <c r="D2731" s="2" t="s">
        <v>3877</v>
      </c>
      <c r="E2731" s="3">
        <v>45067</v>
      </c>
      <c r="F2731" s="3">
        <v>45412</v>
      </c>
      <c r="G2731" s="2" t="s">
        <v>3884</v>
      </c>
      <c r="H2731" s="2">
        <v>316336</v>
      </c>
      <c r="I2731" s="2">
        <v>656469</v>
      </c>
      <c r="J2731" s="2" t="s">
        <v>3892</v>
      </c>
      <c r="K2731" s="2" t="s">
        <v>3895</v>
      </c>
      <c r="L2731" s="2">
        <v>2025</v>
      </c>
      <c r="M2731" s="2">
        <v>-340133</v>
      </c>
      <c r="N2731" s="2">
        <f xml:space="preserve"> (Table1[[#This Row],[Variance (USD)]] / Table1[[#This Row],[Actual Spending (USD)]]) * 100</f>
        <v>-51.812499904793675</v>
      </c>
      <c r="O2731" s="5" t="s">
        <v>3897</v>
      </c>
    </row>
    <row r="2732" spans="1:15" x14ac:dyDescent="0.25">
      <c r="A2732" s="4" t="s">
        <v>2745</v>
      </c>
      <c r="B2732" s="2" t="s">
        <v>3642</v>
      </c>
      <c r="C2732" s="2" t="s">
        <v>3869</v>
      </c>
      <c r="D2732" s="2" t="s">
        <v>3878</v>
      </c>
      <c r="E2732" s="3">
        <v>45072</v>
      </c>
      <c r="F2732" s="3">
        <v>45955</v>
      </c>
      <c r="G2732" s="2" t="s">
        <v>3886</v>
      </c>
      <c r="H2732" s="2">
        <v>852560</v>
      </c>
      <c r="I2732" s="2">
        <v>249778</v>
      </c>
      <c r="J2732" s="2" t="s">
        <v>3888</v>
      </c>
      <c r="K2732" s="2" t="s">
        <v>3896</v>
      </c>
      <c r="L2732" s="2">
        <v>2023</v>
      </c>
      <c r="M2732" s="2">
        <v>602782</v>
      </c>
      <c r="N2732" s="2">
        <f xml:space="preserve"> (Table1[[#This Row],[Variance (USD)]] / Table1[[#This Row],[Actual Spending (USD)]]) * 100</f>
        <v>241.3270984634355</v>
      </c>
      <c r="O2732" s="5" t="s">
        <v>3899</v>
      </c>
    </row>
    <row r="2733" spans="1:15" x14ac:dyDescent="0.25">
      <c r="A2733" s="4" t="s">
        <v>2746</v>
      </c>
      <c r="B2733" s="2" t="s">
        <v>3715</v>
      </c>
      <c r="C2733" s="2" t="s">
        <v>3872</v>
      </c>
      <c r="D2733" s="2" t="s">
        <v>3877</v>
      </c>
      <c r="E2733" s="3">
        <v>45351</v>
      </c>
      <c r="F2733" s="3">
        <v>45955</v>
      </c>
      <c r="G2733" s="2" t="s">
        <v>3884</v>
      </c>
      <c r="H2733" s="2">
        <v>72836</v>
      </c>
      <c r="I2733" s="2">
        <v>936628</v>
      </c>
      <c r="J2733" s="2" t="s">
        <v>3891</v>
      </c>
      <c r="K2733" s="2" t="s">
        <v>3895</v>
      </c>
      <c r="L2733" s="2">
        <v>2025</v>
      </c>
      <c r="M2733" s="2">
        <v>-863792</v>
      </c>
      <c r="N2733" s="2">
        <f xml:space="preserve"> (Table1[[#This Row],[Variance (USD)]] / Table1[[#This Row],[Actual Spending (USD)]]) * 100</f>
        <v>-92.223593571834286</v>
      </c>
      <c r="O2733" s="5" t="s">
        <v>3897</v>
      </c>
    </row>
    <row r="2734" spans="1:15" x14ac:dyDescent="0.25">
      <c r="A2734" s="4" t="s">
        <v>2747</v>
      </c>
      <c r="B2734" s="2" t="s">
        <v>3035</v>
      </c>
      <c r="C2734" s="2" t="s">
        <v>3873</v>
      </c>
      <c r="D2734" s="2" t="s">
        <v>3878</v>
      </c>
      <c r="E2734" s="3">
        <v>45240</v>
      </c>
      <c r="F2734" s="3">
        <v>45479</v>
      </c>
      <c r="G2734" s="2" t="s">
        <v>3884</v>
      </c>
      <c r="H2734" s="2">
        <v>336981</v>
      </c>
      <c r="I2734" s="2">
        <v>485457</v>
      </c>
      <c r="J2734" s="2" t="s">
        <v>3889</v>
      </c>
      <c r="K2734" s="2" t="s">
        <v>3895</v>
      </c>
      <c r="L2734" s="2">
        <v>2023</v>
      </c>
      <c r="M2734" s="2">
        <v>-148476</v>
      </c>
      <c r="N2734" s="2">
        <f xml:space="preserve"> (Table1[[#This Row],[Variance (USD)]] / Table1[[#This Row],[Actual Spending (USD)]]) * 100</f>
        <v>-30.584789178032246</v>
      </c>
      <c r="O2734" s="5" t="s">
        <v>3897</v>
      </c>
    </row>
    <row r="2735" spans="1:15" x14ac:dyDescent="0.25">
      <c r="A2735" s="4" t="s">
        <v>2748</v>
      </c>
      <c r="B2735" s="2" t="s">
        <v>3434</v>
      </c>
      <c r="C2735" s="2" t="s">
        <v>3874</v>
      </c>
      <c r="D2735" s="2" t="s">
        <v>3877</v>
      </c>
      <c r="E2735" s="3">
        <v>45110</v>
      </c>
      <c r="F2735" s="3">
        <v>45304</v>
      </c>
      <c r="G2735" s="2" t="s">
        <v>3884</v>
      </c>
      <c r="H2735" s="2">
        <v>691316</v>
      </c>
      <c r="I2735" s="2">
        <v>992798</v>
      </c>
      <c r="J2735" s="2" t="s">
        <v>3890</v>
      </c>
      <c r="K2735" s="2" t="s">
        <v>3896</v>
      </c>
      <c r="L2735" s="2">
        <v>2025</v>
      </c>
      <c r="M2735" s="2">
        <v>-301482</v>
      </c>
      <c r="N2735" s="2">
        <f xml:space="preserve"> (Table1[[#This Row],[Variance (USD)]] / Table1[[#This Row],[Actual Spending (USD)]]) * 100</f>
        <v>-30.366902431310294</v>
      </c>
      <c r="O2735" s="5" t="s">
        <v>3897</v>
      </c>
    </row>
    <row r="2736" spans="1:15" x14ac:dyDescent="0.25">
      <c r="A2736" s="4" t="s">
        <v>2749</v>
      </c>
      <c r="B2736" s="2" t="s">
        <v>3161</v>
      </c>
      <c r="C2736" s="2" t="s">
        <v>3874</v>
      </c>
      <c r="D2736" s="2" t="s">
        <v>3880</v>
      </c>
      <c r="E2736" s="3">
        <v>45590</v>
      </c>
      <c r="F2736" s="3">
        <v>45894</v>
      </c>
      <c r="G2736" s="2" t="s">
        <v>3884</v>
      </c>
      <c r="H2736" s="2">
        <v>952913</v>
      </c>
      <c r="I2736" s="2">
        <v>654367</v>
      </c>
      <c r="J2736" s="2" t="s">
        <v>3891</v>
      </c>
      <c r="K2736" s="2" t="s">
        <v>3894</v>
      </c>
      <c r="L2736" s="2">
        <v>2023</v>
      </c>
      <c r="M2736" s="2">
        <v>298546</v>
      </c>
      <c r="N2736" s="2">
        <f xml:space="preserve"> (Table1[[#This Row],[Variance (USD)]] / Table1[[#This Row],[Actual Spending (USD)]]) * 100</f>
        <v>45.623633221112925</v>
      </c>
      <c r="O2736" s="5" t="s">
        <v>3897</v>
      </c>
    </row>
    <row r="2737" spans="1:15" x14ac:dyDescent="0.25">
      <c r="A2737" s="4" t="s">
        <v>2750</v>
      </c>
      <c r="B2737" s="2" t="s">
        <v>3190</v>
      </c>
      <c r="C2737" s="2" t="s">
        <v>3872</v>
      </c>
      <c r="D2737" s="2" t="s">
        <v>3876</v>
      </c>
      <c r="E2737" s="3">
        <v>45639</v>
      </c>
      <c r="F2737" s="3">
        <v>45491</v>
      </c>
      <c r="G2737" s="2" t="s">
        <v>3884</v>
      </c>
      <c r="H2737" s="2">
        <v>961608</v>
      </c>
      <c r="I2737" s="2">
        <v>809558</v>
      </c>
      <c r="J2737" s="2" t="s">
        <v>3891</v>
      </c>
      <c r="K2737" s="2" t="s">
        <v>3894</v>
      </c>
      <c r="L2737" s="2">
        <v>2023</v>
      </c>
      <c r="M2737" s="2">
        <v>152050</v>
      </c>
      <c r="N2737" s="2">
        <f xml:space="preserve"> (Table1[[#This Row],[Variance (USD)]] / Table1[[#This Row],[Actual Spending (USD)]]) * 100</f>
        <v>18.781853801704141</v>
      </c>
      <c r="O2737" s="5" t="s">
        <v>3897</v>
      </c>
    </row>
    <row r="2738" spans="1:15" x14ac:dyDescent="0.25">
      <c r="A2738" s="4" t="s">
        <v>2751</v>
      </c>
      <c r="B2738" s="2" t="s">
        <v>3144</v>
      </c>
      <c r="C2738" s="2" t="s">
        <v>3874</v>
      </c>
      <c r="D2738" s="2" t="s">
        <v>3882</v>
      </c>
      <c r="E2738" s="3">
        <v>45054</v>
      </c>
      <c r="F2738" s="3">
        <v>45877</v>
      </c>
      <c r="G2738" s="2" t="s">
        <v>3885</v>
      </c>
      <c r="H2738" s="2">
        <v>175172</v>
      </c>
      <c r="I2738" s="2">
        <v>247199</v>
      </c>
      <c r="J2738" s="2" t="s">
        <v>3888</v>
      </c>
      <c r="K2738" s="2" t="s">
        <v>3893</v>
      </c>
      <c r="L2738" s="2">
        <v>2025</v>
      </c>
      <c r="M2738" s="2">
        <v>-72027</v>
      </c>
      <c r="N2738" s="2">
        <f xml:space="preserve"> (Table1[[#This Row],[Variance (USD)]] / Table1[[#This Row],[Actual Spending (USD)]]) * 100</f>
        <v>-29.13725379147974</v>
      </c>
      <c r="O2738" s="5" t="s">
        <v>3898</v>
      </c>
    </row>
    <row r="2739" spans="1:15" x14ac:dyDescent="0.25">
      <c r="A2739" s="4" t="s">
        <v>2752</v>
      </c>
      <c r="B2739" s="2" t="s">
        <v>3086</v>
      </c>
      <c r="C2739" s="2" t="s">
        <v>3872</v>
      </c>
      <c r="D2739" s="2" t="s">
        <v>3883</v>
      </c>
      <c r="E2739" s="3">
        <v>45213</v>
      </c>
      <c r="F2739" s="3">
        <v>45747</v>
      </c>
      <c r="G2739" s="2" t="s">
        <v>3884</v>
      </c>
      <c r="H2739" s="2">
        <v>334922</v>
      </c>
      <c r="I2739" s="2">
        <v>717843</v>
      </c>
      <c r="J2739" s="2" t="s">
        <v>3889</v>
      </c>
      <c r="K2739" s="2" t="s">
        <v>3896</v>
      </c>
      <c r="L2739" s="2">
        <v>2023</v>
      </c>
      <c r="M2739" s="2">
        <v>-382921</v>
      </c>
      <c r="N2739" s="2">
        <f xml:space="preserve"> (Table1[[#This Row],[Variance (USD)]] / Table1[[#This Row],[Actual Spending (USD)]]) * 100</f>
        <v>-53.343279797950252</v>
      </c>
      <c r="O2739" s="5" t="s">
        <v>3897</v>
      </c>
    </row>
    <row r="2740" spans="1:15" x14ac:dyDescent="0.25">
      <c r="A2740" s="4" t="s">
        <v>2753</v>
      </c>
      <c r="B2740" s="2" t="s">
        <v>3195</v>
      </c>
      <c r="C2740" s="2" t="s">
        <v>3868</v>
      </c>
      <c r="D2740" s="2" t="s">
        <v>3877</v>
      </c>
      <c r="E2740" s="3">
        <v>45179</v>
      </c>
      <c r="F2740" s="3">
        <v>45739</v>
      </c>
      <c r="G2740" s="2" t="s">
        <v>3886</v>
      </c>
      <c r="H2740" s="2">
        <v>93130</v>
      </c>
      <c r="I2740" s="2">
        <v>809568</v>
      </c>
      <c r="J2740" s="2" t="s">
        <v>3889</v>
      </c>
      <c r="K2740" s="2" t="s">
        <v>3893</v>
      </c>
      <c r="L2740" s="2">
        <v>2025</v>
      </c>
      <c r="M2740" s="2">
        <v>-716438</v>
      </c>
      <c r="N2740" s="2">
        <f xml:space="preserve"> (Table1[[#This Row],[Variance (USD)]] / Table1[[#This Row],[Actual Spending (USD)]]) * 100</f>
        <v>-88.496333847187643</v>
      </c>
      <c r="O2740" s="5" t="s">
        <v>3899</v>
      </c>
    </row>
    <row r="2741" spans="1:15" x14ac:dyDescent="0.25">
      <c r="A2741" s="4" t="s">
        <v>2754</v>
      </c>
      <c r="B2741" s="2" t="s">
        <v>3747</v>
      </c>
      <c r="C2741" s="2" t="s">
        <v>3873</v>
      </c>
      <c r="D2741" s="2" t="s">
        <v>3880</v>
      </c>
      <c r="E2741" s="3">
        <v>45626</v>
      </c>
      <c r="F2741" s="3">
        <v>45362</v>
      </c>
      <c r="G2741" s="2" t="s">
        <v>3884</v>
      </c>
      <c r="H2741" s="2">
        <v>328852</v>
      </c>
      <c r="I2741" s="2">
        <v>788049</v>
      </c>
      <c r="J2741" s="2" t="s">
        <v>3892</v>
      </c>
      <c r="K2741" s="2" t="s">
        <v>3895</v>
      </c>
      <c r="L2741" s="2">
        <v>2025</v>
      </c>
      <c r="M2741" s="2">
        <v>-459197</v>
      </c>
      <c r="N2741" s="2">
        <f xml:space="preserve"> (Table1[[#This Row],[Variance (USD)]] / Table1[[#This Row],[Actual Spending (USD)]]) * 100</f>
        <v>-58.270107569453167</v>
      </c>
      <c r="O2741" s="5" t="s">
        <v>3897</v>
      </c>
    </row>
    <row r="2742" spans="1:15" x14ac:dyDescent="0.25">
      <c r="A2742" s="4" t="s">
        <v>2755</v>
      </c>
      <c r="B2742" s="2" t="s">
        <v>3674</v>
      </c>
      <c r="C2742" s="2" t="s">
        <v>3873</v>
      </c>
      <c r="D2742" s="2" t="s">
        <v>3877</v>
      </c>
      <c r="E2742" s="3">
        <v>45312</v>
      </c>
      <c r="F2742" s="3">
        <v>45881</v>
      </c>
      <c r="G2742" s="2" t="s">
        <v>3884</v>
      </c>
      <c r="H2742" s="2">
        <v>419625</v>
      </c>
      <c r="I2742" s="2">
        <v>183807</v>
      </c>
      <c r="J2742" s="2" t="s">
        <v>3892</v>
      </c>
      <c r="K2742" s="2" t="s">
        <v>3894</v>
      </c>
      <c r="L2742" s="2">
        <v>2024</v>
      </c>
      <c r="M2742" s="2">
        <v>235818</v>
      </c>
      <c r="N2742" s="2">
        <f xml:space="preserve"> (Table1[[#This Row],[Variance (USD)]] / Table1[[#This Row],[Actual Spending (USD)]]) * 100</f>
        <v>128.29652842383587</v>
      </c>
      <c r="O2742" s="5" t="s">
        <v>3897</v>
      </c>
    </row>
    <row r="2743" spans="1:15" x14ac:dyDescent="0.25">
      <c r="A2743" s="4" t="s">
        <v>2756</v>
      </c>
      <c r="B2743" s="2" t="s">
        <v>3731</v>
      </c>
      <c r="C2743" s="2" t="s">
        <v>3875</v>
      </c>
      <c r="D2743" s="2" t="s">
        <v>3876</v>
      </c>
      <c r="E2743" s="3">
        <v>45156</v>
      </c>
      <c r="F2743" s="3">
        <v>45421</v>
      </c>
      <c r="G2743" s="2" t="s">
        <v>3885</v>
      </c>
      <c r="H2743" s="2">
        <v>205304</v>
      </c>
      <c r="I2743" s="2">
        <v>569491</v>
      </c>
      <c r="J2743" s="2" t="s">
        <v>3891</v>
      </c>
      <c r="K2743" s="2" t="s">
        <v>3893</v>
      </c>
      <c r="L2743" s="2">
        <v>2025</v>
      </c>
      <c r="M2743" s="2">
        <v>-364187</v>
      </c>
      <c r="N2743" s="2">
        <f xml:space="preserve"> (Table1[[#This Row],[Variance (USD)]] / Table1[[#This Row],[Actual Spending (USD)]]) * 100</f>
        <v>-63.949561977274442</v>
      </c>
      <c r="O2743" s="5" t="s">
        <v>3898</v>
      </c>
    </row>
    <row r="2744" spans="1:15" x14ac:dyDescent="0.25">
      <c r="A2744" s="4" t="s">
        <v>2757</v>
      </c>
      <c r="B2744" s="2" t="s">
        <v>3854</v>
      </c>
      <c r="C2744" s="2" t="s">
        <v>3872</v>
      </c>
      <c r="D2744" s="2" t="s">
        <v>3877</v>
      </c>
      <c r="E2744" s="3">
        <v>45197</v>
      </c>
      <c r="F2744" s="3">
        <v>45334</v>
      </c>
      <c r="G2744" s="2" t="s">
        <v>3886</v>
      </c>
      <c r="H2744" s="2">
        <v>238338</v>
      </c>
      <c r="I2744" s="2">
        <v>265281</v>
      </c>
      <c r="J2744" s="2" t="s">
        <v>3888</v>
      </c>
      <c r="K2744" s="2" t="s">
        <v>3893</v>
      </c>
      <c r="L2744" s="2">
        <v>2025</v>
      </c>
      <c r="M2744" s="2">
        <v>-26943</v>
      </c>
      <c r="N2744" s="2">
        <f xml:space="preserve"> (Table1[[#This Row],[Variance (USD)]] / Table1[[#This Row],[Actual Spending (USD)]]) * 100</f>
        <v>-10.156400194510725</v>
      </c>
      <c r="O2744" s="5" t="s">
        <v>3899</v>
      </c>
    </row>
    <row r="2745" spans="1:15" x14ac:dyDescent="0.25">
      <c r="A2745" s="4" t="s">
        <v>2758</v>
      </c>
      <c r="B2745" s="2" t="s">
        <v>3088</v>
      </c>
      <c r="C2745" s="2" t="s">
        <v>3873</v>
      </c>
      <c r="D2745" s="2" t="s">
        <v>3880</v>
      </c>
      <c r="E2745" s="3">
        <v>45341</v>
      </c>
      <c r="F2745" s="3">
        <v>45811</v>
      </c>
      <c r="G2745" s="2" t="s">
        <v>3887</v>
      </c>
      <c r="H2745" s="2">
        <v>579070</v>
      </c>
      <c r="I2745" s="2">
        <v>394913</v>
      </c>
      <c r="J2745" s="2" t="s">
        <v>3889</v>
      </c>
      <c r="K2745" s="2" t="s">
        <v>3894</v>
      </c>
      <c r="L2745" s="2">
        <v>2025</v>
      </c>
      <c r="M2745" s="2">
        <v>184157</v>
      </c>
      <c r="N2745" s="2">
        <f xml:space="preserve"> (Table1[[#This Row],[Variance (USD)]] / Table1[[#This Row],[Actual Spending (USD)]]) * 100</f>
        <v>46.632296227270309</v>
      </c>
      <c r="O2745" s="5" t="s">
        <v>3900</v>
      </c>
    </row>
    <row r="2746" spans="1:15" x14ac:dyDescent="0.25">
      <c r="A2746" s="4" t="s">
        <v>2759</v>
      </c>
      <c r="B2746" s="2" t="s">
        <v>3550</v>
      </c>
      <c r="C2746" s="2" t="s">
        <v>3875</v>
      </c>
      <c r="D2746" s="2" t="s">
        <v>3881</v>
      </c>
      <c r="E2746" s="3">
        <v>45124</v>
      </c>
      <c r="F2746" s="3">
        <v>45304</v>
      </c>
      <c r="G2746" s="2" t="s">
        <v>3887</v>
      </c>
      <c r="H2746" s="2">
        <v>504412</v>
      </c>
      <c r="I2746" s="2">
        <v>987217</v>
      </c>
      <c r="J2746" s="2" t="s">
        <v>3888</v>
      </c>
      <c r="K2746" s="2" t="s">
        <v>3895</v>
      </c>
      <c r="L2746" s="2">
        <v>2025</v>
      </c>
      <c r="M2746" s="2">
        <v>-482805</v>
      </c>
      <c r="N2746" s="2">
        <f xml:space="preserve"> (Table1[[#This Row],[Variance (USD)]] / Table1[[#This Row],[Actual Spending (USD)]]) * 100</f>
        <v>-48.905661065398995</v>
      </c>
      <c r="O2746" s="5" t="s">
        <v>3900</v>
      </c>
    </row>
    <row r="2747" spans="1:15" x14ac:dyDescent="0.25">
      <c r="A2747" s="4" t="s">
        <v>2760</v>
      </c>
      <c r="B2747" s="2" t="s">
        <v>3288</v>
      </c>
      <c r="C2747" s="2" t="s">
        <v>3871</v>
      </c>
      <c r="D2747" s="2" t="s">
        <v>3880</v>
      </c>
      <c r="E2747" s="3">
        <v>45249</v>
      </c>
      <c r="F2747" s="3">
        <v>46016</v>
      </c>
      <c r="G2747" s="2" t="s">
        <v>3884</v>
      </c>
      <c r="H2747" s="2">
        <v>731675</v>
      </c>
      <c r="I2747" s="2">
        <v>532578</v>
      </c>
      <c r="J2747" s="2" t="s">
        <v>3890</v>
      </c>
      <c r="K2747" s="2" t="s">
        <v>3893</v>
      </c>
      <c r="L2747" s="2">
        <v>2024</v>
      </c>
      <c r="M2747" s="2">
        <v>199097</v>
      </c>
      <c r="N2747" s="2">
        <f xml:space="preserve"> (Table1[[#This Row],[Variance (USD)]] / Table1[[#This Row],[Actual Spending (USD)]]) * 100</f>
        <v>37.383632068917606</v>
      </c>
      <c r="O2747" s="5" t="s">
        <v>3897</v>
      </c>
    </row>
    <row r="2748" spans="1:15" x14ac:dyDescent="0.25">
      <c r="A2748" s="4" t="s">
        <v>2761</v>
      </c>
      <c r="B2748" s="2" t="s">
        <v>3037</v>
      </c>
      <c r="C2748" s="2" t="s">
        <v>3875</v>
      </c>
      <c r="D2748" s="2" t="s">
        <v>3882</v>
      </c>
      <c r="E2748" s="3">
        <v>44982</v>
      </c>
      <c r="F2748" s="3">
        <v>45914</v>
      </c>
      <c r="G2748" s="2" t="s">
        <v>3884</v>
      </c>
      <c r="H2748" s="2">
        <v>322196</v>
      </c>
      <c r="I2748" s="2">
        <v>42636</v>
      </c>
      <c r="J2748" s="2" t="s">
        <v>3889</v>
      </c>
      <c r="K2748" s="2" t="s">
        <v>3893</v>
      </c>
      <c r="L2748" s="2">
        <v>2024</v>
      </c>
      <c r="M2748" s="2">
        <v>279560</v>
      </c>
      <c r="N2748" s="2">
        <f xml:space="preserve"> (Table1[[#This Row],[Variance (USD)]] / Table1[[#This Row],[Actual Spending (USD)]]) * 100</f>
        <v>655.6900272070551</v>
      </c>
      <c r="O2748" s="5" t="s">
        <v>3897</v>
      </c>
    </row>
    <row r="2749" spans="1:15" x14ac:dyDescent="0.25">
      <c r="A2749" s="4" t="s">
        <v>2762</v>
      </c>
      <c r="B2749" s="2" t="s">
        <v>3650</v>
      </c>
      <c r="C2749" s="2" t="s">
        <v>3869</v>
      </c>
      <c r="D2749" s="2" t="s">
        <v>3882</v>
      </c>
      <c r="E2749" s="3">
        <v>45129</v>
      </c>
      <c r="F2749" s="3">
        <v>45826</v>
      </c>
      <c r="G2749" s="2" t="s">
        <v>3885</v>
      </c>
      <c r="H2749" s="2">
        <v>855953</v>
      </c>
      <c r="I2749" s="2">
        <v>451976</v>
      </c>
      <c r="J2749" s="2" t="s">
        <v>3892</v>
      </c>
      <c r="K2749" s="2" t="s">
        <v>3896</v>
      </c>
      <c r="L2749" s="2">
        <v>2024</v>
      </c>
      <c r="M2749" s="2">
        <v>403977</v>
      </c>
      <c r="N2749" s="2">
        <f xml:space="preserve"> (Table1[[#This Row],[Variance (USD)]] / Table1[[#This Row],[Actual Spending (USD)]]) * 100</f>
        <v>89.380188328583827</v>
      </c>
      <c r="O2749" s="5" t="s">
        <v>3898</v>
      </c>
    </row>
    <row r="2750" spans="1:15" x14ac:dyDescent="0.25">
      <c r="A2750" s="4" t="s">
        <v>2763</v>
      </c>
      <c r="B2750" s="2" t="s">
        <v>3718</v>
      </c>
      <c r="C2750" s="2" t="s">
        <v>3870</v>
      </c>
      <c r="D2750" s="2" t="s">
        <v>3882</v>
      </c>
      <c r="E2750" s="3">
        <v>45547</v>
      </c>
      <c r="F2750" s="3">
        <v>45593</v>
      </c>
      <c r="G2750" s="2" t="s">
        <v>3887</v>
      </c>
      <c r="H2750" s="2">
        <v>774794</v>
      </c>
      <c r="I2750" s="2">
        <v>559254</v>
      </c>
      <c r="J2750" s="2" t="s">
        <v>3891</v>
      </c>
      <c r="K2750" s="2" t="s">
        <v>3896</v>
      </c>
      <c r="L2750" s="2">
        <v>2024</v>
      </c>
      <c r="M2750" s="2">
        <v>215540</v>
      </c>
      <c r="N2750" s="2">
        <f xml:space="preserve"> (Table1[[#This Row],[Variance (USD)]] / Table1[[#This Row],[Actual Spending (USD)]]) * 100</f>
        <v>38.540627335700769</v>
      </c>
      <c r="O2750" s="5" t="s">
        <v>3900</v>
      </c>
    </row>
    <row r="2751" spans="1:15" x14ac:dyDescent="0.25">
      <c r="A2751" s="4" t="s">
        <v>2764</v>
      </c>
      <c r="B2751" s="2" t="s">
        <v>3282</v>
      </c>
      <c r="C2751" s="2" t="s">
        <v>3868</v>
      </c>
      <c r="D2751" s="2" t="s">
        <v>3879</v>
      </c>
      <c r="E2751" s="3">
        <v>45554</v>
      </c>
      <c r="F2751" s="3">
        <v>45818</v>
      </c>
      <c r="G2751" s="2" t="s">
        <v>3886</v>
      </c>
      <c r="H2751" s="2">
        <v>263827</v>
      </c>
      <c r="I2751" s="2">
        <v>797111</v>
      </c>
      <c r="J2751" s="2" t="s">
        <v>3888</v>
      </c>
      <c r="K2751" s="2" t="s">
        <v>3894</v>
      </c>
      <c r="L2751" s="2">
        <v>2023</v>
      </c>
      <c r="M2751" s="2">
        <v>-533284</v>
      </c>
      <c r="N2751" s="2">
        <f xml:space="preserve"> (Table1[[#This Row],[Variance (USD)]] / Table1[[#This Row],[Actual Spending (USD)]]) * 100</f>
        <v>-66.902100209381132</v>
      </c>
      <c r="O2751" s="5" t="s">
        <v>3899</v>
      </c>
    </row>
    <row r="2752" spans="1:15" x14ac:dyDescent="0.25">
      <c r="A2752" s="4" t="s">
        <v>2765</v>
      </c>
      <c r="B2752" s="2" t="s">
        <v>3855</v>
      </c>
      <c r="C2752" s="2" t="s">
        <v>3871</v>
      </c>
      <c r="D2752" s="2" t="s">
        <v>3876</v>
      </c>
      <c r="E2752" s="3">
        <v>45530</v>
      </c>
      <c r="F2752" s="3">
        <v>45933</v>
      </c>
      <c r="G2752" s="2" t="s">
        <v>3886</v>
      </c>
      <c r="H2752" s="2">
        <v>381834</v>
      </c>
      <c r="I2752" s="2">
        <v>934846</v>
      </c>
      <c r="J2752" s="2" t="s">
        <v>3892</v>
      </c>
      <c r="K2752" s="2" t="s">
        <v>3894</v>
      </c>
      <c r="L2752" s="2">
        <v>2025</v>
      </c>
      <c r="M2752" s="2">
        <v>-553012</v>
      </c>
      <c r="N2752" s="2">
        <f xml:space="preserve"> (Table1[[#This Row],[Variance (USD)]] / Table1[[#This Row],[Actual Spending (USD)]]) * 100</f>
        <v>-59.155411693476786</v>
      </c>
      <c r="O2752" s="5" t="s">
        <v>3899</v>
      </c>
    </row>
    <row r="2753" spans="1:15" x14ac:dyDescent="0.25">
      <c r="A2753" s="4" t="s">
        <v>2766</v>
      </c>
      <c r="B2753" s="2" t="s">
        <v>3509</v>
      </c>
      <c r="C2753" s="2" t="s">
        <v>3870</v>
      </c>
      <c r="D2753" s="2" t="s">
        <v>3881</v>
      </c>
      <c r="E2753" s="3">
        <v>45064</v>
      </c>
      <c r="F2753" s="3">
        <v>45864</v>
      </c>
      <c r="G2753" s="2" t="s">
        <v>3886</v>
      </c>
      <c r="H2753" s="2">
        <v>609834</v>
      </c>
      <c r="I2753" s="2">
        <v>633986</v>
      </c>
      <c r="J2753" s="2" t="s">
        <v>3891</v>
      </c>
      <c r="K2753" s="2" t="s">
        <v>3895</v>
      </c>
      <c r="L2753" s="2">
        <v>2024</v>
      </c>
      <c r="M2753" s="2">
        <v>-24152</v>
      </c>
      <c r="N2753" s="2">
        <f xml:space="preserve"> (Table1[[#This Row],[Variance (USD)]] / Table1[[#This Row],[Actual Spending (USD)]]) * 100</f>
        <v>-3.8095478449050924</v>
      </c>
      <c r="O2753" s="5" t="s">
        <v>3899</v>
      </c>
    </row>
    <row r="2754" spans="1:15" x14ac:dyDescent="0.25">
      <c r="A2754" s="4" t="s">
        <v>2767</v>
      </c>
      <c r="B2754" s="2" t="s">
        <v>3451</v>
      </c>
      <c r="C2754" s="2" t="s">
        <v>3870</v>
      </c>
      <c r="D2754" s="2" t="s">
        <v>3879</v>
      </c>
      <c r="E2754" s="3">
        <v>45348</v>
      </c>
      <c r="F2754" s="3">
        <v>45406</v>
      </c>
      <c r="G2754" s="2" t="s">
        <v>3884</v>
      </c>
      <c r="H2754" s="2">
        <v>784705</v>
      </c>
      <c r="I2754" s="2">
        <v>595770</v>
      </c>
      <c r="J2754" s="2" t="s">
        <v>3892</v>
      </c>
      <c r="K2754" s="2" t="s">
        <v>3895</v>
      </c>
      <c r="L2754" s="2">
        <v>2025</v>
      </c>
      <c r="M2754" s="2">
        <v>188935</v>
      </c>
      <c r="N2754" s="2">
        <f xml:space="preserve"> (Table1[[#This Row],[Variance (USD)]] / Table1[[#This Row],[Actual Spending (USD)]]) * 100</f>
        <v>31.712741494200781</v>
      </c>
      <c r="O2754" s="5" t="s">
        <v>3897</v>
      </c>
    </row>
    <row r="2755" spans="1:15" x14ac:dyDescent="0.25">
      <c r="A2755" s="4" t="s">
        <v>2768</v>
      </c>
      <c r="B2755" s="2" t="s">
        <v>3179</v>
      </c>
      <c r="C2755" s="2" t="s">
        <v>3871</v>
      </c>
      <c r="D2755" s="2" t="s">
        <v>3876</v>
      </c>
      <c r="E2755" s="3">
        <v>44983</v>
      </c>
      <c r="F2755" s="3">
        <v>45751</v>
      </c>
      <c r="G2755" s="2" t="s">
        <v>3886</v>
      </c>
      <c r="H2755" s="2">
        <v>207044</v>
      </c>
      <c r="I2755" s="2">
        <v>270275</v>
      </c>
      <c r="J2755" s="2" t="s">
        <v>3889</v>
      </c>
      <c r="K2755" s="2" t="s">
        <v>3893</v>
      </c>
      <c r="L2755" s="2">
        <v>2024</v>
      </c>
      <c r="M2755" s="2">
        <v>-63231</v>
      </c>
      <c r="N2755" s="2">
        <f xml:space="preserve"> (Table1[[#This Row],[Variance (USD)]] / Table1[[#This Row],[Actual Spending (USD)]]) * 100</f>
        <v>-23.395060586439737</v>
      </c>
      <c r="O2755" s="5" t="s">
        <v>3899</v>
      </c>
    </row>
    <row r="2756" spans="1:15" x14ac:dyDescent="0.25">
      <c r="A2756" s="4" t="s">
        <v>2769</v>
      </c>
      <c r="B2756" s="2" t="s">
        <v>3225</v>
      </c>
      <c r="C2756" s="2" t="s">
        <v>3869</v>
      </c>
      <c r="D2756" s="2" t="s">
        <v>3881</v>
      </c>
      <c r="E2756" s="3">
        <v>45488</v>
      </c>
      <c r="F2756" s="3">
        <v>45796</v>
      </c>
      <c r="G2756" s="2" t="s">
        <v>3885</v>
      </c>
      <c r="H2756" s="2">
        <v>679001</v>
      </c>
      <c r="I2756" s="2">
        <v>1081574</v>
      </c>
      <c r="J2756" s="2" t="s">
        <v>3888</v>
      </c>
      <c r="K2756" s="2" t="s">
        <v>3896</v>
      </c>
      <c r="L2756" s="2">
        <v>2025</v>
      </c>
      <c r="M2756" s="2">
        <v>-402573</v>
      </c>
      <c r="N2756" s="2">
        <f xml:space="preserve"> (Table1[[#This Row],[Variance (USD)]] / Table1[[#This Row],[Actual Spending (USD)]]) * 100</f>
        <v>-37.221031570655363</v>
      </c>
      <c r="O2756" s="5" t="s">
        <v>3898</v>
      </c>
    </row>
    <row r="2757" spans="1:15" x14ac:dyDescent="0.25">
      <c r="A2757" s="4" t="s">
        <v>2770</v>
      </c>
      <c r="B2757" s="2" t="s">
        <v>3684</v>
      </c>
      <c r="C2757" s="2" t="s">
        <v>3875</v>
      </c>
      <c r="D2757" s="2" t="s">
        <v>3877</v>
      </c>
      <c r="E2757" s="3">
        <v>44997</v>
      </c>
      <c r="F2757" s="3">
        <v>45599</v>
      </c>
      <c r="G2757" s="2" t="s">
        <v>3886</v>
      </c>
      <c r="H2757" s="2">
        <v>305628</v>
      </c>
      <c r="I2757" s="2">
        <v>1139841</v>
      </c>
      <c r="J2757" s="2" t="s">
        <v>3890</v>
      </c>
      <c r="K2757" s="2" t="s">
        <v>3895</v>
      </c>
      <c r="L2757" s="2">
        <v>2023</v>
      </c>
      <c r="M2757" s="2">
        <v>-834213</v>
      </c>
      <c r="N2757" s="2">
        <f xml:space="preserve"> (Table1[[#This Row],[Variance (USD)]] / Table1[[#This Row],[Actual Spending (USD)]]) * 100</f>
        <v>-73.186786578128007</v>
      </c>
      <c r="O2757" s="5" t="s">
        <v>3899</v>
      </c>
    </row>
    <row r="2758" spans="1:15" x14ac:dyDescent="0.25">
      <c r="A2758" s="4" t="s">
        <v>2771</v>
      </c>
      <c r="B2758" s="2" t="s">
        <v>3072</v>
      </c>
      <c r="C2758" s="2" t="s">
        <v>3868</v>
      </c>
      <c r="D2758" s="2" t="s">
        <v>3881</v>
      </c>
      <c r="E2758" s="3">
        <v>45520</v>
      </c>
      <c r="F2758" s="3">
        <v>45616</v>
      </c>
      <c r="G2758" s="2" t="s">
        <v>3884</v>
      </c>
      <c r="H2758" s="2">
        <v>676905</v>
      </c>
      <c r="I2758" s="2">
        <v>1145021</v>
      </c>
      <c r="J2758" s="2" t="s">
        <v>3892</v>
      </c>
      <c r="K2758" s="2" t="s">
        <v>3893</v>
      </c>
      <c r="L2758" s="2">
        <v>2024</v>
      </c>
      <c r="M2758" s="2">
        <v>-468116</v>
      </c>
      <c r="N2758" s="2">
        <f xml:space="preserve"> (Table1[[#This Row],[Variance (USD)]] / Table1[[#This Row],[Actual Spending (USD)]]) * 100</f>
        <v>-40.88274363526957</v>
      </c>
      <c r="O2758" s="5" t="s">
        <v>3897</v>
      </c>
    </row>
    <row r="2759" spans="1:15" x14ac:dyDescent="0.25">
      <c r="A2759" s="4" t="s">
        <v>2772</v>
      </c>
      <c r="B2759" s="2" t="s">
        <v>3796</v>
      </c>
      <c r="C2759" s="2" t="s">
        <v>3875</v>
      </c>
      <c r="D2759" s="2" t="s">
        <v>3880</v>
      </c>
      <c r="E2759" s="3">
        <v>45298</v>
      </c>
      <c r="F2759" s="3">
        <v>45870</v>
      </c>
      <c r="G2759" s="2" t="s">
        <v>3884</v>
      </c>
      <c r="H2759" s="2">
        <v>72030</v>
      </c>
      <c r="I2759" s="2">
        <v>927465</v>
      </c>
      <c r="J2759" s="2" t="s">
        <v>3888</v>
      </c>
      <c r="K2759" s="2" t="s">
        <v>3893</v>
      </c>
      <c r="L2759" s="2">
        <v>2023</v>
      </c>
      <c r="M2759" s="2">
        <v>-855435</v>
      </c>
      <c r="N2759" s="2">
        <f xml:space="preserve"> (Table1[[#This Row],[Variance (USD)]] / Table1[[#This Row],[Actual Spending (USD)]]) * 100</f>
        <v>-92.233669195063968</v>
      </c>
      <c r="O2759" s="5" t="s">
        <v>3897</v>
      </c>
    </row>
    <row r="2760" spans="1:15" x14ac:dyDescent="0.25">
      <c r="A2760" s="4" t="s">
        <v>2773</v>
      </c>
      <c r="B2760" s="2" t="s">
        <v>3028</v>
      </c>
      <c r="C2760" s="2" t="s">
        <v>3873</v>
      </c>
      <c r="D2760" s="2" t="s">
        <v>3879</v>
      </c>
      <c r="E2760" s="3">
        <v>45543</v>
      </c>
      <c r="F2760" s="3">
        <v>45466</v>
      </c>
      <c r="G2760" s="2" t="s">
        <v>3884</v>
      </c>
      <c r="H2760" s="2">
        <v>567933</v>
      </c>
      <c r="I2760" s="2">
        <v>1066325</v>
      </c>
      <c r="J2760" s="2" t="s">
        <v>3889</v>
      </c>
      <c r="K2760" s="2" t="s">
        <v>3894</v>
      </c>
      <c r="L2760" s="2">
        <v>2023</v>
      </c>
      <c r="M2760" s="2">
        <v>-498392</v>
      </c>
      <c r="N2760" s="2">
        <f xml:space="preserve"> (Table1[[#This Row],[Variance (USD)]] / Table1[[#This Row],[Actual Spending (USD)]]) * 100</f>
        <v>-46.739221156776779</v>
      </c>
      <c r="O2760" s="5" t="s">
        <v>3897</v>
      </c>
    </row>
    <row r="2761" spans="1:15" x14ac:dyDescent="0.25">
      <c r="A2761" s="4" t="s">
        <v>2774</v>
      </c>
      <c r="B2761" s="2" t="s">
        <v>3255</v>
      </c>
      <c r="C2761" s="2" t="s">
        <v>3875</v>
      </c>
      <c r="D2761" s="2" t="s">
        <v>3877</v>
      </c>
      <c r="E2761" s="3">
        <v>45526</v>
      </c>
      <c r="F2761" s="3">
        <v>45805</v>
      </c>
      <c r="G2761" s="2" t="s">
        <v>3884</v>
      </c>
      <c r="H2761" s="2">
        <v>791001</v>
      </c>
      <c r="I2761" s="2">
        <v>195720</v>
      </c>
      <c r="J2761" s="2" t="s">
        <v>3892</v>
      </c>
      <c r="K2761" s="2" t="s">
        <v>3896</v>
      </c>
      <c r="L2761" s="2">
        <v>2025</v>
      </c>
      <c r="M2761" s="2">
        <v>595281</v>
      </c>
      <c r="N2761" s="2">
        <f xml:space="preserve"> (Table1[[#This Row],[Variance (USD)]] / Table1[[#This Row],[Actual Spending (USD)]]) * 100</f>
        <v>304.14929491109751</v>
      </c>
      <c r="O2761" s="5" t="s">
        <v>3897</v>
      </c>
    </row>
    <row r="2762" spans="1:15" x14ac:dyDescent="0.25">
      <c r="A2762" s="4" t="s">
        <v>2775</v>
      </c>
      <c r="B2762" s="2" t="s">
        <v>3058</v>
      </c>
      <c r="C2762" s="2" t="s">
        <v>3874</v>
      </c>
      <c r="D2762" s="2" t="s">
        <v>3880</v>
      </c>
      <c r="E2762" s="3">
        <v>45440</v>
      </c>
      <c r="F2762" s="3">
        <v>45463</v>
      </c>
      <c r="G2762" s="2" t="s">
        <v>3885</v>
      </c>
      <c r="H2762" s="2">
        <v>139831</v>
      </c>
      <c r="I2762" s="2">
        <v>1008127</v>
      </c>
      <c r="J2762" s="2" t="s">
        <v>3889</v>
      </c>
      <c r="K2762" s="2" t="s">
        <v>3893</v>
      </c>
      <c r="L2762" s="2">
        <v>2024</v>
      </c>
      <c r="M2762" s="2">
        <v>-868296</v>
      </c>
      <c r="N2762" s="2">
        <f xml:space="preserve"> (Table1[[#This Row],[Variance (USD)]] / Table1[[#This Row],[Actual Spending (USD)]]) * 100</f>
        <v>-86.129624541352428</v>
      </c>
      <c r="O2762" s="5" t="s">
        <v>3898</v>
      </c>
    </row>
    <row r="2763" spans="1:15" x14ac:dyDescent="0.25">
      <c r="A2763" s="4" t="s">
        <v>2776</v>
      </c>
      <c r="B2763" s="2" t="s">
        <v>3340</v>
      </c>
      <c r="C2763" s="2" t="s">
        <v>3871</v>
      </c>
      <c r="D2763" s="2" t="s">
        <v>3876</v>
      </c>
      <c r="E2763" s="3">
        <v>45010</v>
      </c>
      <c r="F2763" s="3">
        <v>45793</v>
      </c>
      <c r="G2763" s="2" t="s">
        <v>3884</v>
      </c>
      <c r="H2763" s="2">
        <v>127400</v>
      </c>
      <c r="I2763" s="2">
        <v>894465</v>
      </c>
      <c r="J2763" s="2" t="s">
        <v>3890</v>
      </c>
      <c r="K2763" s="2" t="s">
        <v>3894</v>
      </c>
      <c r="L2763" s="2">
        <v>2023</v>
      </c>
      <c r="M2763" s="2">
        <v>-767065</v>
      </c>
      <c r="N2763" s="2">
        <f xml:space="preserve"> (Table1[[#This Row],[Variance (USD)]] / Table1[[#This Row],[Actual Spending (USD)]]) * 100</f>
        <v>-85.756849066201582</v>
      </c>
      <c r="O2763" s="5" t="s">
        <v>3897</v>
      </c>
    </row>
    <row r="2764" spans="1:15" x14ac:dyDescent="0.25">
      <c r="A2764" s="4" t="s">
        <v>2777</v>
      </c>
      <c r="B2764" s="2" t="s">
        <v>3532</v>
      </c>
      <c r="C2764" s="2" t="s">
        <v>3868</v>
      </c>
      <c r="D2764" s="2" t="s">
        <v>3881</v>
      </c>
      <c r="E2764" s="3">
        <v>44969</v>
      </c>
      <c r="F2764" s="3">
        <v>45625</v>
      </c>
      <c r="G2764" s="2" t="s">
        <v>3884</v>
      </c>
      <c r="H2764" s="2">
        <v>330199</v>
      </c>
      <c r="I2764" s="2">
        <v>900912</v>
      </c>
      <c r="J2764" s="2" t="s">
        <v>3890</v>
      </c>
      <c r="K2764" s="2" t="s">
        <v>3893</v>
      </c>
      <c r="L2764" s="2">
        <v>2025</v>
      </c>
      <c r="M2764" s="2">
        <v>-570713</v>
      </c>
      <c r="N2764" s="2">
        <f xml:space="preserve"> (Table1[[#This Row],[Variance (USD)]] / Table1[[#This Row],[Actual Spending (USD)]]) * 100</f>
        <v>-63.348362548173412</v>
      </c>
      <c r="O2764" s="5" t="s">
        <v>3897</v>
      </c>
    </row>
    <row r="2765" spans="1:15" x14ac:dyDescent="0.25">
      <c r="A2765" s="4" t="s">
        <v>2778</v>
      </c>
      <c r="B2765" s="2" t="s">
        <v>3313</v>
      </c>
      <c r="C2765" s="2" t="s">
        <v>3875</v>
      </c>
      <c r="D2765" s="2" t="s">
        <v>3880</v>
      </c>
      <c r="E2765" s="3">
        <v>45592</v>
      </c>
      <c r="F2765" s="3">
        <v>45575</v>
      </c>
      <c r="G2765" s="2" t="s">
        <v>3884</v>
      </c>
      <c r="H2765" s="2">
        <v>542436</v>
      </c>
      <c r="I2765" s="2">
        <v>920432</v>
      </c>
      <c r="J2765" s="2" t="s">
        <v>3891</v>
      </c>
      <c r="K2765" s="2" t="s">
        <v>3896</v>
      </c>
      <c r="L2765" s="2">
        <v>2025</v>
      </c>
      <c r="M2765" s="2">
        <v>-377996</v>
      </c>
      <c r="N2765" s="2">
        <f xml:space="preserve"> (Table1[[#This Row],[Variance (USD)]] / Table1[[#This Row],[Actual Spending (USD)]]) * 100</f>
        <v>-41.067237992594777</v>
      </c>
      <c r="O2765" s="5" t="s">
        <v>3897</v>
      </c>
    </row>
    <row r="2766" spans="1:15" x14ac:dyDescent="0.25">
      <c r="A2766" s="4" t="s">
        <v>2779</v>
      </c>
      <c r="B2766" s="2" t="s">
        <v>3171</v>
      </c>
      <c r="C2766" s="2" t="s">
        <v>3868</v>
      </c>
      <c r="D2766" s="2" t="s">
        <v>3877</v>
      </c>
      <c r="E2766" s="3">
        <v>45532</v>
      </c>
      <c r="F2766" s="3">
        <v>45766</v>
      </c>
      <c r="G2766" s="2" t="s">
        <v>3886</v>
      </c>
      <c r="H2766" s="2">
        <v>792868</v>
      </c>
      <c r="I2766" s="2">
        <v>435234</v>
      </c>
      <c r="J2766" s="2" t="s">
        <v>3891</v>
      </c>
      <c r="K2766" s="2" t="s">
        <v>3893</v>
      </c>
      <c r="L2766" s="2">
        <v>2025</v>
      </c>
      <c r="M2766" s="2">
        <v>357634</v>
      </c>
      <c r="N2766" s="2">
        <f xml:space="preserve"> (Table1[[#This Row],[Variance (USD)]] / Table1[[#This Row],[Actual Spending (USD)]]) * 100</f>
        <v>82.170510575920076</v>
      </c>
      <c r="O2766" s="5" t="s">
        <v>3899</v>
      </c>
    </row>
    <row r="2767" spans="1:15" x14ac:dyDescent="0.25">
      <c r="A2767" s="4" t="s">
        <v>2780</v>
      </c>
      <c r="B2767" s="2" t="s">
        <v>3772</v>
      </c>
      <c r="C2767" s="2" t="s">
        <v>3868</v>
      </c>
      <c r="D2767" s="2" t="s">
        <v>3879</v>
      </c>
      <c r="E2767" s="3">
        <v>45059</v>
      </c>
      <c r="F2767" s="3">
        <v>45345</v>
      </c>
      <c r="G2767" s="2" t="s">
        <v>3884</v>
      </c>
      <c r="H2767" s="2">
        <v>992997</v>
      </c>
      <c r="I2767" s="2">
        <v>34476</v>
      </c>
      <c r="J2767" s="2" t="s">
        <v>3891</v>
      </c>
      <c r="K2767" s="2" t="s">
        <v>3893</v>
      </c>
      <c r="L2767" s="2">
        <v>2023</v>
      </c>
      <c r="M2767" s="2">
        <v>958521</v>
      </c>
      <c r="N2767" s="2">
        <f xml:space="preserve"> (Table1[[#This Row],[Variance (USD)]] / Table1[[#This Row],[Actual Spending (USD)]]) * 100</f>
        <v>2780.255830142708</v>
      </c>
      <c r="O2767" s="5" t="s">
        <v>3897</v>
      </c>
    </row>
    <row r="2768" spans="1:15" x14ac:dyDescent="0.25">
      <c r="A2768" s="4" t="s">
        <v>2781</v>
      </c>
      <c r="B2768" s="2" t="s">
        <v>3179</v>
      </c>
      <c r="C2768" s="2" t="s">
        <v>3873</v>
      </c>
      <c r="D2768" s="2" t="s">
        <v>3879</v>
      </c>
      <c r="E2768" s="3">
        <v>45321</v>
      </c>
      <c r="F2768" s="3">
        <v>45749</v>
      </c>
      <c r="G2768" s="2" t="s">
        <v>3884</v>
      </c>
      <c r="H2768" s="2">
        <v>649149</v>
      </c>
      <c r="I2768" s="2">
        <v>1056875</v>
      </c>
      <c r="J2768" s="2" t="s">
        <v>3889</v>
      </c>
      <c r="K2768" s="2" t="s">
        <v>3895</v>
      </c>
      <c r="L2768" s="2">
        <v>2025</v>
      </c>
      <c r="M2768" s="2">
        <v>-407726</v>
      </c>
      <c r="N2768" s="2">
        <f xml:space="preserve"> (Table1[[#This Row],[Variance (USD)]] / Table1[[#This Row],[Actual Spending (USD)]]) * 100</f>
        <v>-38.578450620934355</v>
      </c>
      <c r="O2768" s="5" t="s">
        <v>3897</v>
      </c>
    </row>
    <row r="2769" spans="1:15" x14ac:dyDescent="0.25">
      <c r="A2769" s="4" t="s">
        <v>2782</v>
      </c>
      <c r="B2769" s="2" t="s">
        <v>3354</v>
      </c>
      <c r="C2769" s="2" t="s">
        <v>3873</v>
      </c>
      <c r="D2769" s="2" t="s">
        <v>3882</v>
      </c>
      <c r="E2769" s="3">
        <v>44991</v>
      </c>
      <c r="F2769" s="3">
        <v>45870</v>
      </c>
      <c r="G2769" s="2" t="s">
        <v>3884</v>
      </c>
      <c r="H2769" s="2">
        <v>957616</v>
      </c>
      <c r="I2769" s="2">
        <v>650056</v>
      </c>
      <c r="J2769" s="2" t="s">
        <v>3891</v>
      </c>
      <c r="K2769" s="2" t="s">
        <v>3895</v>
      </c>
      <c r="L2769" s="2">
        <v>2025</v>
      </c>
      <c r="M2769" s="2">
        <v>307560</v>
      </c>
      <c r="N2769" s="2">
        <f xml:space="preserve"> (Table1[[#This Row],[Variance (USD)]] / Table1[[#This Row],[Actual Spending (USD)]]) * 100</f>
        <v>47.312846893190738</v>
      </c>
      <c r="O2769" s="5" t="s">
        <v>3897</v>
      </c>
    </row>
    <row r="2770" spans="1:15" x14ac:dyDescent="0.25">
      <c r="A2770" s="4" t="s">
        <v>2783</v>
      </c>
      <c r="B2770" s="2" t="s">
        <v>3072</v>
      </c>
      <c r="C2770" s="2" t="s">
        <v>3871</v>
      </c>
      <c r="D2770" s="2" t="s">
        <v>3881</v>
      </c>
      <c r="E2770" s="3">
        <v>45216</v>
      </c>
      <c r="F2770" s="3">
        <v>45711</v>
      </c>
      <c r="G2770" s="2" t="s">
        <v>3884</v>
      </c>
      <c r="H2770" s="2">
        <v>428668</v>
      </c>
      <c r="I2770" s="2">
        <v>223585</v>
      </c>
      <c r="J2770" s="2" t="s">
        <v>3888</v>
      </c>
      <c r="K2770" s="2" t="s">
        <v>3894</v>
      </c>
      <c r="L2770" s="2">
        <v>2025</v>
      </c>
      <c r="M2770" s="2">
        <v>205083</v>
      </c>
      <c r="N2770" s="2">
        <f xml:space="preserve"> (Table1[[#This Row],[Variance (USD)]] / Table1[[#This Row],[Actual Spending (USD)]]) * 100</f>
        <v>91.72484737348212</v>
      </c>
      <c r="O2770" s="5" t="s">
        <v>3897</v>
      </c>
    </row>
    <row r="2771" spans="1:15" x14ac:dyDescent="0.25">
      <c r="A2771" s="4" t="s">
        <v>2784</v>
      </c>
      <c r="B2771" s="2" t="s">
        <v>3856</v>
      </c>
      <c r="C2771" s="2" t="s">
        <v>3869</v>
      </c>
      <c r="D2771" s="2" t="s">
        <v>3880</v>
      </c>
      <c r="E2771" s="3">
        <v>45302</v>
      </c>
      <c r="F2771" s="3">
        <v>45905</v>
      </c>
      <c r="G2771" s="2" t="s">
        <v>3884</v>
      </c>
      <c r="H2771" s="2">
        <v>428970</v>
      </c>
      <c r="I2771" s="2">
        <v>247483</v>
      </c>
      <c r="J2771" s="2" t="s">
        <v>3889</v>
      </c>
      <c r="K2771" s="2" t="s">
        <v>3893</v>
      </c>
      <c r="L2771" s="2">
        <v>2023</v>
      </c>
      <c r="M2771" s="2">
        <v>181487</v>
      </c>
      <c r="N2771" s="2">
        <f xml:space="preserve"> (Table1[[#This Row],[Variance (USD)]] / Table1[[#This Row],[Actual Spending (USD)]]) * 100</f>
        <v>73.333117830315615</v>
      </c>
      <c r="O2771" s="5" t="s">
        <v>3897</v>
      </c>
    </row>
    <row r="2772" spans="1:15" x14ac:dyDescent="0.25">
      <c r="A2772" s="4" t="s">
        <v>2785</v>
      </c>
      <c r="B2772" s="2" t="s">
        <v>3193</v>
      </c>
      <c r="C2772" s="2" t="s">
        <v>3874</v>
      </c>
      <c r="D2772" s="2" t="s">
        <v>3882</v>
      </c>
      <c r="E2772" s="3">
        <v>45393</v>
      </c>
      <c r="F2772" s="3">
        <v>45923</v>
      </c>
      <c r="G2772" s="2" t="s">
        <v>3884</v>
      </c>
      <c r="H2772" s="2">
        <v>873207</v>
      </c>
      <c r="I2772" s="2">
        <v>832651</v>
      </c>
      <c r="J2772" s="2" t="s">
        <v>3889</v>
      </c>
      <c r="K2772" s="2" t="s">
        <v>3894</v>
      </c>
      <c r="L2772" s="2">
        <v>2025</v>
      </c>
      <c r="M2772" s="2">
        <v>40556</v>
      </c>
      <c r="N2772" s="2">
        <f xml:space="preserve"> (Table1[[#This Row],[Variance (USD)]] / Table1[[#This Row],[Actual Spending (USD)]]) * 100</f>
        <v>4.8707081358216104</v>
      </c>
      <c r="O2772" s="5" t="s">
        <v>3897</v>
      </c>
    </row>
    <row r="2773" spans="1:15" x14ac:dyDescent="0.25">
      <c r="A2773" s="4" t="s">
        <v>2786</v>
      </c>
      <c r="B2773" s="2" t="s">
        <v>3764</v>
      </c>
      <c r="C2773" s="2" t="s">
        <v>3870</v>
      </c>
      <c r="D2773" s="2" t="s">
        <v>3877</v>
      </c>
      <c r="E2773" s="3">
        <v>45139</v>
      </c>
      <c r="F2773" s="3">
        <v>45994</v>
      </c>
      <c r="G2773" s="2" t="s">
        <v>3885</v>
      </c>
      <c r="H2773" s="2">
        <v>398053</v>
      </c>
      <c r="I2773" s="2">
        <v>503119</v>
      </c>
      <c r="J2773" s="2" t="s">
        <v>3891</v>
      </c>
      <c r="K2773" s="2" t="s">
        <v>3896</v>
      </c>
      <c r="L2773" s="2">
        <v>2023</v>
      </c>
      <c r="M2773" s="2">
        <v>-105066</v>
      </c>
      <c r="N2773" s="2">
        <f xml:space="preserve"> (Table1[[#This Row],[Variance (USD)]] / Table1[[#This Row],[Actual Spending (USD)]]) * 100</f>
        <v>-20.882932268509041</v>
      </c>
      <c r="O2773" s="5" t="s">
        <v>3898</v>
      </c>
    </row>
    <row r="2774" spans="1:15" x14ac:dyDescent="0.25">
      <c r="A2774" s="4" t="s">
        <v>2787</v>
      </c>
      <c r="B2774" s="2" t="s">
        <v>3406</v>
      </c>
      <c r="C2774" s="2" t="s">
        <v>3868</v>
      </c>
      <c r="D2774" s="2" t="s">
        <v>3882</v>
      </c>
      <c r="E2774" s="3">
        <v>45074</v>
      </c>
      <c r="F2774" s="3">
        <v>45700</v>
      </c>
      <c r="G2774" s="2" t="s">
        <v>3884</v>
      </c>
      <c r="H2774" s="2">
        <v>872685</v>
      </c>
      <c r="I2774" s="2">
        <v>823287</v>
      </c>
      <c r="J2774" s="2" t="s">
        <v>3891</v>
      </c>
      <c r="K2774" s="2" t="s">
        <v>3894</v>
      </c>
      <c r="L2774" s="2">
        <v>2025</v>
      </c>
      <c r="M2774" s="2">
        <v>49398</v>
      </c>
      <c r="N2774" s="2">
        <f xml:space="preserve"> (Table1[[#This Row],[Variance (USD)]] / Table1[[#This Row],[Actual Spending (USD)]]) * 100</f>
        <v>6.0000947421737498</v>
      </c>
      <c r="O2774" s="5" t="s">
        <v>3897</v>
      </c>
    </row>
    <row r="2775" spans="1:15" x14ac:dyDescent="0.25">
      <c r="A2775" s="4" t="s">
        <v>2788</v>
      </c>
      <c r="B2775" s="2" t="s">
        <v>3806</v>
      </c>
      <c r="C2775" s="2" t="s">
        <v>3869</v>
      </c>
      <c r="D2775" s="2" t="s">
        <v>3878</v>
      </c>
      <c r="E2775" s="3">
        <v>45499</v>
      </c>
      <c r="F2775" s="3">
        <v>45595</v>
      </c>
      <c r="G2775" s="2" t="s">
        <v>3884</v>
      </c>
      <c r="H2775" s="2">
        <v>267789</v>
      </c>
      <c r="I2775" s="2">
        <v>491849</v>
      </c>
      <c r="J2775" s="2" t="s">
        <v>3889</v>
      </c>
      <c r="K2775" s="2" t="s">
        <v>3893</v>
      </c>
      <c r="L2775" s="2">
        <v>2023</v>
      </c>
      <c r="M2775" s="2">
        <v>-224060</v>
      </c>
      <c r="N2775" s="2">
        <f xml:space="preserve"> (Table1[[#This Row],[Variance (USD)]] / Table1[[#This Row],[Actual Spending (USD)]]) * 100</f>
        <v>-45.554631604415178</v>
      </c>
      <c r="O2775" s="5" t="s">
        <v>3897</v>
      </c>
    </row>
    <row r="2776" spans="1:15" x14ac:dyDescent="0.25">
      <c r="A2776" s="4" t="s">
        <v>2789</v>
      </c>
      <c r="B2776" s="2" t="s">
        <v>3474</v>
      </c>
      <c r="C2776" s="2" t="s">
        <v>3870</v>
      </c>
      <c r="D2776" s="2" t="s">
        <v>3876</v>
      </c>
      <c r="E2776" s="3">
        <v>45397</v>
      </c>
      <c r="F2776" s="3">
        <v>45850</v>
      </c>
      <c r="G2776" s="2" t="s">
        <v>3886</v>
      </c>
      <c r="H2776" s="2">
        <v>306072</v>
      </c>
      <c r="I2776" s="2">
        <v>686444</v>
      </c>
      <c r="J2776" s="2" t="s">
        <v>3890</v>
      </c>
      <c r="K2776" s="2" t="s">
        <v>3895</v>
      </c>
      <c r="L2776" s="2">
        <v>2023</v>
      </c>
      <c r="M2776" s="2">
        <v>-380372</v>
      </c>
      <c r="N2776" s="2">
        <f xml:space="preserve"> (Table1[[#This Row],[Variance (USD)]] / Table1[[#This Row],[Actual Spending (USD)]]) * 100</f>
        <v>-55.411949117480816</v>
      </c>
      <c r="O2776" s="5" t="s">
        <v>3899</v>
      </c>
    </row>
    <row r="2777" spans="1:15" x14ac:dyDescent="0.25">
      <c r="A2777" s="4" t="s">
        <v>2790</v>
      </c>
      <c r="B2777" s="2" t="s">
        <v>3655</v>
      </c>
      <c r="C2777" s="2" t="s">
        <v>3870</v>
      </c>
      <c r="D2777" s="2" t="s">
        <v>3882</v>
      </c>
      <c r="E2777" s="3">
        <v>45075</v>
      </c>
      <c r="F2777" s="3">
        <v>45513</v>
      </c>
      <c r="G2777" s="2" t="s">
        <v>3884</v>
      </c>
      <c r="H2777" s="2">
        <v>626172</v>
      </c>
      <c r="I2777" s="2">
        <v>1177432</v>
      </c>
      <c r="J2777" s="2" t="s">
        <v>3890</v>
      </c>
      <c r="K2777" s="2" t="s">
        <v>3895</v>
      </c>
      <c r="L2777" s="2">
        <v>2024</v>
      </c>
      <c r="M2777" s="2">
        <v>-551260</v>
      </c>
      <c r="N2777" s="2">
        <f xml:space="preserve"> (Table1[[#This Row],[Variance (USD)]] / Table1[[#This Row],[Actual Spending (USD)]]) * 100</f>
        <v>-46.818839644242729</v>
      </c>
      <c r="O2777" s="5" t="s">
        <v>3897</v>
      </c>
    </row>
    <row r="2778" spans="1:15" x14ac:dyDescent="0.25">
      <c r="A2778" s="4" t="s">
        <v>2791</v>
      </c>
      <c r="B2778" s="2" t="s">
        <v>3625</v>
      </c>
      <c r="C2778" s="2" t="s">
        <v>3874</v>
      </c>
      <c r="D2778" s="2" t="s">
        <v>3876</v>
      </c>
      <c r="E2778" s="3">
        <v>45014</v>
      </c>
      <c r="F2778" s="3">
        <v>45824</v>
      </c>
      <c r="G2778" s="2" t="s">
        <v>3886</v>
      </c>
      <c r="H2778" s="2">
        <v>126497</v>
      </c>
      <c r="I2778" s="2">
        <v>183016</v>
      </c>
      <c r="J2778" s="2" t="s">
        <v>3891</v>
      </c>
      <c r="K2778" s="2" t="s">
        <v>3894</v>
      </c>
      <c r="L2778" s="2">
        <v>2024</v>
      </c>
      <c r="M2778" s="2">
        <v>-56519</v>
      </c>
      <c r="N2778" s="2">
        <f xml:space="preserve"> (Table1[[#This Row],[Variance (USD)]] / Table1[[#This Row],[Actual Spending (USD)]]) * 100</f>
        <v>-30.881999388031652</v>
      </c>
      <c r="O2778" s="5" t="s">
        <v>3899</v>
      </c>
    </row>
    <row r="2779" spans="1:15" x14ac:dyDescent="0.25">
      <c r="A2779" s="4" t="s">
        <v>2792</v>
      </c>
      <c r="B2779" s="2" t="s">
        <v>3136</v>
      </c>
      <c r="C2779" s="2" t="s">
        <v>3871</v>
      </c>
      <c r="D2779" s="2" t="s">
        <v>3877</v>
      </c>
      <c r="E2779" s="3">
        <v>45250</v>
      </c>
      <c r="F2779" s="3">
        <v>45449</v>
      </c>
      <c r="G2779" s="2" t="s">
        <v>3884</v>
      </c>
      <c r="H2779" s="2">
        <v>854137</v>
      </c>
      <c r="I2779" s="2">
        <v>981425</v>
      </c>
      <c r="J2779" s="2" t="s">
        <v>3890</v>
      </c>
      <c r="K2779" s="2" t="s">
        <v>3895</v>
      </c>
      <c r="L2779" s="2">
        <v>2024</v>
      </c>
      <c r="M2779" s="2">
        <v>-127288</v>
      </c>
      <c r="N2779" s="2">
        <f xml:space="preserve"> (Table1[[#This Row],[Variance (USD)]] / Table1[[#This Row],[Actual Spending (USD)]]) * 100</f>
        <v>-12.969712407978196</v>
      </c>
      <c r="O2779" s="5" t="s">
        <v>3897</v>
      </c>
    </row>
    <row r="2780" spans="1:15" x14ac:dyDescent="0.25">
      <c r="A2780" s="4" t="s">
        <v>2793</v>
      </c>
      <c r="B2780" s="2" t="s">
        <v>3806</v>
      </c>
      <c r="C2780" s="2" t="s">
        <v>3870</v>
      </c>
      <c r="D2780" s="2" t="s">
        <v>3878</v>
      </c>
      <c r="E2780" s="3">
        <v>45322</v>
      </c>
      <c r="F2780" s="3">
        <v>45639</v>
      </c>
      <c r="G2780" s="2" t="s">
        <v>3886</v>
      </c>
      <c r="H2780" s="2">
        <v>225748</v>
      </c>
      <c r="I2780" s="2">
        <v>1139858</v>
      </c>
      <c r="J2780" s="2" t="s">
        <v>3888</v>
      </c>
      <c r="K2780" s="2" t="s">
        <v>3893</v>
      </c>
      <c r="L2780" s="2">
        <v>2023</v>
      </c>
      <c r="M2780" s="2">
        <v>-914110</v>
      </c>
      <c r="N2780" s="2">
        <f xml:space="preserve"> (Table1[[#This Row],[Variance (USD)]] / Table1[[#This Row],[Actual Spending (USD)]]) * 100</f>
        <v>-80.195076930635224</v>
      </c>
      <c r="O2780" s="5" t="s">
        <v>3899</v>
      </c>
    </row>
    <row r="2781" spans="1:15" x14ac:dyDescent="0.25">
      <c r="A2781" s="4" t="s">
        <v>2794</v>
      </c>
      <c r="B2781" s="2" t="s">
        <v>3497</v>
      </c>
      <c r="C2781" s="2" t="s">
        <v>3874</v>
      </c>
      <c r="D2781" s="2" t="s">
        <v>3879</v>
      </c>
      <c r="E2781" s="3">
        <v>45330</v>
      </c>
      <c r="F2781" s="3">
        <v>45450</v>
      </c>
      <c r="G2781" s="2" t="s">
        <v>3886</v>
      </c>
      <c r="H2781" s="2">
        <v>282730</v>
      </c>
      <c r="I2781" s="2">
        <v>1165969</v>
      </c>
      <c r="J2781" s="2" t="s">
        <v>3888</v>
      </c>
      <c r="K2781" s="2" t="s">
        <v>3893</v>
      </c>
      <c r="L2781" s="2">
        <v>2025</v>
      </c>
      <c r="M2781" s="2">
        <v>-883239</v>
      </c>
      <c r="N2781" s="2">
        <f xml:space="preserve"> (Table1[[#This Row],[Variance (USD)]] / Table1[[#This Row],[Actual Spending (USD)]]) * 100</f>
        <v>-75.75149939663919</v>
      </c>
      <c r="O2781" s="5" t="s">
        <v>3899</v>
      </c>
    </row>
    <row r="2782" spans="1:15" x14ac:dyDescent="0.25">
      <c r="A2782" s="4" t="s">
        <v>2795</v>
      </c>
      <c r="B2782" s="2" t="s">
        <v>3528</v>
      </c>
      <c r="C2782" s="2" t="s">
        <v>3870</v>
      </c>
      <c r="D2782" s="2" t="s">
        <v>3881</v>
      </c>
      <c r="E2782" s="3">
        <v>45008</v>
      </c>
      <c r="F2782" s="3">
        <v>45526</v>
      </c>
      <c r="G2782" s="2" t="s">
        <v>3885</v>
      </c>
      <c r="H2782" s="2">
        <v>403784</v>
      </c>
      <c r="I2782" s="2">
        <v>736757</v>
      </c>
      <c r="J2782" s="2" t="s">
        <v>3888</v>
      </c>
      <c r="K2782" s="2" t="s">
        <v>3896</v>
      </c>
      <c r="L2782" s="2">
        <v>2025</v>
      </c>
      <c r="M2782" s="2">
        <v>-332973</v>
      </c>
      <c r="N2782" s="2">
        <f xml:space="preserve"> (Table1[[#This Row],[Variance (USD)]] / Table1[[#This Row],[Actual Spending (USD)]]) * 100</f>
        <v>-45.194412811822623</v>
      </c>
      <c r="O2782" s="5" t="s">
        <v>3898</v>
      </c>
    </row>
    <row r="2783" spans="1:15" x14ac:dyDescent="0.25">
      <c r="A2783" s="4" t="s">
        <v>2796</v>
      </c>
      <c r="B2783" s="2" t="s">
        <v>3649</v>
      </c>
      <c r="C2783" s="2" t="s">
        <v>3868</v>
      </c>
      <c r="D2783" s="2" t="s">
        <v>3883</v>
      </c>
      <c r="E2783" s="3">
        <v>45567</v>
      </c>
      <c r="F2783" s="3">
        <v>45953</v>
      </c>
      <c r="G2783" s="2" t="s">
        <v>3884</v>
      </c>
      <c r="H2783" s="2">
        <v>260117</v>
      </c>
      <c r="I2783" s="2">
        <v>572358</v>
      </c>
      <c r="J2783" s="2" t="s">
        <v>3889</v>
      </c>
      <c r="K2783" s="2" t="s">
        <v>3895</v>
      </c>
      <c r="L2783" s="2">
        <v>2023</v>
      </c>
      <c r="M2783" s="2">
        <v>-312241</v>
      </c>
      <c r="N2783" s="2">
        <f xml:space="preserve"> (Table1[[#This Row],[Variance (USD)]] / Table1[[#This Row],[Actual Spending (USD)]]) * 100</f>
        <v>-54.553443823620881</v>
      </c>
      <c r="O2783" s="5" t="s">
        <v>3897</v>
      </c>
    </row>
    <row r="2784" spans="1:15" x14ac:dyDescent="0.25">
      <c r="A2784" s="4" t="s">
        <v>2797</v>
      </c>
      <c r="B2784" s="2" t="s">
        <v>3857</v>
      </c>
      <c r="C2784" s="2" t="s">
        <v>3868</v>
      </c>
      <c r="D2784" s="2" t="s">
        <v>3883</v>
      </c>
      <c r="E2784" s="3">
        <v>45212</v>
      </c>
      <c r="F2784" s="3">
        <v>45696</v>
      </c>
      <c r="G2784" s="2" t="s">
        <v>3884</v>
      </c>
      <c r="H2784" s="2">
        <v>57101</v>
      </c>
      <c r="I2784" s="2">
        <v>800741</v>
      </c>
      <c r="J2784" s="2" t="s">
        <v>3889</v>
      </c>
      <c r="K2784" s="2" t="s">
        <v>3895</v>
      </c>
      <c r="L2784" s="2">
        <v>2025</v>
      </c>
      <c r="M2784" s="2">
        <v>-743640</v>
      </c>
      <c r="N2784" s="2">
        <f xml:space="preserve"> (Table1[[#This Row],[Variance (USD)]] / Table1[[#This Row],[Actual Spending (USD)]]) * 100</f>
        <v>-92.86898010717573</v>
      </c>
      <c r="O2784" s="5" t="s">
        <v>3897</v>
      </c>
    </row>
    <row r="2785" spans="1:15" x14ac:dyDescent="0.25">
      <c r="A2785" s="4" t="s">
        <v>2798</v>
      </c>
      <c r="B2785" s="2" t="s">
        <v>3785</v>
      </c>
      <c r="C2785" s="2" t="s">
        <v>3872</v>
      </c>
      <c r="D2785" s="2" t="s">
        <v>3881</v>
      </c>
      <c r="E2785" s="3">
        <v>45308</v>
      </c>
      <c r="F2785" s="3">
        <v>45548</v>
      </c>
      <c r="G2785" s="2" t="s">
        <v>3884</v>
      </c>
      <c r="H2785" s="2">
        <v>374639</v>
      </c>
      <c r="I2785" s="2">
        <v>86690</v>
      </c>
      <c r="J2785" s="2" t="s">
        <v>3889</v>
      </c>
      <c r="K2785" s="2" t="s">
        <v>3896</v>
      </c>
      <c r="L2785" s="2">
        <v>2023</v>
      </c>
      <c r="M2785" s="2">
        <v>287949</v>
      </c>
      <c r="N2785" s="2">
        <f xml:space="preserve"> (Table1[[#This Row],[Variance (USD)]] / Table1[[#This Row],[Actual Spending (USD)]]) * 100</f>
        <v>332.15941861806436</v>
      </c>
      <c r="O2785" s="5" t="s">
        <v>3897</v>
      </c>
    </row>
    <row r="2786" spans="1:15" x14ac:dyDescent="0.25">
      <c r="A2786" s="4" t="s">
        <v>2799</v>
      </c>
      <c r="B2786" s="2" t="s">
        <v>3052</v>
      </c>
      <c r="C2786" s="2" t="s">
        <v>3869</v>
      </c>
      <c r="D2786" s="2" t="s">
        <v>3877</v>
      </c>
      <c r="E2786" s="3">
        <v>45196</v>
      </c>
      <c r="F2786" s="3">
        <v>45968</v>
      </c>
      <c r="G2786" s="2" t="s">
        <v>3885</v>
      </c>
      <c r="H2786" s="2">
        <v>447959</v>
      </c>
      <c r="I2786" s="2">
        <v>775371</v>
      </c>
      <c r="J2786" s="2" t="s">
        <v>3889</v>
      </c>
      <c r="K2786" s="2" t="s">
        <v>3894</v>
      </c>
      <c r="L2786" s="2">
        <v>2025</v>
      </c>
      <c r="M2786" s="2">
        <v>-327412</v>
      </c>
      <c r="N2786" s="2">
        <f xml:space="preserve"> (Table1[[#This Row],[Variance (USD)]] / Table1[[#This Row],[Actual Spending (USD)]]) * 100</f>
        <v>-42.226495445406137</v>
      </c>
      <c r="O2786" s="5" t="s">
        <v>3898</v>
      </c>
    </row>
    <row r="2787" spans="1:15" x14ac:dyDescent="0.25">
      <c r="A2787" s="4" t="s">
        <v>2800</v>
      </c>
      <c r="B2787" s="2" t="s">
        <v>3369</v>
      </c>
      <c r="C2787" s="2" t="s">
        <v>3875</v>
      </c>
      <c r="D2787" s="2" t="s">
        <v>3878</v>
      </c>
      <c r="E2787" s="3">
        <v>45218</v>
      </c>
      <c r="F2787" s="3">
        <v>45880</v>
      </c>
      <c r="G2787" s="2" t="s">
        <v>3885</v>
      </c>
      <c r="H2787" s="2">
        <v>583239</v>
      </c>
      <c r="I2787" s="2">
        <v>615422</v>
      </c>
      <c r="J2787" s="2" t="s">
        <v>3889</v>
      </c>
      <c r="K2787" s="2" t="s">
        <v>3896</v>
      </c>
      <c r="L2787" s="2">
        <v>2023</v>
      </c>
      <c r="M2787" s="2">
        <v>-32183</v>
      </c>
      <c r="N2787" s="2">
        <f xml:space="preserve"> (Table1[[#This Row],[Variance (USD)]] / Table1[[#This Row],[Actual Spending (USD)]]) * 100</f>
        <v>-5.2294198127463751</v>
      </c>
      <c r="O2787" s="5" t="s">
        <v>3898</v>
      </c>
    </row>
    <row r="2788" spans="1:15" x14ac:dyDescent="0.25">
      <c r="A2788" s="4" t="s">
        <v>2801</v>
      </c>
      <c r="B2788" s="2" t="s">
        <v>3239</v>
      </c>
      <c r="C2788" s="2" t="s">
        <v>3874</v>
      </c>
      <c r="D2788" s="2" t="s">
        <v>3878</v>
      </c>
      <c r="E2788" s="3">
        <v>45379</v>
      </c>
      <c r="F2788" s="3">
        <v>45888</v>
      </c>
      <c r="G2788" s="2" t="s">
        <v>3884</v>
      </c>
      <c r="H2788" s="2">
        <v>712374</v>
      </c>
      <c r="I2788" s="2">
        <v>552386</v>
      </c>
      <c r="J2788" s="2" t="s">
        <v>3891</v>
      </c>
      <c r="K2788" s="2" t="s">
        <v>3895</v>
      </c>
      <c r="L2788" s="2">
        <v>2024</v>
      </c>
      <c r="M2788" s="2">
        <v>159988</v>
      </c>
      <c r="N2788" s="2">
        <f xml:space="preserve"> (Table1[[#This Row],[Variance (USD)]] / Table1[[#This Row],[Actual Spending (USD)]]) * 100</f>
        <v>28.963080164957113</v>
      </c>
      <c r="O2788" s="5" t="s">
        <v>3897</v>
      </c>
    </row>
    <row r="2789" spans="1:15" x14ac:dyDescent="0.25">
      <c r="A2789" s="4" t="s">
        <v>2802</v>
      </c>
      <c r="B2789" s="2" t="s">
        <v>3517</v>
      </c>
      <c r="C2789" s="2" t="s">
        <v>3873</v>
      </c>
      <c r="D2789" s="2" t="s">
        <v>3876</v>
      </c>
      <c r="E2789" s="3">
        <v>45641</v>
      </c>
      <c r="F2789" s="3">
        <v>45849</v>
      </c>
      <c r="G2789" s="2" t="s">
        <v>3884</v>
      </c>
      <c r="H2789" s="2">
        <v>610468</v>
      </c>
      <c r="I2789" s="2">
        <v>482655</v>
      </c>
      <c r="J2789" s="2" t="s">
        <v>3890</v>
      </c>
      <c r="K2789" s="2" t="s">
        <v>3894</v>
      </c>
      <c r="L2789" s="2">
        <v>2024</v>
      </c>
      <c r="M2789" s="2">
        <v>127813</v>
      </c>
      <c r="N2789" s="2">
        <f xml:space="preserve"> (Table1[[#This Row],[Variance (USD)]] / Table1[[#This Row],[Actual Spending (USD)]]) * 100</f>
        <v>26.481234007728087</v>
      </c>
      <c r="O2789" s="5" t="s">
        <v>3897</v>
      </c>
    </row>
    <row r="2790" spans="1:15" x14ac:dyDescent="0.25">
      <c r="A2790" s="4" t="s">
        <v>2803</v>
      </c>
      <c r="B2790" s="2" t="s">
        <v>3087</v>
      </c>
      <c r="C2790" s="2" t="s">
        <v>3874</v>
      </c>
      <c r="D2790" s="2" t="s">
        <v>3879</v>
      </c>
      <c r="E2790" s="3">
        <v>44950</v>
      </c>
      <c r="F2790" s="3">
        <v>45338</v>
      </c>
      <c r="G2790" s="2" t="s">
        <v>3884</v>
      </c>
      <c r="H2790" s="2">
        <v>893409</v>
      </c>
      <c r="I2790" s="2">
        <v>323633</v>
      </c>
      <c r="J2790" s="2" t="s">
        <v>3891</v>
      </c>
      <c r="K2790" s="2" t="s">
        <v>3893</v>
      </c>
      <c r="L2790" s="2">
        <v>2025</v>
      </c>
      <c r="M2790" s="2">
        <v>569776</v>
      </c>
      <c r="N2790" s="2">
        <f xml:space="preserve"> (Table1[[#This Row],[Variance (USD)]] / Table1[[#This Row],[Actual Spending (USD)]]) * 100</f>
        <v>176.05621182017904</v>
      </c>
      <c r="O2790" s="5" t="s">
        <v>3897</v>
      </c>
    </row>
    <row r="2791" spans="1:15" x14ac:dyDescent="0.25">
      <c r="A2791" s="4" t="s">
        <v>2804</v>
      </c>
      <c r="B2791" s="2" t="s">
        <v>3817</v>
      </c>
      <c r="C2791" s="2" t="s">
        <v>3875</v>
      </c>
      <c r="D2791" s="2" t="s">
        <v>3880</v>
      </c>
      <c r="E2791" s="3">
        <v>45237</v>
      </c>
      <c r="F2791" s="3">
        <v>45504</v>
      </c>
      <c r="G2791" s="2" t="s">
        <v>3884</v>
      </c>
      <c r="H2791" s="2">
        <v>297117</v>
      </c>
      <c r="I2791" s="2">
        <v>1101754</v>
      </c>
      <c r="J2791" s="2" t="s">
        <v>3890</v>
      </c>
      <c r="K2791" s="2" t="s">
        <v>3893</v>
      </c>
      <c r="L2791" s="2">
        <v>2025</v>
      </c>
      <c r="M2791" s="2">
        <v>-804637</v>
      </c>
      <c r="N2791" s="2">
        <f xml:space="preserve"> (Table1[[#This Row],[Variance (USD)]] / Table1[[#This Row],[Actual Spending (USD)]]) * 100</f>
        <v>-73.032364756560895</v>
      </c>
      <c r="O2791" s="5" t="s">
        <v>3897</v>
      </c>
    </row>
    <row r="2792" spans="1:15" x14ac:dyDescent="0.25">
      <c r="A2792" s="4" t="s">
        <v>2805</v>
      </c>
      <c r="B2792" s="2" t="s">
        <v>3195</v>
      </c>
      <c r="C2792" s="2" t="s">
        <v>3869</v>
      </c>
      <c r="D2792" s="2" t="s">
        <v>3882</v>
      </c>
      <c r="E2792" s="3">
        <v>45387</v>
      </c>
      <c r="F2792" s="3">
        <v>45770</v>
      </c>
      <c r="G2792" s="2" t="s">
        <v>3884</v>
      </c>
      <c r="H2792" s="2">
        <v>240606</v>
      </c>
      <c r="I2792" s="2">
        <v>1141354</v>
      </c>
      <c r="J2792" s="2" t="s">
        <v>3891</v>
      </c>
      <c r="K2792" s="2" t="s">
        <v>3896</v>
      </c>
      <c r="L2792" s="2">
        <v>2025</v>
      </c>
      <c r="M2792" s="2">
        <v>-900748</v>
      </c>
      <c r="N2792" s="2">
        <f xml:space="preserve"> (Table1[[#This Row],[Variance (USD)]] / Table1[[#This Row],[Actual Spending (USD)]]) * 100</f>
        <v>-78.919248541644393</v>
      </c>
      <c r="O2792" s="5" t="s">
        <v>3897</v>
      </c>
    </row>
    <row r="2793" spans="1:15" x14ac:dyDescent="0.25">
      <c r="A2793" s="4" t="s">
        <v>2806</v>
      </c>
      <c r="B2793" s="2" t="s">
        <v>3544</v>
      </c>
      <c r="C2793" s="2" t="s">
        <v>3873</v>
      </c>
      <c r="D2793" s="2" t="s">
        <v>3878</v>
      </c>
      <c r="E2793" s="3">
        <v>45134</v>
      </c>
      <c r="F2793" s="3">
        <v>45778</v>
      </c>
      <c r="G2793" s="2" t="s">
        <v>3884</v>
      </c>
      <c r="H2793" s="2">
        <v>637497</v>
      </c>
      <c r="I2793" s="2">
        <v>218791</v>
      </c>
      <c r="J2793" s="2" t="s">
        <v>3888</v>
      </c>
      <c r="K2793" s="2" t="s">
        <v>3893</v>
      </c>
      <c r="L2793" s="2">
        <v>2025</v>
      </c>
      <c r="M2793" s="2">
        <v>418706</v>
      </c>
      <c r="N2793" s="2">
        <f xml:space="preserve"> (Table1[[#This Row],[Variance (USD)]] / Table1[[#This Row],[Actual Spending (USD)]]) * 100</f>
        <v>191.37258845199301</v>
      </c>
      <c r="O2793" s="5" t="s">
        <v>3897</v>
      </c>
    </row>
    <row r="2794" spans="1:15" x14ac:dyDescent="0.25">
      <c r="A2794" s="4" t="s">
        <v>2807</v>
      </c>
      <c r="B2794" s="2" t="s">
        <v>3089</v>
      </c>
      <c r="C2794" s="2" t="s">
        <v>3875</v>
      </c>
      <c r="D2794" s="2" t="s">
        <v>3881</v>
      </c>
      <c r="E2794" s="3">
        <v>45643</v>
      </c>
      <c r="F2794" s="3">
        <v>45862</v>
      </c>
      <c r="G2794" s="2" t="s">
        <v>3886</v>
      </c>
      <c r="H2794" s="2">
        <v>823529</v>
      </c>
      <c r="I2794" s="2">
        <v>981077</v>
      </c>
      <c r="J2794" s="2" t="s">
        <v>3892</v>
      </c>
      <c r="K2794" s="2" t="s">
        <v>3895</v>
      </c>
      <c r="L2794" s="2">
        <v>2024</v>
      </c>
      <c r="M2794" s="2">
        <v>-157548</v>
      </c>
      <c r="N2794" s="2">
        <f xml:space="preserve"> (Table1[[#This Row],[Variance (USD)]] / Table1[[#This Row],[Actual Spending (USD)]]) * 100</f>
        <v>-16.058678370810853</v>
      </c>
      <c r="O2794" s="5" t="s">
        <v>3899</v>
      </c>
    </row>
    <row r="2795" spans="1:15" x14ac:dyDescent="0.25">
      <c r="A2795" s="4" t="s">
        <v>2808</v>
      </c>
      <c r="B2795" s="2" t="s">
        <v>3324</v>
      </c>
      <c r="C2795" s="2" t="s">
        <v>3872</v>
      </c>
      <c r="D2795" s="2" t="s">
        <v>3880</v>
      </c>
      <c r="E2795" s="3">
        <v>45590</v>
      </c>
      <c r="F2795" s="3">
        <v>45857</v>
      </c>
      <c r="G2795" s="2" t="s">
        <v>3885</v>
      </c>
      <c r="H2795" s="2">
        <v>747268</v>
      </c>
      <c r="I2795" s="2">
        <v>456904</v>
      </c>
      <c r="J2795" s="2" t="s">
        <v>3889</v>
      </c>
      <c r="K2795" s="2" t="s">
        <v>3896</v>
      </c>
      <c r="L2795" s="2">
        <v>2024</v>
      </c>
      <c r="M2795" s="2">
        <v>290364</v>
      </c>
      <c r="N2795" s="2">
        <f xml:space="preserve"> (Table1[[#This Row],[Variance (USD)]] / Table1[[#This Row],[Actual Spending (USD)]]) * 100</f>
        <v>63.550330047449791</v>
      </c>
      <c r="O2795" s="5" t="s">
        <v>3898</v>
      </c>
    </row>
    <row r="2796" spans="1:15" x14ac:dyDescent="0.25">
      <c r="A2796" s="4" t="s">
        <v>2809</v>
      </c>
      <c r="B2796" s="2" t="s">
        <v>3703</v>
      </c>
      <c r="C2796" s="2" t="s">
        <v>3873</v>
      </c>
      <c r="D2796" s="2" t="s">
        <v>3883</v>
      </c>
      <c r="E2796" s="3">
        <v>45364</v>
      </c>
      <c r="F2796" s="3">
        <v>45633</v>
      </c>
      <c r="G2796" s="2" t="s">
        <v>3887</v>
      </c>
      <c r="H2796" s="2">
        <v>572283</v>
      </c>
      <c r="I2796" s="2">
        <v>665754</v>
      </c>
      <c r="J2796" s="2" t="s">
        <v>3892</v>
      </c>
      <c r="K2796" s="2" t="s">
        <v>3895</v>
      </c>
      <c r="L2796" s="2">
        <v>2023</v>
      </c>
      <c r="M2796" s="2">
        <v>-93471</v>
      </c>
      <c r="N2796" s="2">
        <f xml:space="preserve"> (Table1[[#This Row],[Variance (USD)]] / Table1[[#This Row],[Actual Spending (USD)]]) * 100</f>
        <v>-14.03987058282789</v>
      </c>
      <c r="O2796" s="5" t="s">
        <v>3900</v>
      </c>
    </row>
    <row r="2797" spans="1:15" x14ac:dyDescent="0.25">
      <c r="A2797" s="4" t="s">
        <v>2810</v>
      </c>
      <c r="B2797" s="2" t="s">
        <v>3093</v>
      </c>
      <c r="C2797" s="2" t="s">
        <v>3868</v>
      </c>
      <c r="D2797" s="2" t="s">
        <v>3880</v>
      </c>
      <c r="E2797" s="3">
        <v>45464</v>
      </c>
      <c r="F2797" s="3">
        <v>45815</v>
      </c>
      <c r="G2797" s="2" t="s">
        <v>3884</v>
      </c>
      <c r="H2797" s="2">
        <v>420719</v>
      </c>
      <c r="I2797" s="2">
        <v>148292</v>
      </c>
      <c r="J2797" s="2" t="s">
        <v>3892</v>
      </c>
      <c r="K2797" s="2" t="s">
        <v>3895</v>
      </c>
      <c r="L2797" s="2">
        <v>2025</v>
      </c>
      <c r="M2797" s="2">
        <v>272427</v>
      </c>
      <c r="N2797" s="2">
        <f xml:space="preserve"> (Table1[[#This Row],[Variance (USD)]] / Table1[[#This Row],[Actual Spending (USD)]]) * 100</f>
        <v>183.70984274269685</v>
      </c>
      <c r="O2797" s="5" t="s">
        <v>3897</v>
      </c>
    </row>
    <row r="2798" spans="1:15" x14ac:dyDescent="0.25">
      <c r="A2798" s="4" t="s">
        <v>2811</v>
      </c>
      <c r="B2798" s="2" t="s">
        <v>3646</v>
      </c>
      <c r="C2798" s="2" t="s">
        <v>3875</v>
      </c>
      <c r="D2798" s="2" t="s">
        <v>3879</v>
      </c>
      <c r="E2798" s="3">
        <v>45632</v>
      </c>
      <c r="F2798" s="3">
        <v>45995</v>
      </c>
      <c r="G2798" s="2" t="s">
        <v>3886</v>
      </c>
      <c r="H2798" s="2">
        <v>887350</v>
      </c>
      <c r="I2798" s="2">
        <v>266424</v>
      </c>
      <c r="J2798" s="2" t="s">
        <v>3888</v>
      </c>
      <c r="K2798" s="2" t="s">
        <v>3894</v>
      </c>
      <c r="L2798" s="2">
        <v>2024</v>
      </c>
      <c r="M2798" s="2">
        <v>620926</v>
      </c>
      <c r="N2798" s="2">
        <f xml:space="preserve"> (Table1[[#This Row],[Variance (USD)]] / Table1[[#This Row],[Actual Spending (USD)]]) * 100</f>
        <v>233.05933399393444</v>
      </c>
      <c r="O2798" s="5" t="s">
        <v>3899</v>
      </c>
    </row>
    <row r="2799" spans="1:15" x14ac:dyDescent="0.25">
      <c r="A2799" s="4" t="s">
        <v>2812</v>
      </c>
      <c r="B2799" s="2" t="s">
        <v>3643</v>
      </c>
      <c r="C2799" s="2" t="s">
        <v>3874</v>
      </c>
      <c r="D2799" s="2" t="s">
        <v>3881</v>
      </c>
      <c r="E2799" s="3">
        <v>45262</v>
      </c>
      <c r="F2799" s="3">
        <v>45794</v>
      </c>
      <c r="G2799" s="2" t="s">
        <v>3885</v>
      </c>
      <c r="H2799" s="2">
        <v>975723</v>
      </c>
      <c r="I2799" s="2">
        <v>76475</v>
      </c>
      <c r="J2799" s="2" t="s">
        <v>3892</v>
      </c>
      <c r="K2799" s="2" t="s">
        <v>3894</v>
      </c>
      <c r="L2799" s="2">
        <v>2023</v>
      </c>
      <c r="M2799" s="2">
        <v>899248</v>
      </c>
      <c r="N2799" s="2">
        <f xml:space="preserve"> (Table1[[#This Row],[Variance (USD)]] / Table1[[#This Row],[Actual Spending (USD)]]) * 100</f>
        <v>1175.8718535469106</v>
      </c>
      <c r="O2799" s="5" t="s">
        <v>3898</v>
      </c>
    </row>
    <row r="2800" spans="1:15" x14ac:dyDescent="0.25">
      <c r="A2800" s="4" t="s">
        <v>2813</v>
      </c>
      <c r="B2800" s="2" t="s">
        <v>3744</v>
      </c>
      <c r="C2800" s="2" t="s">
        <v>3873</v>
      </c>
      <c r="D2800" s="2" t="s">
        <v>3879</v>
      </c>
      <c r="E2800" s="3">
        <v>45348</v>
      </c>
      <c r="F2800" s="3">
        <v>45297</v>
      </c>
      <c r="G2800" s="2" t="s">
        <v>3884</v>
      </c>
      <c r="H2800" s="2">
        <v>188235</v>
      </c>
      <c r="I2800" s="2">
        <v>1029044</v>
      </c>
      <c r="J2800" s="2" t="s">
        <v>3892</v>
      </c>
      <c r="K2800" s="2" t="s">
        <v>3894</v>
      </c>
      <c r="L2800" s="2">
        <v>2023</v>
      </c>
      <c r="M2800" s="2">
        <v>-840809</v>
      </c>
      <c r="N2800" s="2">
        <f xml:space="preserve"> (Table1[[#This Row],[Variance (USD)]] / Table1[[#This Row],[Actual Spending (USD)]]) * 100</f>
        <v>-81.707779259195917</v>
      </c>
      <c r="O2800" s="5" t="s">
        <v>3897</v>
      </c>
    </row>
    <row r="2801" spans="1:15" x14ac:dyDescent="0.25">
      <c r="A2801" s="4" t="s">
        <v>2814</v>
      </c>
      <c r="B2801" s="2" t="s">
        <v>3405</v>
      </c>
      <c r="C2801" s="2" t="s">
        <v>3872</v>
      </c>
      <c r="D2801" s="2" t="s">
        <v>3880</v>
      </c>
      <c r="E2801" s="3">
        <v>45247</v>
      </c>
      <c r="F2801" s="3">
        <v>45435</v>
      </c>
      <c r="G2801" s="2" t="s">
        <v>3886</v>
      </c>
      <c r="H2801" s="2">
        <v>183542</v>
      </c>
      <c r="I2801" s="2">
        <v>40272</v>
      </c>
      <c r="J2801" s="2" t="s">
        <v>3888</v>
      </c>
      <c r="K2801" s="2" t="s">
        <v>3893</v>
      </c>
      <c r="L2801" s="2">
        <v>2023</v>
      </c>
      <c r="M2801" s="2">
        <v>143270</v>
      </c>
      <c r="N2801" s="2">
        <f xml:space="preserve"> (Table1[[#This Row],[Variance (USD)]] / Table1[[#This Row],[Actual Spending (USD)]]) * 100</f>
        <v>355.75586015097338</v>
      </c>
      <c r="O2801" s="5" t="s">
        <v>3899</v>
      </c>
    </row>
    <row r="2802" spans="1:15" x14ac:dyDescent="0.25">
      <c r="A2802" s="4" t="s">
        <v>2815</v>
      </c>
      <c r="B2802" s="2" t="s">
        <v>3216</v>
      </c>
      <c r="C2802" s="2" t="s">
        <v>3874</v>
      </c>
      <c r="D2802" s="2" t="s">
        <v>3882</v>
      </c>
      <c r="E2802" s="3">
        <v>45423</v>
      </c>
      <c r="F2802" s="3">
        <v>45552</v>
      </c>
      <c r="G2802" s="2" t="s">
        <v>3884</v>
      </c>
      <c r="H2802" s="2">
        <v>459759</v>
      </c>
      <c r="I2802" s="2">
        <v>953716</v>
      </c>
      <c r="J2802" s="2" t="s">
        <v>3890</v>
      </c>
      <c r="K2802" s="2" t="s">
        <v>3894</v>
      </c>
      <c r="L2802" s="2">
        <v>2024</v>
      </c>
      <c r="M2802" s="2">
        <v>-493957</v>
      </c>
      <c r="N2802" s="2">
        <f xml:space="preserve"> (Table1[[#This Row],[Variance (USD)]] / Table1[[#This Row],[Actual Spending (USD)]]) * 100</f>
        <v>-51.792881738379137</v>
      </c>
      <c r="O2802" s="5" t="s">
        <v>3897</v>
      </c>
    </row>
    <row r="2803" spans="1:15" x14ac:dyDescent="0.25">
      <c r="A2803" s="4" t="s">
        <v>2816</v>
      </c>
      <c r="B2803" s="2" t="s">
        <v>3386</v>
      </c>
      <c r="C2803" s="2" t="s">
        <v>3870</v>
      </c>
      <c r="D2803" s="2" t="s">
        <v>3877</v>
      </c>
      <c r="E2803" s="3">
        <v>45513</v>
      </c>
      <c r="F2803" s="3">
        <v>45876</v>
      </c>
      <c r="G2803" s="2" t="s">
        <v>3884</v>
      </c>
      <c r="H2803" s="2">
        <v>200348</v>
      </c>
      <c r="I2803" s="2">
        <v>138644</v>
      </c>
      <c r="J2803" s="2" t="s">
        <v>3891</v>
      </c>
      <c r="K2803" s="2" t="s">
        <v>3895</v>
      </c>
      <c r="L2803" s="2">
        <v>2023</v>
      </c>
      <c r="M2803" s="2">
        <v>61704</v>
      </c>
      <c r="N2803" s="2">
        <f xml:space="preserve"> (Table1[[#This Row],[Variance (USD)]] / Table1[[#This Row],[Actual Spending (USD)]]) * 100</f>
        <v>44.505351836357868</v>
      </c>
      <c r="O2803" s="5" t="s">
        <v>3897</v>
      </c>
    </row>
    <row r="2804" spans="1:15" x14ac:dyDescent="0.25">
      <c r="A2804" s="4" t="s">
        <v>2817</v>
      </c>
      <c r="B2804" s="2" t="s">
        <v>3388</v>
      </c>
      <c r="C2804" s="2" t="s">
        <v>3873</v>
      </c>
      <c r="D2804" s="2" t="s">
        <v>3878</v>
      </c>
      <c r="E2804" s="3">
        <v>45089</v>
      </c>
      <c r="F2804" s="3">
        <v>45977</v>
      </c>
      <c r="G2804" s="2" t="s">
        <v>3884</v>
      </c>
      <c r="H2804" s="2">
        <v>170014</v>
      </c>
      <c r="I2804" s="2">
        <v>236308</v>
      </c>
      <c r="J2804" s="2" t="s">
        <v>3892</v>
      </c>
      <c r="K2804" s="2" t="s">
        <v>3896</v>
      </c>
      <c r="L2804" s="2">
        <v>2025</v>
      </c>
      <c r="M2804" s="2">
        <v>-66294</v>
      </c>
      <c r="N2804" s="2">
        <f xml:space="preserve"> (Table1[[#This Row],[Variance (USD)]] / Table1[[#This Row],[Actual Spending (USD)]]) * 100</f>
        <v>-28.054065033769486</v>
      </c>
      <c r="O2804" s="5" t="s">
        <v>3897</v>
      </c>
    </row>
    <row r="2805" spans="1:15" x14ac:dyDescent="0.25">
      <c r="A2805" s="4" t="s">
        <v>2818</v>
      </c>
      <c r="B2805" s="2" t="s">
        <v>3245</v>
      </c>
      <c r="C2805" s="2" t="s">
        <v>3873</v>
      </c>
      <c r="D2805" s="2" t="s">
        <v>3881</v>
      </c>
      <c r="E2805" s="3">
        <v>45467</v>
      </c>
      <c r="F2805" s="3">
        <v>45523</v>
      </c>
      <c r="G2805" s="2" t="s">
        <v>3884</v>
      </c>
      <c r="H2805" s="2">
        <v>742241</v>
      </c>
      <c r="I2805" s="2">
        <v>911948</v>
      </c>
      <c r="J2805" s="2" t="s">
        <v>3889</v>
      </c>
      <c r="K2805" s="2" t="s">
        <v>3896</v>
      </c>
      <c r="L2805" s="2">
        <v>2023</v>
      </c>
      <c r="M2805" s="2">
        <v>-169707</v>
      </c>
      <c r="N2805" s="2">
        <f xml:space="preserve"> (Table1[[#This Row],[Variance (USD)]] / Table1[[#This Row],[Actual Spending (USD)]]) * 100</f>
        <v>-18.609284739919381</v>
      </c>
      <c r="O2805" s="5" t="s">
        <v>3897</v>
      </c>
    </row>
    <row r="2806" spans="1:15" x14ac:dyDescent="0.25">
      <c r="A2806" s="4" t="s">
        <v>2819</v>
      </c>
      <c r="B2806" s="2" t="s">
        <v>3112</v>
      </c>
      <c r="C2806" s="2" t="s">
        <v>3872</v>
      </c>
      <c r="D2806" s="2" t="s">
        <v>3877</v>
      </c>
      <c r="E2806" s="3">
        <v>45091</v>
      </c>
      <c r="F2806" s="3">
        <v>45561</v>
      </c>
      <c r="G2806" s="2" t="s">
        <v>3886</v>
      </c>
      <c r="H2806" s="2">
        <v>391094</v>
      </c>
      <c r="I2806" s="2">
        <v>267957</v>
      </c>
      <c r="J2806" s="2" t="s">
        <v>3888</v>
      </c>
      <c r="K2806" s="2" t="s">
        <v>3895</v>
      </c>
      <c r="L2806" s="2">
        <v>2023</v>
      </c>
      <c r="M2806" s="2">
        <v>123137</v>
      </c>
      <c r="N2806" s="2">
        <f xml:space="preserve"> (Table1[[#This Row],[Variance (USD)]] / Table1[[#This Row],[Actual Spending (USD)]]) * 100</f>
        <v>45.954015009870986</v>
      </c>
      <c r="O2806" s="5" t="s">
        <v>3899</v>
      </c>
    </row>
    <row r="2807" spans="1:15" x14ac:dyDescent="0.25">
      <c r="A2807" s="4" t="s">
        <v>2820</v>
      </c>
      <c r="B2807" s="2" t="s">
        <v>3336</v>
      </c>
      <c r="C2807" s="2" t="s">
        <v>3870</v>
      </c>
      <c r="D2807" s="2" t="s">
        <v>3880</v>
      </c>
      <c r="E2807" s="3">
        <v>45624</v>
      </c>
      <c r="F2807" s="3">
        <v>45738</v>
      </c>
      <c r="G2807" s="2" t="s">
        <v>3884</v>
      </c>
      <c r="H2807" s="2">
        <v>57749</v>
      </c>
      <c r="I2807" s="2">
        <v>451841</v>
      </c>
      <c r="J2807" s="2" t="s">
        <v>3892</v>
      </c>
      <c r="K2807" s="2" t="s">
        <v>3893</v>
      </c>
      <c r="L2807" s="2">
        <v>2024</v>
      </c>
      <c r="M2807" s="2">
        <v>-394092</v>
      </c>
      <c r="N2807" s="2">
        <f xml:space="preserve"> (Table1[[#This Row],[Variance (USD)]] / Table1[[#This Row],[Actual Spending (USD)]]) * 100</f>
        <v>-87.219176657275455</v>
      </c>
      <c r="O2807" s="5" t="s">
        <v>3897</v>
      </c>
    </row>
    <row r="2808" spans="1:15" x14ac:dyDescent="0.25">
      <c r="A2808" s="4" t="s">
        <v>2821</v>
      </c>
      <c r="B2808" s="2" t="s">
        <v>3037</v>
      </c>
      <c r="C2808" s="2" t="s">
        <v>3875</v>
      </c>
      <c r="D2808" s="2" t="s">
        <v>3878</v>
      </c>
      <c r="E2808" s="3">
        <v>45492</v>
      </c>
      <c r="F2808" s="3">
        <v>45513</v>
      </c>
      <c r="G2808" s="2" t="s">
        <v>3884</v>
      </c>
      <c r="H2808" s="2">
        <v>860614</v>
      </c>
      <c r="I2808" s="2">
        <v>410457</v>
      </c>
      <c r="J2808" s="2" t="s">
        <v>3890</v>
      </c>
      <c r="K2808" s="2" t="s">
        <v>3896</v>
      </c>
      <c r="L2808" s="2">
        <v>2023</v>
      </c>
      <c r="M2808" s="2">
        <v>450157</v>
      </c>
      <c r="N2808" s="2">
        <f xml:space="preserve"> (Table1[[#This Row],[Variance (USD)]] / Table1[[#This Row],[Actual Spending (USD)]]) * 100</f>
        <v>109.67214592515174</v>
      </c>
      <c r="O2808" s="5" t="s">
        <v>3897</v>
      </c>
    </row>
    <row r="2809" spans="1:15" x14ac:dyDescent="0.25">
      <c r="A2809" s="4" t="s">
        <v>2822</v>
      </c>
      <c r="B2809" s="2" t="s">
        <v>3845</v>
      </c>
      <c r="C2809" s="2" t="s">
        <v>3871</v>
      </c>
      <c r="D2809" s="2" t="s">
        <v>3876</v>
      </c>
      <c r="E2809" s="3">
        <v>45221</v>
      </c>
      <c r="F2809" s="3">
        <v>45343</v>
      </c>
      <c r="G2809" s="2" t="s">
        <v>3884</v>
      </c>
      <c r="H2809" s="2">
        <v>389594</v>
      </c>
      <c r="I2809" s="2">
        <v>479694</v>
      </c>
      <c r="J2809" s="2" t="s">
        <v>3890</v>
      </c>
      <c r="K2809" s="2" t="s">
        <v>3895</v>
      </c>
      <c r="L2809" s="2">
        <v>2024</v>
      </c>
      <c r="M2809" s="2">
        <v>-90100</v>
      </c>
      <c r="N2809" s="2">
        <f xml:space="preserve"> (Table1[[#This Row],[Variance (USD)]] / Table1[[#This Row],[Actual Spending (USD)]]) * 100</f>
        <v>-18.782807373033641</v>
      </c>
      <c r="O2809" s="5" t="s">
        <v>3897</v>
      </c>
    </row>
    <row r="2810" spans="1:15" x14ac:dyDescent="0.25">
      <c r="A2810" s="4" t="s">
        <v>2823</v>
      </c>
      <c r="B2810" s="2" t="s">
        <v>3753</v>
      </c>
      <c r="C2810" s="2" t="s">
        <v>3875</v>
      </c>
      <c r="D2810" s="2" t="s">
        <v>3877</v>
      </c>
      <c r="E2810" s="3">
        <v>44968</v>
      </c>
      <c r="F2810" s="3">
        <v>45407</v>
      </c>
      <c r="G2810" s="2" t="s">
        <v>3885</v>
      </c>
      <c r="H2810" s="2">
        <v>654831</v>
      </c>
      <c r="I2810" s="2">
        <v>845799</v>
      </c>
      <c r="J2810" s="2" t="s">
        <v>3889</v>
      </c>
      <c r="K2810" s="2" t="s">
        <v>3895</v>
      </c>
      <c r="L2810" s="2">
        <v>2024</v>
      </c>
      <c r="M2810" s="2">
        <v>-190968</v>
      </c>
      <c r="N2810" s="2">
        <f xml:space="preserve"> (Table1[[#This Row],[Variance (USD)]] / Table1[[#This Row],[Actual Spending (USD)]]) * 100</f>
        <v>-22.578414020352351</v>
      </c>
      <c r="O2810" s="5" t="s">
        <v>3898</v>
      </c>
    </row>
    <row r="2811" spans="1:15" x14ac:dyDescent="0.25">
      <c r="A2811" s="4" t="s">
        <v>2824</v>
      </c>
      <c r="B2811" s="2" t="s">
        <v>3718</v>
      </c>
      <c r="C2811" s="2" t="s">
        <v>3870</v>
      </c>
      <c r="D2811" s="2" t="s">
        <v>3877</v>
      </c>
      <c r="E2811" s="3">
        <v>45211</v>
      </c>
      <c r="F2811" s="3">
        <v>45829</v>
      </c>
      <c r="G2811" s="2" t="s">
        <v>3884</v>
      </c>
      <c r="H2811" s="2">
        <v>670775</v>
      </c>
      <c r="I2811" s="2">
        <v>731173</v>
      </c>
      <c r="J2811" s="2" t="s">
        <v>3892</v>
      </c>
      <c r="K2811" s="2" t="s">
        <v>3895</v>
      </c>
      <c r="L2811" s="2">
        <v>2025</v>
      </c>
      <c r="M2811" s="2">
        <v>-60398</v>
      </c>
      <c r="N2811" s="2">
        <f xml:space="preserve"> (Table1[[#This Row],[Variance (USD)]] / Table1[[#This Row],[Actual Spending (USD)]]) * 100</f>
        <v>-8.26042537128696</v>
      </c>
      <c r="O2811" s="5" t="s">
        <v>3897</v>
      </c>
    </row>
    <row r="2812" spans="1:15" x14ac:dyDescent="0.25">
      <c r="A2812" s="4" t="s">
        <v>2825</v>
      </c>
      <c r="B2812" s="2" t="s">
        <v>3378</v>
      </c>
      <c r="C2812" s="2" t="s">
        <v>3869</v>
      </c>
      <c r="D2812" s="2" t="s">
        <v>3880</v>
      </c>
      <c r="E2812" s="3">
        <v>45313</v>
      </c>
      <c r="F2812" s="3">
        <v>45856</v>
      </c>
      <c r="G2812" s="2" t="s">
        <v>3886</v>
      </c>
      <c r="H2812" s="2">
        <v>422371</v>
      </c>
      <c r="I2812" s="2">
        <v>574409</v>
      </c>
      <c r="J2812" s="2" t="s">
        <v>3889</v>
      </c>
      <c r="K2812" s="2" t="s">
        <v>3896</v>
      </c>
      <c r="L2812" s="2">
        <v>2023</v>
      </c>
      <c r="M2812" s="2">
        <v>-152038</v>
      </c>
      <c r="N2812" s="2">
        <f xml:space="preserve"> (Table1[[#This Row],[Variance (USD)]] / Table1[[#This Row],[Actual Spending (USD)]]) * 100</f>
        <v>-26.468596418231609</v>
      </c>
      <c r="O2812" s="5" t="s">
        <v>3899</v>
      </c>
    </row>
    <row r="2813" spans="1:15" x14ac:dyDescent="0.25">
      <c r="A2813" s="4" t="s">
        <v>2826</v>
      </c>
      <c r="B2813" s="2" t="s">
        <v>3376</v>
      </c>
      <c r="C2813" s="2" t="s">
        <v>3874</v>
      </c>
      <c r="D2813" s="2" t="s">
        <v>3883</v>
      </c>
      <c r="E2813" s="3">
        <v>45064</v>
      </c>
      <c r="F2813" s="3">
        <v>45832</v>
      </c>
      <c r="G2813" s="2" t="s">
        <v>3886</v>
      </c>
      <c r="H2813" s="2">
        <v>279216</v>
      </c>
      <c r="I2813" s="2">
        <v>355786</v>
      </c>
      <c r="J2813" s="2" t="s">
        <v>3890</v>
      </c>
      <c r="K2813" s="2" t="s">
        <v>3896</v>
      </c>
      <c r="L2813" s="2">
        <v>2025</v>
      </c>
      <c r="M2813" s="2">
        <v>-76570</v>
      </c>
      <c r="N2813" s="2">
        <f xml:space="preserve"> (Table1[[#This Row],[Variance (USD)]] / Table1[[#This Row],[Actual Spending (USD)]]) * 100</f>
        <v>-21.52136396597955</v>
      </c>
      <c r="O2813" s="5" t="s">
        <v>3899</v>
      </c>
    </row>
    <row r="2814" spans="1:15" x14ac:dyDescent="0.25">
      <c r="A2814" s="4" t="s">
        <v>2827</v>
      </c>
      <c r="B2814" s="2" t="s">
        <v>3204</v>
      </c>
      <c r="C2814" s="2" t="s">
        <v>3872</v>
      </c>
      <c r="D2814" s="2" t="s">
        <v>3880</v>
      </c>
      <c r="E2814" s="3">
        <v>45113</v>
      </c>
      <c r="F2814" s="3">
        <v>45310</v>
      </c>
      <c r="G2814" s="2" t="s">
        <v>3884</v>
      </c>
      <c r="H2814" s="2">
        <v>568567</v>
      </c>
      <c r="I2814" s="2">
        <v>408808</v>
      </c>
      <c r="J2814" s="2" t="s">
        <v>3890</v>
      </c>
      <c r="K2814" s="2" t="s">
        <v>3894</v>
      </c>
      <c r="L2814" s="2">
        <v>2025</v>
      </c>
      <c r="M2814" s="2">
        <v>159759</v>
      </c>
      <c r="N2814" s="2">
        <f xml:space="preserve"> (Table1[[#This Row],[Variance (USD)]] / Table1[[#This Row],[Actual Spending (USD)]]) * 100</f>
        <v>39.079225455470542</v>
      </c>
      <c r="O2814" s="5" t="s">
        <v>3897</v>
      </c>
    </row>
    <row r="2815" spans="1:15" x14ac:dyDescent="0.25">
      <c r="A2815" s="4" t="s">
        <v>2828</v>
      </c>
      <c r="B2815" s="2" t="s">
        <v>3343</v>
      </c>
      <c r="C2815" s="2" t="s">
        <v>3875</v>
      </c>
      <c r="D2815" s="2" t="s">
        <v>3877</v>
      </c>
      <c r="E2815" s="3">
        <v>45642</v>
      </c>
      <c r="F2815" s="3">
        <v>45683</v>
      </c>
      <c r="G2815" s="2" t="s">
        <v>3884</v>
      </c>
      <c r="H2815" s="2">
        <v>464599</v>
      </c>
      <c r="I2815" s="2">
        <v>533148</v>
      </c>
      <c r="J2815" s="2" t="s">
        <v>3891</v>
      </c>
      <c r="K2815" s="2" t="s">
        <v>3894</v>
      </c>
      <c r="L2815" s="2">
        <v>2023</v>
      </c>
      <c r="M2815" s="2">
        <v>-68549</v>
      </c>
      <c r="N2815" s="2">
        <f xml:space="preserve"> (Table1[[#This Row],[Variance (USD)]] / Table1[[#This Row],[Actual Spending (USD)]]) * 100</f>
        <v>-12.857405448393317</v>
      </c>
      <c r="O2815" s="5" t="s">
        <v>3897</v>
      </c>
    </row>
    <row r="2816" spans="1:15" x14ac:dyDescent="0.25">
      <c r="A2816" s="4" t="s">
        <v>2829</v>
      </c>
      <c r="B2816" s="2" t="s">
        <v>3390</v>
      </c>
      <c r="C2816" s="2" t="s">
        <v>3873</v>
      </c>
      <c r="D2816" s="2" t="s">
        <v>3878</v>
      </c>
      <c r="E2816" s="3">
        <v>45357</v>
      </c>
      <c r="F2816" s="3">
        <v>45920</v>
      </c>
      <c r="G2816" s="2" t="s">
        <v>3886</v>
      </c>
      <c r="H2816" s="2">
        <v>915010</v>
      </c>
      <c r="I2816" s="2">
        <v>702538</v>
      </c>
      <c r="J2816" s="2" t="s">
        <v>3890</v>
      </c>
      <c r="K2816" s="2" t="s">
        <v>3895</v>
      </c>
      <c r="L2816" s="2">
        <v>2023</v>
      </c>
      <c r="M2816" s="2">
        <v>212472</v>
      </c>
      <c r="N2816" s="2">
        <f xml:space="preserve"> (Table1[[#This Row],[Variance (USD)]] / Table1[[#This Row],[Actual Spending (USD)]]) * 100</f>
        <v>30.243488608445379</v>
      </c>
      <c r="O2816" s="5" t="s">
        <v>3899</v>
      </c>
    </row>
    <row r="2817" spans="1:15" x14ac:dyDescent="0.25">
      <c r="A2817" s="4" t="s">
        <v>2830</v>
      </c>
      <c r="B2817" s="2" t="s">
        <v>3035</v>
      </c>
      <c r="C2817" s="2" t="s">
        <v>3872</v>
      </c>
      <c r="D2817" s="2" t="s">
        <v>3882</v>
      </c>
      <c r="E2817" s="3">
        <v>45480</v>
      </c>
      <c r="F2817" s="3">
        <v>45909</v>
      </c>
      <c r="G2817" s="2" t="s">
        <v>3884</v>
      </c>
      <c r="H2817" s="2">
        <v>690546</v>
      </c>
      <c r="I2817" s="2">
        <v>97258</v>
      </c>
      <c r="J2817" s="2" t="s">
        <v>3888</v>
      </c>
      <c r="K2817" s="2" t="s">
        <v>3895</v>
      </c>
      <c r="L2817" s="2">
        <v>2024</v>
      </c>
      <c r="M2817" s="2">
        <v>593288</v>
      </c>
      <c r="N2817" s="2">
        <f xml:space="preserve"> (Table1[[#This Row],[Variance (USD)]] / Table1[[#This Row],[Actual Spending (USD)]]) * 100</f>
        <v>610.01460034136005</v>
      </c>
      <c r="O2817" s="5" t="s">
        <v>3897</v>
      </c>
    </row>
    <row r="2818" spans="1:15" x14ac:dyDescent="0.25">
      <c r="A2818" s="4" t="s">
        <v>2831</v>
      </c>
      <c r="B2818" s="2" t="s">
        <v>3643</v>
      </c>
      <c r="C2818" s="2" t="s">
        <v>3868</v>
      </c>
      <c r="D2818" s="2" t="s">
        <v>3883</v>
      </c>
      <c r="E2818" s="3">
        <v>45342</v>
      </c>
      <c r="F2818" s="3">
        <v>45710</v>
      </c>
      <c r="G2818" s="2" t="s">
        <v>3884</v>
      </c>
      <c r="H2818" s="2">
        <v>730772</v>
      </c>
      <c r="I2818" s="2">
        <v>1139139</v>
      </c>
      <c r="J2818" s="2" t="s">
        <v>3891</v>
      </c>
      <c r="K2818" s="2" t="s">
        <v>3895</v>
      </c>
      <c r="L2818" s="2">
        <v>2023</v>
      </c>
      <c r="M2818" s="2">
        <v>-408367</v>
      </c>
      <c r="N2818" s="2">
        <f xml:space="preserve"> (Table1[[#This Row],[Variance (USD)]] / Table1[[#This Row],[Actual Spending (USD)]]) * 100</f>
        <v>-35.848741900681134</v>
      </c>
      <c r="O2818" s="5" t="s">
        <v>3897</v>
      </c>
    </row>
    <row r="2819" spans="1:15" x14ac:dyDescent="0.25">
      <c r="A2819" s="4" t="s">
        <v>2832</v>
      </c>
      <c r="B2819" s="2" t="s">
        <v>3233</v>
      </c>
      <c r="C2819" s="2" t="s">
        <v>3870</v>
      </c>
      <c r="D2819" s="2" t="s">
        <v>3880</v>
      </c>
      <c r="E2819" s="3">
        <v>45352</v>
      </c>
      <c r="F2819" s="3">
        <v>45600</v>
      </c>
      <c r="G2819" s="2" t="s">
        <v>3886</v>
      </c>
      <c r="H2819" s="2">
        <v>63181</v>
      </c>
      <c r="I2819" s="2">
        <v>211122</v>
      </c>
      <c r="J2819" s="2" t="s">
        <v>3889</v>
      </c>
      <c r="K2819" s="2" t="s">
        <v>3895</v>
      </c>
      <c r="L2819" s="2">
        <v>2024</v>
      </c>
      <c r="M2819" s="2">
        <v>-147941</v>
      </c>
      <c r="N2819" s="2">
        <f xml:space="preserve"> (Table1[[#This Row],[Variance (USD)]] / Table1[[#This Row],[Actual Spending (USD)]]) * 100</f>
        <v>-70.07370146171408</v>
      </c>
      <c r="O2819" s="5" t="s">
        <v>3899</v>
      </c>
    </row>
    <row r="2820" spans="1:15" x14ac:dyDescent="0.25">
      <c r="A2820" s="4" t="s">
        <v>2833</v>
      </c>
      <c r="B2820" s="2" t="s">
        <v>3479</v>
      </c>
      <c r="C2820" s="2" t="s">
        <v>3874</v>
      </c>
      <c r="D2820" s="2" t="s">
        <v>3882</v>
      </c>
      <c r="E2820" s="3">
        <v>45342</v>
      </c>
      <c r="F2820" s="3">
        <v>45477</v>
      </c>
      <c r="G2820" s="2" t="s">
        <v>3884</v>
      </c>
      <c r="H2820" s="2">
        <v>94898</v>
      </c>
      <c r="I2820" s="2">
        <v>879039</v>
      </c>
      <c r="J2820" s="2" t="s">
        <v>3890</v>
      </c>
      <c r="K2820" s="2" t="s">
        <v>3896</v>
      </c>
      <c r="L2820" s="2">
        <v>2025</v>
      </c>
      <c r="M2820" s="2">
        <v>-784141</v>
      </c>
      <c r="N2820" s="2">
        <f xml:space="preserve"> (Table1[[#This Row],[Variance (USD)]] / Table1[[#This Row],[Actual Spending (USD)]]) * 100</f>
        <v>-89.204347019870568</v>
      </c>
      <c r="O2820" s="5" t="s">
        <v>3897</v>
      </c>
    </row>
    <row r="2821" spans="1:15" x14ac:dyDescent="0.25">
      <c r="A2821" s="4" t="s">
        <v>2834</v>
      </c>
      <c r="B2821" s="2" t="s">
        <v>3290</v>
      </c>
      <c r="C2821" s="2" t="s">
        <v>3875</v>
      </c>
      <c r="D2821" s="2" t="s">
        <v>3881</v>
      </c>
      <c r="E2821" s="3">
        <v>44952</v>
      </c>
      <c r="F2821" s="3">
        <v>45552</v>
      </c>
      <c r="G2821" s="2" t="s">
        <v>3884</v>
      </c>
      <c r="H2821" s="2">
        <v>839837</v>
      </c>
      <c r="I2821" s="2">
        <v>95638</v>
      </c>
      <c r="J2821" s="2" t="s">
        <v>3888</v>
      </c>
      <c r="K2821" s="2" t="s">
        <v>3894</v>
      </c>
      <c r="L2821" s="2">
        <v>2025</v>
      </c>
      <c r="M2821" s="2">
        <v>744199</v>
      </c>
      <c r="N2821" s="2">
        <f xml:space="preserve"> (Table1[[#This Row],[Variance (USD)]] / Table1[[#This Row],[Actual Spending (USD)]]) * 100</f>
        <v>778.14153369999372</v>
      </c>
      <c r="O2821" s="5" t="s">
        <v>3897</v>
      </c>
    </row>
    <row r="2822" spans="1:15" x14ac:dyDescent="0.25">
      <c r="A2822" s="4" t="s">
        <v>2835</v>
      </c>
      <c r="B2822" s="2" t="s">
        <v>3672</v>
      </c>
      <c r="C2822" s="2" t="s">
        <v>3872</v>
      </c>
      <c r="D2822" s="2" t="s">
        <v>3880</v>
      </c>
      <c r="E2822" s="3">
        <v>45297</v>
      </c>
      <c r="F2822" s="3">
        <v>45819</v>
      </c>
      <c r="G2822" s="2" t="s">
        <v>3884</v>
      </c>
      <c r="H2822" s="2">
        <v>539620</v>
      </c>
      <c r="I2822" s="2">
        <v>793303</v>
      </c>
      <c r="J2822" s="2" t="s">
        <v>3891</v>
      </c>
      <c r="K2822" s="2" t="s">
        <v>3893</v>
      </c>
      <c r="L2822" s="2">
        <v>2024</v>
      </c>
      <c r="M2822" s="2">
        <v>-253683</v>
      </c>
      <c r="N2822" s="2">
        <f xml:space="preserve"> (Table1[[#This Row],[Variance (USD)]] / Table1[[#This Row],[Actual Spending (USD)]]) * 100</f>
        <v>-31.978071430462258</v>
      </c>
      <c r="O2822" s="5" t="s">
        <v>3897</v>
      </c>
    </row>
    <row r="2823" spans="1:15" x14ac:dyDescent="0.25">
      <c r="A2823" s="4" t="s">
        <v>2836</v>
      </c>
      <c r="B2823" s="2" t="s">
        <v>3100</v>
      </c>
      <c r="C2823" s="2" t="s">
        <v>3874</v>
      </c>
      <c r="D2823" s="2" t="s">
        <v>3877</v>
      </c>
      <c r="E2823" s="3">
        <v>45311</v>
      </c>
      <c r="F2823" s="3">
        <v>45564</v>
      </c>
      <c r="G2823" s="2" t="s">
        <v>3884</v>
      </c>
      <c r="H2823" s="2">
        <v>323006</v>
      </c>
      <c r="I2823" s="2">
        <v>730534</v>
      </c>
      <c r="J2823" s="2" t="s">
        <v>3888</v>
      </c>
      <c r="K2823" s="2" t="s">
        <v>3895</v>
      </c>
      <c r="L2823" s="2">
        <v>2023</v>
      </c>
      <c r="M2823" s="2">
        <v>-407528</v>
      </c>
      <c r="N2823" s="2">
        <f xml:space="preserve"> (Table1[[#This Row],[Variance (USD)]] / Table1[[#This Row],[Actual Spending (USD)]]) * 100</f>
        <v>-55.784946354310684</v>
      </c>
      <c r="O2823" s="5" t="s">
        <v>3897</v>
      </c>
    </row>
    <row r="2824" spans="1:15" x14ac:dyDescent="0.25">
      <c r="A2824" s="4" t="s">
        <v>2837</v>
      </c>
      <c r="B2824" s="2" t="s">
        <v>3760</v>
      </c>
      <c r="C2824" s="2" t="s">
        <v>3875</v>
      </c>
      <c r="D2824" s="2" t="s">
        <v>3882</v>
      </c>
      <c r="E2824" s="3">
        <v>44982</v>
      </c>
      <c r="F2824" s="3">
        <v>45451</v>
      </c>
      <c r="G2824" s="2" t="s">
        <v>3886</v>
      </c>
      <c r="H2824" s="2">
        <v>235751</v>
      </c>
      <c r="I2824" s="2">
        <v>933152</v>
      </c>
      <c r="J2824" s="2" t="s">
        <v>3891</v>
      </c>
      <c r="K2824" s="2" t="s">
        <v>3894</v>
      </c>
      <c r="L2824" s="2">
        <v>2023</v>
      </c>
      <c r="M2824" s="2">
        <v>-697401</v>
      </c>
      <c r="N2824" s="2">
        <f xml:space="preserve"> (Table1[[#This Row],[Variance (USD)]] / Table1[[#This Row],[Actual Spending (USD)]]) * 100</f>
        <v>-74.736055862281816</v>
      </c>
      <c r="O2824" s="5" t="s">
        <v>3899</v>
      </c>
    </row>
    <row r="2825" spans="1:15" x14ac:dyDescent="0.25">
      <c r="A2825" s="4" t="s">
        <v>2838</v>
      </c>
      <c r="B2825" s="2" t="s">
        <v>3596</v>
      </c>
      <c r="C2825" s="2" t="s">
        <v>3872</v>
      </c>
      <c r="D2825" s="2" t="s">
        <v>3877</v>
      </c>
      <c r="E2825" s="3">
        <v>45179</v>
      </c>
      <c r="F2825" s="3">
        <v>45515</v>
      </c>
      <c r="G2825" s="2" t="s">
        <v>3886</v>
      </c>
      <c r="H2825" s="2">
        <v>340832</v>
      </c>
      <c r="I2825" s="2">
        <v>953676</v>
      </c>
      <c r="J2825" s="2" t="s">
        <v>3891</v>
      </c>
      <c r="K2825" s="2" t="s">
        <v>3895</v>
      </c>
      <c r="L2825" s="2">
        <v>2024</v>
      </c>
      <c r="M2825" s="2">
        <v>-612844</v>
      </c>
      <c r="N2825" s="2">
        <f xml:space="preserve"> (Table1[[#This Row],[Variance (USD)]] / Table1[[#This Row],[Actual Spending (USD)]]) * 100</f>
        <v>-64.261237569153465</v>
      </c>
      <c r="O2825" s="5" t="s">
        <v>3899</v>
      </c>
    </row>
    <row r="2826" spans="1:15" x14ac:dyDescent="0.25">
      <c r="A2826" s="4" t="s">
        <v>2839</v>
      </c>
      <c r="B2826" s="2" t="s">
        <v>3784</v>
      </c>
      <c r="C2826" s="2" t="s">
        <v>3873</v>
      </c>
      <c r="D2826" s="2" t="s">
        <v>3876</v>
      </c>
      <c r="E2826" s="3">
        <v>45560</v>
      </c>
      <c r="F2826" s="3">
        <v>45547</v>
      </c>
      <c r="G2826" s="2" t="s">
        <v>3886</v>
      </c>
      <c r="H2826" s="2">
        <v>622305</v>
      </c>
      <c r="I2826" s="2">
        <v>631076</v>
      </c>
      <c r="J2826" s="2" t="s">
        <v>3891</v>
      </c>
      <c r="K2826" s="2" t="s">
        <v>3896</v>
      </c>
      <c r="L2826" s="2">
        <v>2025</v>
      </c>
      <c r="M2826" s="2">
        <v>-8771</v>
      </c>
      <c r="N2826" s="2">
        <f xml:space="preserve"> (Table1[[#This Row],[Variance (USD)]] / Table1[[#This Row],[Actual Spending (USD)]]) * 100</f>
        <v>-1.389848449315138</v>
      </c>
      <c r="O2826" s="5" t="s">
        <v>3899</v>
      </c>
    </row>
    <row r="2827" spans="1:15" x14ac:dyDescent="0.25">
      <c r="A2827" s="4" t="s">
        <v>2840</v>
      </c>
      <c r="B2827" s="2" t="s">
        <v>3294</v>
      </c>
      <c r="C2827" s="2" t="s">
        <v>3868</v>
      </c>
      <c r="D2827" s="2" t="s">
        <v>3882</v>
      </c>
      <c r="E2827" s="3">
        <v>45032</v>
      </c>
      <c r="F2827" s="3">
        <v>45471</v>
      </c>
      <c r="G2827" s="2" t="s">
        <v>3886</v>
      </c>
      <c r="H2827" s="2">
        <v>539697</v>
      </c>
      <c r="I2827" s="2">
        <v>834350</v>
      </c>
      <c r="J2827" s="2" t="s">
        <v>3889</v>
      </c>
      <c r="K2827" s="2" t="s">
        <v>3893</v>
      </c>
      <c r="L2827" s="2">
        <v>2024</v>
      </c>
      <c r="M2827" s="2">
        <v>-294653</v>
      </c>
      <c r="N2827" s="2">
        <f xml:space="preserve"> (Table1[[#This Row],[Variance (USD)]] / Table1[[#This Row],[Actual Spending (USD)]]) * 100</f>
        <v>-35.31527536405585</v>
      </c>
      <c r="O2827" s="5" t="s">
        <v>3899</v>
      </c>
    </row>
    <row r="2828" spans="1:15" x14ac:dyDescent="0.25">
      <c r="A2828" s="4" t="s">
        <v>2841</v>
      </c>
      <c r="B2828" s="2" t="s">
        <v>3858</v>
      </c>
      <c r="C2828" s="2" t="s">
        <v>3868</v>
      </c>
      <c r="D2828" s="2" t="s">
        <v>3882</v>
      </c>
      <c r="E2828" s="3">
        <v>45056</v>
      </c>
      <c r="F2828" s="3">
        <v>45311</v>
      </c>
      <c r="G2828" s="2" t="s">
        <v>3884</v>
      </c>
      <c r="H2828" s="2">
        <v>325083</v>
      </c>
      <c r="I2828" s="2">
        <v>823629</v>
      </c>
      <c r="J2828" s="2" t="s">
        <v>3891</v>
      </c>
      <c r="K2828" s="2" t="s">
        <v>3894</v>
      </c>
      <c r="L2828" s="2">
        <v>2023</v>
      </c>
      <c r="M2828" s="2">
        <v>-498546</v>
      </c>
      <c r="N2828" s="2">
        <f xml:space="preserve"> (Table1[[#This Row],[Variance (USD)]] / Table1[[#This Row],[Actual Spending (USD)]]) * 100</f>
        <v>-60.530408715574616</v>
      </c>
      <c r="O2828" s="5" t="s">
        <v>3897</v>
      </c>
    </row>
    <row r="2829" spans="1:15" x14ac:dyDescent="0.25">
      <c r="A2829" s="4" t="s">
        <v>2842</v>
      </c>
      <c r="B2829" s="2" t="s">
        <v>3586</v>
      </c>
      <c r="C2829" s="2" t="s">
        <v>3869</v>
      </c>
      <c r="D2829" s="2" t="s">
        <v>3880</v>
      </c>
      <c r="E2829" s="3">
        <v>45596</v>
      </c>
      <c r="F2829" s="3">
        <v>45915</v>
      </c>
      <c r="G2829" s="2" t="s">
        <v>3884</v>
      </c>
      <c r="H2829" s="2">
        <v>817631</v>
      </c>
      <c r="I2829" s="2">
        <v>699037</v>
      </c>
      <c r="J2829" s="2" t="s">
        <v>3891</v>
      </c>
      <c r="K2829" s="2" t="s">
        <v>3894</v>
      </c>
      <c r="L2829" s="2">
        <v>2023</v>
      </c>
      <c r="M2829" s="2">
        <v>118594</v>
      </c>
      <c r="N2829" s="2">
        <f xml:space="preserve"> (Table1[[#This Row],[Variance (USD)]] / Table1[[#This Row],[Actual Spending (USD)]]) * 100</f>
        <v>16.965339459856917</v>
      </c>
      <c r="O2829" s="5" t="s">
        <v>3897</v>
      </c>
    </row>
    <row r="2830" spans="1:15" x14ac:dyDescent="0.25">
      <c r="A2830" s="4" t="s">
        <v>2843</v>
      </c>
      <c r="B2830" s="2" t="s">
        <v>3322</v>
      </c>
      <c r="C2830" s="2" t="s">
        <v>3872</v>
      </c>
      <c r="D2830" s="2" t="s">
        <v>3877</v>
      </c>
      <c r="E2830" s="3">
        <v>45302</v>
      </c>
      <c r="F2830" s="3">
        <v>45923</v>
      </c>
      <c r="G2830" s="2" t="s">
        <v>3884</v>
      </c>
      <c r="H2830" s="2">
        <v>416296</v>
      </c>
      <c r="I2830" s="2">
        <v>296714</v>
      </c>
      <c r="J2830" s="2" t="s">
        <v>3888</v>
      </c>
      <c r="K2830" s="2" t="s">
        <v>3893</v>
      </c>
      <c r="L2830" s="2">
        <v>2024</v>
      </c>
      <c r="M2830" s="2">
        <v>119582</v>
      </c>
      <c r="N2830" s="2">
        <f xml:space="preserve"> (Table1[[#This Row],[Variance (USD)]] / Table1[[#This Row],[Actual Spending (USD)]]) * 100</f>
        <v>40.302109101693887</v>
      </c>
      <c r="O2830" s="5" t="s">
        <v>3897</v>
      </c>
    </row>
    <row r="2831" spans="1:15" x14ac:dyDescent="0.25">
      <c r="A2831" s="4" t="s">
        <v>2844</v>
      </c>
      <c r="B2831" s="2" t="s">
        <v>3213</v>
      </c>
      <c r="C2831" s="2" t="s">
        <v>3875</v>
      </c>
      <c r="D2831" s="2" t="s">
        <v>3881</v>
      </c>
      <c r="E2831" s="3">
        <v>45234</v>
      </c>
      <c r="F2831" s="3">
        <v>45997</v>
      </c>
      <c r="G2831" s="2" t="s">
        <v>3884</v>
      </c>
      <c r="H2831" s="2">
        <v>351729</v>
      </c>
      <c r="I2831" s="2">
        <v>1150818</v>
      </c>
      <c r="J2831" s="2" t="s">
        <v>3891</v>
      </c>
      <c r="K2831" s="2" t="s">
        <v>3896</v>
      </c>
      <c r="L2831" s="2">
        <v>2023</v>
      </c>
      <c r="M2831" s="2">
        <v>-799089</v>
      </c>
      <c r="N2831" s="2">
        <f xml:space="preserve"> (Table1[[#This Row],[Variance (USD)]] / Table1[[#This Row],[Actual Spending (USD)]]) * 100</f>
        <v>-69.436609437808585</v>
      </c>
      <c r="O2831" s="5" t="s">
        <v>3897</v>
      </c>
    </row>
    <row r="2832" spans="1:15" x14ac:dyDescent="0.25">
      <c r="A2832" s="4" t="s">
        <v>2845</v>
      </c>
      <c r="B2832" s="2" t="s">
        <v>3737</v>
      </c>
      <c r="C2832" s="2" t="s">
        <v>3868</v>
      </c>
      <c r="D2832" s="2" t="s">
        <v>3879</v>
      </c>
      <c r="E2832" s="3">
        <v>45017</v>
      </c>
      <c r="F2832" s="3">
        <v>45759</v>
      </c>
      <c r="G2832" s="2" t="s">
        <v>3887</v>
      </c>
      <c r="H2832" s="2">
        <v>428459</v>
      </c>
      <c r="I2832" s="2">
        <v>259810</v>
      </c>
      <c r="J2832" s="2" t="s">
        <v>3889</v>
      </c>
      <c r="K2832" s="2" t="s">
        <v>3893</v>
      </c>
      <c r="L2832" s="2">
        <v>2025</v>
      </c>
      <c r="M2832" s="2">
        <v>168649</v>
      </c>
      <c r="N2832" s="2">
        <f xml:space="preserve"> (Table1[[#This Row],[Variance (USD)]] / Table1[[#This Row],[Actual Spending (USD)]]) * 100</f>
        <v>64.91243601093106</v>
      </c>
      <c r="O2832" s="5" t="s">
        <v>3900</v>
      </c>
    </row>
    <row r="2833" spans="1:15" x14ac:dyDescent="0.25">
      <c r="A2833" s="4" t="s">
        <v>2846</v>
      </c>
      <c r="B2833" s="2" t="s">
        <v>3458</v>
      </c>
      <c r="C2833" s="2" t="s">
        <v>3870</v>
      </c>
      <c r="D2833" s="2" t="s">
        <v>3883</v>
      </c>
      <c r="E2833" s="3">
        <v>45319</v>
      </c>
      <c r="F2833" s="3">
        <v>45914</v>
      </c>
      <c r="G2833" s="2" t="s">
        <v>3885</v>
      </c>
      <c r="H2833" s="2">
        <v>154447</v>
      </c>
      <c r="I2833" s="2">
        <v>77907</v>
      </c>
      <c r="J2833" s="2" t="s">
        <v>3888</v>
      </c>
      <c r="K2833" s="2" t="s">
        <v>3894</v>
      </c>
      <c r="L2833" s="2">
        <v>2024</v>
      </c>
      <c r="M2833" s="2">
        <v>76540</v>
      </c>
      <c r="N2833" s="2">
        <f xml:space="preserve"> (Table1[[#This Row],[Variance (USD)]] / Table1[[#This Row],[Actual Spending (USD)]]) * 100</f>
        <v>98.245343807360058</v>
      </c>
      <c r="O2833" s="5" t="s">
        <v>3898</v>
      </c>
    </row>
    <row r="2834" spans="1:15" x14ac:dyDescent="0.25">
      <c r="A2834" s="4" t="s">
        <v>2847</v>
      </c>
      <c r="B2834" s="2" t="s">
        <v>3401</v>
      </c>
      <c r="C2834" s="2" t="s">
        <v>3868</v>
      </c>
      <c r="D2834" s="2" t="s">
        <v>3879</v>
      </c>
      <c r="E2834" s="3">
        <v>45460</v>
      </c>
      <c r="F2834" s="3">
        <v>45501</v>
      </c>
      <c r="G2834" s="2" t="s">
        <v>3884</v>
      </c>
      <c r="H2834" s="2">
        <v>818173</v>
      </c>
      <c r="I2834" s="2">
        <v>366802</v>
      </c>
      <c r="J2834" s="2" t="s">
        <v>3891</v>
      </c>
      <c r="K2834" s="2" t="s">
        <v>3893</v>
      </c>
      <c r="L2834" s="2">
        <v>2025</v>
      </c>
      <c r="M2834" s="2">
        <v>451371</v>
      </c>
      <c r="N2834" s="2">
        <f xml:space="preserve"> (Table1[[#This Row],[Variance (USD)]] / Table1[[#This Row],[Actual Spending (USD)]]) * 100</f>
        <v>123.05576305472708</v>
      </c>
      <c r="O2834" s="5" t="s">
        <v>3897</v>
      </c>
    </row>
    <row r="2835" spans="1:15" x14ac:dyDescent="0.25">
      <c r="A2835" s="4" t="s">
        <v>2848</v>
      </c>
      <c r="B2835" s="2" t="s">
        <v>3374</v>
      </c>
      <c r="C2835" s="2" t="s">
        <v>3871</v>
      </c>
      <c r="D2835" s="2" t="s">
        <v>3883</v>
      </c>
      <c r="E2835" s="3">
        <v>45036</v>
      </c>
      <c r="F2835" s="3">
        <v>45804</v>
      </c>
      <c r="G2835" s="2" t="s">
        <v>3884</v>
      </c>
      <c r="H2835" s="2">
        <v>289434</v>
      </c>
      <c r="I2835" s="2">
        <v>76371</v>
      </c>
      <c r="J2835" s="2" t="s">
        <v>3888</v>
      </c>
      <c r="K2835" s="2" t="s">
        <v>3896</v>
      </c>
      <c r="L2835" s="2">
        <v>2025</v>
      </c>
      <c r="M2835" s="2">
        <v>213063</v>
      </c>
      <c r="N2835" s="2">
        <f xml:space="preserve"> (Table1[[#This Row],[Variance (USD)]] / Table1[[#This Row],[Actual Spending (USD)]]) * 100</f>
        <v>278.9841693836666</v>
      </c>
      <c r="O2835" s="5" t="s">
        <v>3897</v>
      </c>
    </row>
    <row r="2836" spans="1:15" x14ac:dyDescent="0.25">
      <c r="A2836" s="4" t="s">
        <v>2849</v>
      </c>
      <c r="B2836" s="2" t="s">
        <v>3136</v>
      </c>
      <c r="C2836" s="2" t="s">
        <v>3871</v>
      </c>
      <c r="D2836" s="2" t="s">
        <v>3881</v>
      </c>
      <c r="E2836" s="3">
        <v>45487</v>
      </c>
      <c r="F2836" s="3">
        <v>45349</v>
      </c>
      <c r="G2836" s="2" t="s">
        <v>3884</v>
      </c>
      <c r="H2836" s="2">
        <v>728302</v>
      </c>
      <c r="I2836" s="2">
        <v>958495</v>
      </c>
      <c r="J2836" s="2" t="s">
        <v>3889</v>
      </c>
      <c r="K2836" s="2" t="s">
        <v>3896</v>
      </c>
      <c r="L2836" s="2">
        <v>2024</v>
      </c>
      <c r="M2836" s="2">
        <v>-230193</v>
      </c>
      <c r="N2836" s="2">
        <f xml:space="preserve"> (Table1[[#This Row],[Variance (USD)]] / Table1[[#This Row],[Actual Spending (USD)]]) * 100</f>
        <v>-24.016087720854049</v>
      </c>
      <c r="O2836" s="5" t="s">
        <v>3897</v>
      </c>
    </row>
    <row r="2837" spans="1:15" x14ac:dyDescent="0.25">
      <c r="A2837" s="4" t="s">
        <v>2850</v>
      </c>
      <c r="B2837" s="2" t="s">
        <v>3831</v>
      </c>
      <c r="C2837" s="2" t="s">
        <v>3868</v>
      </c>
      <c r="D2837" s="2" t="s">
        <v>3882</v>
      </c>
      <c r="E2837" s="3">
        <v>45567</v>
      </c>
      <c r="F2837" s="3">
        <v>45384</v>
      </c>
      <c r="G2837" s="2" t="s">
        <v>3884</v>
      </c>
      <c r="H2837" s="2">
        <v>291147</v>
      </c>
      <c r="I2837" s="2">
        <v>579175</v>
      </c>
      <c r="J2837" s="2" t="s">
        <v>3888</v>
      </c>
      <c r="K2837" s="2" t="s">
        <v>3895</v>
      </c>
      <c r="L2837" s="2">
        <v>2024</v>
      </c>
      <c r="M2837" s="2">
        <v>-288028</v>
      </c>
      <c r="N2837" s="2">
        <f xml:space="preserve"> (Table1[[#This Row],[Variance (USD)]] / Table1[[#This Row],[Actual Spending (USD)]]) * 100</f>
        <v>-49.730737687227524</v>
      </c>
      <c r="O2837" s="5" t="s">
        <v>3897</v>
      </c>
    </row>
    <row r="2838" spans="1:15" x14ac:dyDescent="0.25">
      <c r="A2838" s="4" t="s">
        <v>2851</v>
      </c>
      <c r="B2838" s="2" t="s">
        <v>3397</v>
      </c>
      <c r="C2838" s="2" t="s">
        <v>3872</v>
      </c>
      <c r="D2838" s="2" t="s">
        <v>3882</v>
      </c>
      <c r="E2838" s="3">
        <v>45511</v>
      </c>
      <c r="F2838" s="3">
        <v>45512</v>
      </c>
      <c r="G2838" s="2" t="s">
        <v>3884</v>
      </c>
      <c r="H2838" s="2">
        <v>448488</v>
      </c>
      <c r="I2838" s="2">
        <v>568147</v>
      </c>
      <c r="J2838" s="2" t="s">
        <v>3889</v>
      </c>
      <c r="K2838" s="2" t="s">
        <v>3893</v>
      </c>
      <c r="L2838" s="2">
        <v>2023</v>
      </c>
      <c r="M2838" s="2">
        <v>-119659</v>
      </c>
      <c r="N2838" s="2">
        <f xml:space="preserve"> (Table1[[#This Row],[Variance (USD)]] / Table1[[#This Row],[Actual Spending (USD)]]) * 100</f>
        <v>-21.061274634909626</v>
      </c>
      <c r="O2838" s="5" t="s">
        <v>3897</v>
      </c>
    </row>
    <row r="2839" spans="1:15" x14ac:dyDescent="0.25">
      <c r="A2839" s="4" t="s">
        <v>2852</v>
      </c>
      <c r="B2839" s="2" t="s">
        <v>3605</v>
      </c>
      <c r="C2839" s="2" t="s">
        <v>3869</v>
      </c>
      <c r="D2839" s="2" t="s">
        <v>3880</v>
      </c>
      <c r="E2839" s="3">
        <v>45266</v>
      </c>
      <c r="F2839" s="3">
        <v>46014</v>
      </c>
      <c r="G2839" s="2" t="s">
        <v>3884</v>
      </c>
      <c r="H2839" s="2">
        <v>487350</v>
      </c>
      <c r="I2839" s="2">
        <v>971144</v>
      </c>
      <c r="J2839" s="2" t="s">
        <v>3890</v>
      </c>
      <c r="K2839" s="2" t="s">
        <v>3893</v>
      </c>
      <c r="L2839" s="2">
        <v>2023</v>
      </c>
      <c r="M2839" s="2">
        <v>-483794</v>
      </c>
      <c r="N2839" s="2">
        <f xml:space="preserve"> (Table1[[#This Row],[Variance (USD)]] / Table1[[#This Row],[Actual Spending (USD)]]) * 100</f>
        <v>-49.816916955672895</v>
      </c>
      <c r="O2839" s="5" t="s">
        <v>3897</v>
      </c>
    </row>
    <row r="2840" spans="1:15" x14ac:dyDescent="0.25">
      <c r="A2840" s="4" t="s">
        <v>2853</v>
      </c>
      <c r="B2840" s="2" t="s">
        <v>3418</v>
      </c>
      <c r="C2840" s="2" t="s">
        <v>3868</v>
      </c>
      <c r="D2840" s="2" t="s">
        <v>3876</v>
      </c>
      <c r="E2840" s="3">
        <v>45491</v>
      </c>
      <c r="F2840" s="3">
        <v>45523</v>
      </c>
      <c r="G2840" s="2" t="s">
        <v>3885</v>
      </c>
      <c r="H2840" s="2">
        <v>205337</v>
      </c>
      <c r="I2840" s="2">
        <v>514284</v>
      </c>
      <c r="J2840" s="2" t="s">
        <v>3891</v>
      </c>
      <c r="K2840" s="2" t="s">
        <v>3894</v>
      </c>
      <c r="L2840" s="2">
        <v>2024</v>
      </c>
      <c r="M2840" s="2">
        <v>-308947</v>
      </c>
      <c r="N2840" s="2">
        <f xml:space="preserve"> (Table1[[#This Row],[Variance (USD)]] / Table1[[#This Row],[Actual Spending (USD)]]) * 100</f>
        <v>-60.073228021871181</v>
      </c>
      <c r="O2840" s="5" t="s">
        <v>3898</v>
      </c>
    </row>
    <row r="2841" spans="1:15" x14ac:dyDescent="0.25">
      <c r="A2841" s="4" t="s">
        <v>2854</v>
      </c>
      <c r="B2841" s="2" t="s">
        <v>3482</v>
      </c>
      <c r="C2841" s="2" t="s">
        <v>3873</v>
      </c>
      <c r="D2841" s="2" t="s">
        <v>3877</v>
      </c>
      <c r="E2841" s="3">
        <v>45282</v>
      </c>
      <c r="F2841" s="3">
        <v>45655</v>
      </c>
      <c r="G2841" s="2" t="s">
        <v>3886</v>
      </c>
      <c r="H2841" s="2">
        <v>304743</v>
      </c>
      <c r="I2841" s="2">
        <v>527981</v>
      </c>
      <c r="J2841" s="2" t="s">
        <v>3889</v>
      </c>
      <c r="K2841" s="2" t="s">
        <v>3896</v>
      </c>
      <c r="L2841" s="2">
        <v>2024</v>
      </c>
      <c r="M2841" s="2">
        <v>-223238</v>
      </c>
      <c r="N2841" s="2">
        <f xml:space="preserve"> (Table1[[#This Row],[Variance (USD)]] / Table1[[#This Row],[Actual Spending (USD)]]) * 100</f>
        <v>-42.281445733842695</v>
      </c>
      <c r="O2841" s="5" t="s">
        <v>3899</v>
      </c>
    </row>
    <row r="2842" spans="1:15" x14ac:dyDescent="0.25">
      <c r="A2842" s="4" t="s">
        <v>2855</v>
      </c>
      <c r="B2842" s="2" t="s">
        <v>3207</v>
      </c>
      <c r="C2842" s="2" t="s">
        <v>3874</v>
      </c>
      <c r="D2842" s="2" t="s">
        <v>3877</v>
      </c>
      <c r="E2842" s="3">
        <v>45094</v>
      </c>
      <c r="F2842" s="3">
        <v>45906</v>
      </c>
      <c r="G2842" s="2" t="s">
        <v>3884</v>
      </c>
      <c r="H2842" s="2">
        <v>753552</v>
      </c>
      <c r="I2842" s="2">
        <v>214307</v>
      </c>
      <c r="J2842" s="2" t="s">
        <v>3891</v>
      </c>
      <c r="K2842" s="2" t="s">
        <v>3893</v>
      </c>
      <c r="L2842" s="2">
        <v>2023</v>
      </c>
      <c r="M2842" s="2">
        <v>539245</v>
      </c>
      <c r="N2842" s="2">
        <f xml:space="preserve"> (Table1[[#This Row],[Variance (USD)]] / Table1[[#This Row],[Actual Spending (USD)]]) * 100</f>
        <v>251.62267214789998</v>
      </c>
      <c r="O2842" s="5" t="s">
        <v>3897</v>
      </c>
    </row>
    <row r="2843" spans="1:15" x14ac:dyDescent="0.25">
      <c r="A2843" s="4" t="s">
        <v>2856</v>
      </c>
      <c r="B2843" s="2" t="s">
        <v>3699</v>
      </c>
      <c r="C2843" s="2" t="s">
        <v>3875</v>
      </c>
      <c r="D2843" s="2" t="s">
        <v>3877</v>
      </c>
      <c r="E2843" s="3">
        <v>45483</v>
      </c>
      <c r="F2843" s="3">
        <v>45853</v>
      </c>
      <c r="G2843" s="2" t="s">
        <v>3884</v>
      </c>
      <c r="H2843" s="2">
        <v>734028</v>
      </c>
      <c r="I2843" s="2">
        <v>526372</v>
      </c>
      <c r="J2843" s="2" t="s">
        <v>3889</v>
      </c>
      <c r="K2843" s="2" t="s">
        <v>3894</v>
      </c>
      <c r="L2843" s="2">
        <v>2023</v>
      </c>
      <c r="M2843" s="2">
        <v>207656</v>
      </c>
      <c r="N2843" s="2">
        <f xml:space="preserve"> (Table1[[#This Row],[Variance (USD)]] / Table1[[#This Row],[Actual Spending (USD)]]) * 100</f>
        <v>39.450426694429034</v>
      </c>
      <c r="O2843" s="5" t="s">
        <v>3897</v>
      </c>
    </row>
    <row r="2844" spans="1:15" x14ac:dyDescent="0.25">
      <c r="A2844" s="4" t="s">
        <v>2857</v>
      </c>
      <c r="B2844" s="2" t="s">
        <v>3303</v>
      </c>
      <c r="C2844" s="2" t="s">
        <v>3869</v>
      </c>
      <c r="D2844" s="2" t="s">
        <v>3880</v>
      </c>
      <c r="E2844" s="3">
        <v>45378</v>
      </c>
      <c r="F2844" s="3">
        <v>45665</v>
      </c>
      <c r="G2844" s="2" t="s">
        <v>3884</v>
      </c>
      <c r="H2844" s="2">
        <v>554948</v>
      </c>
      <c r="I2844" s="2">
        <v>897414</v>
      </c>
      <c r="J2844" s="2" t="s">
        <v>3892</v>
      </c>
      <c r="K2844" s="2" t="s">
        <v>3895</v>
      </c>
      <c r="L2844" s="2">
        <v>2023</v>
      </c>
      <c r="M2844" s="2">
        <v>-342466</v>
      </c>
      <c r="N2844" s="2">
        <f xml:space="preserve"> (Table1[[#This Row],[Variance (USD)]] / Table1[[#This Row],[Actual Spending (USD)]]) * 100</f>
        <v>-38.161428281707217</v>
      </c>
      <c r="O2844" s="5" t="s">
        <v>3897</v>
      </c>
    </row>
    <row r="2845" spans="1:15" x14ac:dyDescent="0.25">
      <c r="A2845" s="4" t="s">
        <v>2858</v>
      </c>
      <c r="B2845" s="2" t="s">
        <v>3725</v>
      </c>
      <c r="C2845" s="2" t="s">
        <v>3873</v>
      </c>
      <c r="D2845" s="2" t="s">
        <v>3883</v>
      </c>
      <c r="E2845" s="3">
        <v>45031</v>
      </c>
      <c r="F2845" s="3">
        <v>45913</v>
      </c>
      <c r="G2845" s="2" t="s">
        <v>3885</v>
      </c>
      <c r="H2845" s="2">
        <v>655848</v>
      </c>
      <c r="I2845" s="2">
        <v>838344</v>
      </c>
      <c r="J2845" s="2" t="s">
        <v>3892</v>
      </c>
      <c r="K2845" s="2" t="s">
        <v>3893</v>
      </c>
      <c r="L2845" s="2">
        <v>2024</v>
      </c>
      <c r="M2845" s="2">
        <v>-182496</v>
      </c>
      <c r="N2845" s="2">
        <f xml:space="preserve"> (Table1[[#This Row],[Variance (USD)]] / Table1[[#This Row],[Actual Spending (USD)]]) * 100</f>
        <v>-21.768629584037104</v>
      </c>
      <c r="O2845" s="5" t="s">
        <v>3898</v>
      </c>
    </row>
    <row r="2846" spans="1:15" x14ac:dyDescent="0.25">
      <c r="A2846" s="4" t="s">
        <v>2859</v>
      </c>
      <c r="B2846" s="2" t="s">
        <v>3517</v>
      </c>
      <c r="C2846" s="2" t="s">
        <v>3869</v>
      </c>
      <c r="D2846" s="2" t="s">
        <v>3882</v>
      </c>
      <c r="E2846" s="3">
        <v>45076</v>
      </c>
      <c r="F2846" s="3">
        <v>45747</v>
      </c>
      <c r="G2846" s="2" t="s">
        <v>3885</v>
      </c>
      <c r="H2846" s="2">
        <v>409579</v>
      </c>
      <c r="I2846" s="2">
        <v>784927</v>
      </c>
      <c r="J2846" s="2" t="s">
        <v>3892</v>
      </c>
      <c r="K2846" s="2" t="s">
        <v>3893</v>
      </c>
      <c r="L2846" s="2">
        <v>2024</v>
      </c>
      <c r="M2846" s="2">
        <v>-375348</v>
      </c>
      <c r="N2846" s="2">
        <f xml:space="preserve"> (Table1[[#This Row],[Variance (USD)]] / Table1[[#This Row],[Actual Spending (USD)]]) * 100</f>
        <v>-47.81947875407522</v>
      </c>
      <c r="O2846" s="5" t="s">
        <v>3898</v>
      </c>
    </row>
    <row r="2847" spans="1:15" x14ac:dyDescent="0.25">
      <c r="A2847" s="4" t="s">
        <v>2860</v>
      </c>
      <c r="B2847" s="2" t="s">
        <v>3032</v>
      </c>
      <c r="C2847" s="2" t="s">
        <v>3873</v>
      </c>
      <c r="D2847" s="2" t="s">
        <v>3881</v>
      </c>
      <c r="E2847" s="3">
        <v>45072</v>
      </c>
      <c r="F2847" s="3">
        <v>45379</v>
      </c>
      <c r="G2847" s="2" t="s">
        <v>3885</v>
      </c>
      <c r="H2847" s="2">
        <v>643571</v>
      </c>
      <c r="I2847" s="2">
        <v>674927</v>
      </c>
      <c r="J2847" s="2" t="s">
        <v>3889</v>
      </c>
      <c r="K2847" s="2" t="s">
        <v>3894</v>
      </c>
      <c r="L2847" s="2">
        <v>2023</v>
      </c>
      <c r="M2847" s="2">
        <v>-31356</v>
      </c>
      <c r="N2847" s="2">
        <f xml:space="preserve"> (Table1[[#This Row],[Variance (USD)]] / Table1[[#This Row],[Actual Spending (USD)]]) * 100</f>
        <v>-4.6458357718686614</v>
      </c>
      <c r="O2847" s="5" t="s">
        <v>3898</v>
      </c>
    </row>
    <row r="2848" spans="1:15" x14ac:dyDescent="0.25">
      <c r="A2848" s="4" t="s">
        <v>2861</v>
      </c>
      <c r="B2848" s="2" t="s">
        <v>3859</v>
      </c>
      <c r="C2848" s="2" t="s">
        <v>3875</v>
      </c>
      <c r="D2848" s="2" t="s">
        <v>3877</v>
      </c>
      <c r="E2848" s="3">
        <v>45642</v>
      </c>
      <c r="F2848" s="3">
        <v>45311</v>
      </c>
      <c r="G2848" s="2" t="s">
        <v>3884</v>
      </c>
      <c r="H2848" s="2">
        <v>59297</v>
      </c>
      <c r="I2848" s="2">
        <v>196587</v>
      </c>
      <c r="J2848" s="2" t="s">
        <v>3891</v>
      </c>
      <c r="K2848" s="2" t="s">
        <v>3894</v>
      </c>
      <c r="L2848" s="2">
        <v>2025</v>
      </c>
      <c r="M2848" s="2">
        <v>-137290</v>
      </c>
      <c r="N2848" s="2">
        <f xml:space="preserve"> (Table1[[#This Row],[Variance (USD)]] / Table1[[#This Row],[Actual Spending (USD)]]) * 100</f>
        <v>-69.83676438421665</v>
      </c>
      <c r="O2848" s="5" t="s">
        <v>3897</v>
      </c>
    </row>
    <row r="2849" spans="1:15" x14ac:dyDescent="0.25">
      <c r="A2849" s="4" t="s">
        <v>2862</v>
      </c>
      <c r="B2849" s="2" t="s">
        <v>3750</v>
      </c>
      <c r="C2849" s="2" t="s">
        <v>3875</v>
      </c>
      <c r="D2849" s="2" t="s">
        <v>3879</v>
      </c>
      <c r="E2849" s="3">
        <v>45225</v>
      </c>
      <c r="F2849" s="3">
        <v>45305</v>
      </c>
      <c r="G2849" s="2" t="s">
        <v>3886</v>
      </c>
      <c r="H2849" s="2">
        <v>114005</v>
      </c>
      <c r="I2849" s="2">
        <v>438632</v>
      </c>
      <c r="J2849" s="2" t="s">
        <v>3892</v>
      </c>
      <c r="K2849" s="2" t="s">
        <v>3896</v>
      </c>
      <c r="L2849" s="2">
        <v>2025</v>
      </c>
      <c r="M2849" s="2">
        <v>-324627</v>
      </c>
      <c r="N2849" s="2">
        <f xml:space="preserve"> (Table1[[#This Row],[Variance (USD)]] / Table1[[#This Row],[Actual Spending (USD)]]) * 100</f>
        <v>-74.008964234255586</v>
      </c>
      <c r="O2849" s="5" t="s">
        <v>3899</v>
      </c>
    </row>
    <row r="2850" spans="1:15" x14ac:dyDescent="0.25">
      <c r="A2850" s="4" t="s">
        <v>2863</v>
      </c>
      <c r="B2850" s="2" t="s">
        <v>3373</v>
      </c>
      <c r="C2850" s="2" t="s">
        <v>3871</v>
      </c>
      <c r="D2850" s="2" t="s">
        <v>3877</v>
      </c>
      <c r="E2850" s="3">
        <v>45093</v>
      </c>
      <c r="F2850" s="3">
        <v>45424</v>
      </c>
      <c r="G2850" s="2" t="s">
        <v>3884</v>
      </c>
      <c r="H2850" s="2">
        <v>965265</v>
      </c>
      <c r="I2850" s="2">
        <v>204847</v>
      </c>
      <c r="J2850" s="2" t="s">
        <v>3891</v>
      </c>
      <c r="K2850" s="2" t="s">
        <v>3896</v>
      </c>
      <c r="L2850" s="2">
        <v>2023</v>
      </c>
      <c r="M2850" s="2">
        <v>760418</v>
      </c>
      <c r="N2850" s="2">
        <f xml:space="preserve"> (Table1[[#This Row],[Variance (USD)]] / Table1[[#This Row],[Actual Spending (USD)]]) * 100</f>
        <v>371.21266115686342</v>
      </c>
      <c r="O2850" s="5" t="s">
        <v>3897</v>
      </c>
    </row>
    <row r="2851" spans="1:15" x14ac:dyDescent="0.25">
      <c r="A2851" s="4" t="s">
        <v>2864</v>
      </c>
      <c r="B2851" s="2" t="s">
        <v>3213</v>
      </c>
      <c r="C2851" s="2" t="s">
        <v>3872</v>
      </c>
      <c r="D2851" s="2" t="s">
        <v>3882</v>
      </c>
      <c r="E2851" s="3">
        <v>45639</v>
      </c>
      <c r="F2851" s="3">
        <v>45325</v>
      </c>
      <c r="G2851" s="2" t="s">
        <v>3886</v>
      </c>
      <c r="H2851" s="2">
        <v>239506</v>
      </c>
      <c r="I2851" s="2">
        <v>394211</v>
      </c>
      <c r="J2851" s="2" t="s">
        <v>3889</v>
      </c>
      <c r="K2851" s="2" t="s">
        <v>3896</v>
      </c>
      <c r="L2851" s="2">
        <v>2024</v>
      </c>
      <c r="M2851" s="2">
        <v>-154705</v>
      </c>
      <c r="N2851" s="2">
        <f xml:space="preserve"> (Table1[[#This Row],[Variance (USD)]] / Table1[[#This Row],[Actual Spending (USD)]]) * 100</f>
        <v>-39.244211856087226</v>
      </c>
      <c r="O2851" s="5" t="s">
        <v>3899</v>
      </c>
    </row>
    <row r="2852" spans="1:15" x14ac:dyDescent="0.25">
      <c r="A2852" s="4" t="s">
        <v>2865</v>
      </c>
      <c r="B2852" s="2" t="s">
        <v>3729</v>
      </c>
      <c r="C2852" s="2" t="s">
        <v>3873</v>
      </c>
      <c r="D2852" s="2" t="s">
        <v>3880</v>
      </c>
      <c r="E2852" s="3">
        <v>45572</v>
      </c>
      <c r="F2852" s="3">
        <v>45499</v>
      </c>
      <c r="G2852" s="2" t="s">
        <v>3884</v>
      </c>
      <c r="H2852" s="2">
        <v>444823</v>
      </c>
      <c r="I2852" s="2">
        <v>269891</v>
      </c>
      <c r="J2852" s="2" t="s">
        <v>3891</v>
      </c>
      <c r="K2852" s="2" t="s">
        <v>3893</v>
      </c>
      <c r="L2852" s="2">
        <v>2024</v>
      </c>
      <c r="M2852" s="2">
        <v>174932</v>
      </c>
      <c r="N2852" s="2">
        <f xml:space="preserve"> (Table1[[#This Row],[Variance (USD)]] / Table1[[#This Row],[Actual Spending (USD)]]) * 100</f>
        <v>64.815796006535976</v>
      </c>
      <c r="O2852" s="5" t="s">
        <v>3897</v>
      </c>
    </row>
    <row r="2853" spans="1:15" x14ac:dyDescent="0.25">
      <c r="A2853" s="4" t="s">
        <v>2866</v>
      </c>
      <c r="B2853" s="2" t="s">
        <v>3544</v>
      </c>
      <c r="C2853" s="2" t="s">
        <v>3874</v>
      </c>
      <c r="D2853" s="2" t="s">
        <v>3881</v>
      </c>
      <c r="E2853" s="3">
        <v>45649</v>
      </c>
      <c r="F2853" s="3">
        <v>45490</v>
      </c>
      <c r="G2853" s="2" t="s">
        <v>3884</v>
      </c>
      <c r="H2853" s="2">
        <v>704942</v>
      </c>
      <c r="I2853" s="2">
        <v>849432</v>
      </c>
      <c r="J2853" s="2" t="s">
        <v>3891</v>
      </c>
      <c r="K2853" s="2" t="s">
        <v>3894</v>
      </c>
      <c r="L2853" s="2">
        <v>2025</v>
      </c>
      <c r="M2853" s="2">
        <v>-144490</v>
      </c>
      <c r="N2853" s="2">
        <f xml:space="preserve"> (Table1[[#This Row],[Variance (USD)]] / Table1[[#This Row],[Actual Spending (USD)]]) * 100</f>
        <v>-17.010190338955912</v>
      </c>
      <c r="O2853" s="5" t="s">
        <v>3897</v>
      </c>
    </row>
    <row r="2854" spans="1:15" x14ac:dyDescent="0.25">
      <c r="A2854" s="4" t="s">
        <v>2867</v>
      </c>
      <c r="B2854" s="2" t="s">
        <v>3724</v>
      </c>
      <c r="C2854" s="2" t="s">
        <v>3871</v>
      </c>
      <c r="D2854" s="2" t="s">
        <v>3876</v>
      </c>
      <c r="E2854" s="3">
        <v>44974</v>
      </c>
      <c r="F2854" s="3">
        <v>45883</v>
      </c>
      <c r="G2854" s="2" t="s">
        <v>3886</v>
      </c>
      <c r="H2854" s="2">
        <v>240255</v>
      </c>
      <c r="I2854" s="2">
        <v>867685</v>
      </c>
      <c r="J2854" s="2" t="s">
        <v>3892</v>
      </c>
      <c r="K2854" s="2" t="s">
        <v>3896</v>
      </c>
      <c r="L2854" s="2">
        <v>2023</v>
      </c>
      <c r="M2854" s="2">
        <v>-627430</v>
      </c>
      <c r="N2854" s="2">
        <f xml:space="preserve"> (Table1[[#This Row],[Variance (USD)]] / Table1[[#This Row],[Actual Spending (USD)]]) * 100</f>
        <v>-72.310804036026894</v>
      </c>
      <c r="O2854" s="5" t="s">
        <v>3899</v>
      </c>
    </row>
    <row r="2855" spans="1:15" x14ac:dyDescent="0.25">
      <c r="A2855" s="4" t="s">
        <v>2868</v>
      </c>
      <c r="B2855" s="2" t="s">
        <v>3766</v>
      </c>
      <c r="C2855" s="2" t="s">
        <v>3873</v>
      </c>
      <c r="D2855" s="2" t="s">
        <v>3881</v>
      </c>
      <c r="E2855" s="3">
        <v>45564</v>
      </c>
      <c r="F2855" s="3">
        <v>45874</v>
      </c>
      <c r="G2855" s="2" t="s">
        <v>3884</v>
      </c>
      <c r="H2855" s="2">
        <v>661282</v>
      </c>
      <c r="I2855" s="2">
        <v>665136</v>
      </c>
      <c r="J2855" s="2" t="s">
        <v>3888</v>
      </c>
      <c r="K2855" s="2" t="s">
        <v>3893</v>
      </c>
      <c r="L2855" s="2">
        <v>2025</v>
      </c>
      <c r="M2855" s="2">
        <v>-3854</v>
      </c>
      <c r="N2855" s="2">
        <f xml:space="preserve"> (Table1[[#This Row],[Variance (USD)]] / Table1[[#This Row],[Actual Spending (USD)]]) * 100</f>
        <v>-0.57943037213442061</v>
      </c>
      <c r="O2855" s="5" t="s">
        <v>3897</v>
      </c>
    </row>
    <row r="2856" spans="1:15" x14ac:dyDescent="0.25">
      <c r="A2856" s="4" t="s">
        <v>2869</v>
      </c>
      <c r="B2856" s="2" t="s">
        <v>3110</v>
      </c>
      <c r="C2856" s="2" t="s">
        <v>3871</v>
      </c>
      <c r="D2856" s="2" t="s">
        <v>3879</v>
      </c>
      <c r="E2856" s="3">
        <v>45165</v>
      </c>
      <c r="F2856" s="3">
        <v>45446</v>
      </c>
      <c r="G2856" s="2" t="s">
        <v>3884</v>
      </c>
      <c r="H2856" s="2">
        <v>106305</v>
      </c>
      <c r="I2856" s="2">
        <v>675209</v>
      </c>
      <c r="J2856" s="2" t="s">
        <v>3890</v>
      </c>
      <c r="K2856" s="2" t="s">
        <v>3896</v>
      </c>
      <c r="L2856" s="2">
        <v>2025</v>
      </c>
      <c r="M2856" s="2">
        <v>-568904</v>
      </c>
      <c r="N2856" s="2">
        <f xml:space="preserve"> (Table1[[#This Row],[Variance (USD)]] / Table1[[#This Row],[Actual Spending (USD)]]) * 100</f>
        <v>-84.255985924358228</v>
      </c>
      <c r="O2856" s="5" t="s">
        <v>3897</v>
      </c>
    </row>
    <row r="2857" spans="1:15" x14ac:dyDescent="0.25">
      <c r="A2857" s="4" t="s">
        <v>2870</v>
      </c>
      <c r="B2857" s="2" t="s">
        <v>3185</v>
      </c>
      <c r="C2857" s="2" t="s">
        <v>3875</v>
      </c>
      <c r="D2857" s="2" t="s">
        <v>3877</v>
      </c>
      <c r="E2857" s="3">
        <v>44933</v>
      </c>
      <c r="F2857" s="3">
        <v>45881</v>
      </c>
      <c r="G2857" s="2" t="s">
        <v>3884</v>
      </c>
      <c r="H2857" s="2">
        <v>733333</v>
      </c>
      <c r="I2857" s="2">
        <v>275398</v>
      </c>
      <c r="J2857" s="2" t="s">
        <v>3889</v>
      </c>
      <c r="K2857" s="2" t="s">
        <v>3895</v>
      </c>
      <c r="L2857" s="2">
        <v>2023</v>
      </c>
      <c r="M2857" s="2">
        <v>457935</v>
      </c>
      <c r="N2857" s="2">
        <f xml:space="preserve"> (Table1[[#This Row],[Variance (USD)]] / Table1[[#This Row],[Actual Spending (USD)]]) * 100</f>
        <v>166.281163988119</v>
      </c>
      <c r="O2857" s="5" t="s">
        <v>3897</v>
      </c>
    </row>
    <row r="2858" spans="1:15" x14ac:dyDescent="0.25">
      <c r="A2858" s="4" t="s">
        <v>2871</v>
      </c>
      <c r="B2858" s="2" t="s">
        <v>3380</v>
      </c>
      <c r="C2858" s="2" t="s">
        <v>3869</v>
      </c>
      <c r="D2858" s="2" t="s">
        <v>3877</v>
      </c>
      <c r="E2858" s="3">
        <v>45390</v>
      </c>
      <c r="F2858" s="3">
        <v>45369</v>
      </c>
      <c r="G2858" s="2" t="s">
        <v>3884</v>
      </c>
      <c r="H2858" s="2">
        <v>990621</v>
      </c>
      <c r="I2858" s="2">
        <v>367330</v>
      </c>
      <c r="J2858" s="2" t="s">
        <v>3889</v>
      </c>
      <c r="K2858" s="2" t="s">
        <v>3893</v>
      </c>
      <c r="L2858" s="2">
        <v>2025</v>
      </c>
      <c r="M2858" s="2">
        <v>623291</v>
      </c>
      <c r="N2858" s="2">
        <f xml:space="preserve"> (Table1[[#This Row],[Variance (USD)]] / Table1[[#This Row],[Actual Spending (USD)]]) * 100</f>
        <v>169.68148531293389</v>
      </c>
      <c r="O2858" s="5" t="s">
        <v>3897</v>
      </c>
    </row>
    <row r="2859" spans="1:15" x14ac:dyDescent="0.25">
      <c r="A2859" s="4" t="s">
        <v>2872</v>
      </c>
      <c r="B2859" s="2" t="s">
        <v>3045</v>
      </c>
      <c r="C2859" s="2" t="s">
        <v>3870</v>
      </c>
      <c r="D2859" s="2" t="s">
        <v>3878</v>
      </c>
      <c r="E2859" s="3">
        <v>45379</v>
      </c>
      <c r="F2859" s="3">
        <v>45463</v>
      </c>
      <c r="G2859" s="2" t="s">
        <v>3884</v>
      </c>
      <c r="H2859" s="2">
        <v>263058</v>
      </c>
      <c r="I2859" s="2">
        <v>252832</v>
      </c>
      <c r="J2859" s="2" t="s">
        <v>3889</v>
      </c>
      <c r="K2859" s="2" t="s">
        <v>3896</v>
      </c>
      <c r="L2859" s="2">
        <v>2024</v>
      </c>
      <c r="M2859" s="2">
        <v>10226</v>
      </c>
      <c r="N2859" s="2">
        <f xml:space="preserve"> (Table1[[#This Row],[Variance (USD)]] / Table1[[#This Row],[Actual Spending (USD)]]) * 100</f>
        <v>4.0445829641817488</v>
      </c>
      <c r="O2859" s="5" t="s">
        <v>3897</v>
      </c>
    </row>
    <row r="2860" spans="1:15" x14ac:dyDescent="0.25">
      <c r="A2860" s="4" t="s">
        <v>2873</v>
      </c>
      <c r="B2860" s="2" t="s">
        <v>3553</v>
      </c>
      <c r="C2860" s="2" t="s">
        <v>3871</v>
      </c>
      <c r="D2860" s="2" t="s">
        <v>3883</v>
      </c>
      <c r="E2860" s="3">
        <v>45297</v>
      </c>
      <c r="F2860" s="3">
        <v>45580</v>
      </c>
      <c r="G2860" s="2" t="s">
        <v>3884</v>
      </c>
      <c r="H2860" s="2">
        <v>786431</v>
      </c>
      <c r="I2860" s="2">
        <v>622237</v>
      </c>
      <c r="J2860" s="2" t="s">
        <v>3890</v>
      </c>
      <c r="K2860" s="2" t="s">
        <v>3896</v>
      </c>
      <c r="L2860" s="2">
        <v>2025</v>
      </c>
      <c r="M2860" s="2">
        <v>164194</v>
      </c>
      <c r="N2860" s="2">
        <f xml:space="preserve"> (Table1[[#This Row],[Variance (USD)]] / Table1[[#This Row],[Actual Spending (USD)]]) * 100</f>
        <v>26.387694720821809</v>
      </c>
      <c r="O2860" s="5" t="s">
        <v>3897</v>
      </c>
    </row>
    <row r="2861" spans="1:15" x14ac:dyDescent="0.25">
      <c r="A2861" s="4" t="s">
        <v>2874</v>
      </c>
      <c r="B2861" s="2" t="s">
        <v>3046</v>
      </c>
      <c r="C2861" s="2" t="s">
        <v>3873</v>
      </c>
      <c r="D2861" s="2" t="s">
        <v>3879</v>
      </c>
      <c r="E2861" s="3">
        <v>45475</v>
      </c>
      <c r="F2861" s="3">
        <v>45836</v>
      </c>
      <c r="G2861" s="2" t="s">
        <v>3884</v>
      </c>
      <c r="H2861" s="2">
        <v>959120</v>
      </c>
      <c r="I2861" s="2">
        <v>1184906</v>
      </c>
      <c r="J2861" s="2" t="s">
        <v>3888</v>
      </c>
      <c r="K2861" s="2" t="s">
        <v>3895</v>
      </c>
      <c r="L2861" s="2">
        <v>2023</v>
      </c>
      <c r="M2861" s="2">
        <v>-225786</v>
      </c>
      <c r="N2861" s="2">
        <f xml:space="preserve"> (Table1[[#This Row],[Variance (USD)]] / Table1[[#This Row],[Actual Spending (USD)]]) * 100</f>
        <v>-19.055182436412675</v>
      </c>
      <c r="O2861" s="5" t="s">
        <v>3897</v>
      </c>
    </row>
    <row r="2862" spans="1:15" x14ac:dyDescent="0.25">
      <c r="A2862" s="4" t="s">
        <v>2875</v>
      </c>
      <c r="B2862" s="2" t="s">
        <v>3669</v>
      </c>
      <c r="C2862" s="2" t="s">
        <v>3873</v>
      </c>
      <c r="D2862" s="2" t="s">
        <v>3878</v>
      </c>
      <c r="E2862" s="3">
        <v>45413</v>
      </c>
      <c r="F2862" s="3">
        <v>45711</v>
      </c>
      <c r="G2862" s="2" t="s">
        <v>3884</v>
      </c>
      <c r="H2862" s="2">
        <v>275963</v>
      </c>
      <c r="I2862" s="2">
        <v>1182298</v>
      </c>
      <c r="J2862" s="2" t="s">
        <v>3891</v>
      </c>
      <c r="K2862" s="2" t="s">
        <v>3895</v>
      </c>
      <c r="L2862" s="2">
        <v>2024</v>
      </c>
      <c r="M2862" s="2">
        <v>-906335</v>
      </c>
      <c r="N2862" s="2">
        <f xml:space="preserve"> (Table1[[#This Row],[Variance (USD)]] / Table1[[#This Row],[Actual Spending (USD)]]) * 100</f>
        <v>-76.658761158354324</v>
      </c>
      <c r="O2862" s="5" t="s">
        <v>3897</v>
      </c>
    </row>
    <row r="2863" spans="1:15" x14ac:dyDescent="0.25">
      <c r="A2863" s="4" t="s">
        <v>2876</v>
      </c>
      <c r="B2863" s="2" t="s">
        <v>3523</v>
      </c>
      <c r="C2863" s="2" t="s">
        <v>3870</v>
      </c>
      <c r="D2863" s="2" t="s">
        <v>3881</v>
      </c>
      <c r="E2863" s="3">
        <v>45137</v>
      </c>
      <c r="F2863" s="3">
        <v>45298</v>
      </c>
      <c r="G2863" s="2" t="s">
        <v>3887</v>
      </c>
      <c r="H2863" s="2">
        <v>844077</v>
      </c>
      <c r="I2863" s="2">
        <v>59854</v>
      </c>
      <c r="J2863" s="2" t="s">
        <v>3889</v>
      </c>
      <c r="K2863" s="2" t="s">
        <v>3896</v>
      </c>
      <c r="L2863" s="2">
        <v>2024</v>
      </c>
      <c r="M2863" s="2">
        <v>784223</v>
      </c>
      <c r="N2863" s="2">
        <f xml:space="preserve"> (Table1[[#This Row],[Variance (USD)]] / Table1[[#This Row],[Actual Spending (USD)]]) * 100</f>
        <v>1310.2265512747686</v>
      </c>
      <c r="O2863" s="5" t="s">
        <v>3900</v>
      </c>
    </row>
    <row r="2864" spans="1:15" x14ac:dyDescent="0.25">
      <c r="A2864" s="4" t="s">
        <v>2877</v>
      </c>
      <c r="B2864" s="2" t="s">
        <v>3597</v>
      </c>
      <c r="C2864" s="2" t="s">
        <v>3872</v>
      </c>
      <c r="D2864" s="2" t="s">
        <v>3876</v>
      </c>
      <c r="E2864" s="3">
        <v>45091</v>
      </c>
      <c r="F2864" s="3">
        <v>45451</v>
      </c>
      <c r="G2864" s="2" t="s">
        <v>3884</v>
      </c>
      <c r="H2864" s="2">
        <v>878670</v>
      </c>
      <c r="I2864" s="2">
        <v>1175318</v>
      </c>
      <c r="J2864" s="2" t="s">
        <v>3891</v>
      </c>
      <c r="K2864" s="2" t="s">
        <v>3896</v>
      </c>
      <c r="L2864" s="2">
        <v>2025</v>
      </c>
      <c r="M2864" s="2">
        <v>-296648</v>
      </c>
      <c r="N2864" s="2">
        <f xml:space="preserve"> (Table1[[#This Row],[Variance (USD)]] / Table1[[#This Row],[Actual Spending (USD)]]) * 100</f>
        <v>-25.239807439348326</v>
      </c>
      <c r="O2864" s="5" t="s">
        <v>3897</v>
      </c>
    </row>
    <row r="2865" spans="1:15" x14ac:dyDescent="0.25">
      <c r="A2865" s="4" t="s">
        <v>2878</v>
      </c>
      <c r="B2865" s="2" t="s">
        <v>3088</v>
      </c>
      <c r="C2865" s="2" t="s">
        <v>3874</v>
      </c>
      <c r="D2865" s="2" t="s">
        <v>3883</v>
      </c>
      <c r="E2865" s="3">
        <v>45051</v>
      </c>
      <c r="F2865" s="3">
        <v>45531</v>
      </c>
      <c r="G2865" s="2" t="s">
        <v>3884</v>
      </c>
      <c r="H2865" s="2">
        <v>643982</v>
      </c>
      <c r="I2865" s="2">
        <v>673913</v>
      </c>
      <c r="J2865" s="2" t="s">
        <v>3892</v>
      </c>
      <c r="K2865" s="2" t="s">
        <v>3894</v>
      </c>
      <c r="L2865" s="2">
        <v>2024</v>
      </c>
      <c r="M2865" s="2">
        <v>-29931</v>
      </c>
      <c r="N2865" s="2">
        <f xml:space="preserve"> (Table1[[#This Row],[Variance (USD)]] / Table1[[#This Row],[Actual Spending (USD)]]) * 100</f>
        <v>-4.4413744800886761</v>
      </c>
      <c r="O2865" s="5" t="s">
        <v>3897</v>
      </c>
    </row>
    <row r="2866" spans="1:15" x14ac:dyDescent="0.25">
      <c r="A2866" s="4" t="s">
        <v>2879</v>
      </c>
      <c r="B2866" s="2" t="s">
        <v>3375</v>
      </c>
      <c r="C2866" s="2" t="s">
        <v>3875</v>
      </c>
      <c r="D2866" s="2" t="s">
        <v>3879</v>
      </c>
      <c r="E2866" s="3">
        <v>45263</v>
      </c>
      <c r="F2866" s="3">
        <v>45714</v>
      </c>
      <c r="G2866" s="2" t="s">
        <v>3884</v>
      </c>
      <c r="H2866" s="2">
        <v>747133</v>
      </c>
      <c r="I2866" s="2">
        <v>459581</v>
      </c>
      <c r="J2866" s="2" t="s">
        <v>3892</v>
      </c>
      <c r="K2866" s="2" t="s">
        <v>3896</v>
      </c>
      <c r="L2866" s="2">
        <v>2023</v>
      </c>
      <c r="M2866" s="2">
        <v>287552</v>
      </c>
      <c r="N2866" s="2">
        <f xml:space="preserve"> (Table1[[#This Row],[Variance (USD)]] / Table1[[#This Row],[Actual Spending (USD)]]) * 100</f>
        <v>62.568295904312841</v>
      </c>
      <c r="O2866" s="5" t="s">
        <v>3897</v>
      </c>
    </row>
    <row r="2867" spans="1:15" x14ac:dyDescent="0.25">
      <c r="A2867" s="4" t="s">
        <v>2880</v>
      </c>
      <c r="B2867" s="2" t="s">
        <v>3527</v>
      </c>
      <c r="C2867" s="2" t="s">
        <v>3873</v>
      </c>
      <c r="D2867" s="2" t="s">
        <v>3877</v>
      </c>
      <c r="E2867" s="3">
        <v>45118</v>
      </c>
      <c r="F2867" s="3">
        <v>45827</v>
      </c>
      <c r="G2867" s="2" t="s">
        <v>3885</v>
      </c>
      <c r="H2867" s="2">
        <v>328930</v>
      </c>
      <c r="I2867" s="2">
        <v>882588</v>
      </c>
      <c r="J2867" s="2" t="s">
        <v>3892</v>
      </c>
      <c r="K2867" s="2" t="s">
        <v>3896</v>
      </c>
      <c r="L2867" s="2">
        <v>2025</v>
      </c>
      <c r="M2867" s="2">
        <v>-553658</v>
      </c>
      <c r="N2867" s="2">
        <f xml:space="preserve"> (Table1[[#This Row],[Variance (USD)]] / Table1[[#This Row],[Actual Spending (USD)]]) * 100</f>
        <v>-62.731195076298341</v>
      </c>
      <c r="O2867" s="5" t="s">
        <v>3898</v>
      </c>
    </row>
    <row r="2868" spans="1:15" x14ac:dyDescent="0.25">
      <c r="A2868" s="4" t="s">
        <v>2881</v>
      </c>
      <c r="B2868" s="2" t="s">
        <v>3330</v>
      </c>
      <c r="C2868" s="2" t="s">
        <v>3868</v>
      </c>
      <c r="D2868" s="2" t="s">
        <v>3881</v>
      </c>
      <c r="E2868" s="3">
        <v>45656</v>
      </c>
      <c r="F2868" s="3">
        <v>46017</v>
      </c>
      <c r="G2868" s="2" t="s">
        <v>3886</v>
      </c>
      <c r="H2868" s="2">
        <v>90693</v>
      </c>
      <c r="I2868" s="2">
        <v>151232</v>
      </c>
      <c r="J2868" s="2" t="s">
        <v>3889</v>
      </c>
      <c r="K2868" s="2" t="s">
        <v>3894</v>
      </c>
      <c r="L2868" s="2">
        <v>2024</v>
      </c>
      <c r="M2868" s="2">
        <v>-60539</v>
      </c>
      <c r="N2868" s="2">
        <f xml:space="preserve"> (Table1[[#This Row],[Variance (USD)]] / Table1[[#This Row],[Actual Spending (USD)]]) * 100</f>
        <v>-40.030549090139658</v>
      </c>
      <c r="O2868" s="5" t="s">
        <v>3899</v>
      </c>
    </row>
    <row r="2869" spans="1:15" x14ac:dyDescent="0.25">
      <c r="A2869" s="4" t="s">
        <v>2882</v>
      </c>
      <c r="B2869" s="2" t="s">
        <v>3356</v>
      </c>
      <c r="C2869" s="2" t="s">
        <v>3869</v>
      </c>
      <c r="D2869" s="2" t="s">
        <v>3879</v>
      </c>
      <c r="E2869" s="3">
        <v>45140</v>
      </c>
      <c r="F2869" s="3">
        <v>45361</v>
      </c>
      <c r="G2869" s="2" t="s">
        <v>3884</v>
      </c>
      <c r="H2869" s="2">
        <v>932879</v>
      </c>
      <c r="I2869" s="2">
        <v>742084</v>
      </c>
      <c r="J2869" s="2" t="s">
        <v>3890</v>
      </c>
      <c r="K2869" s="2" t="s">
        <v>3894</v>
      </c>
      <c r="L2869" s="2">
        <v>2023</v>
      </c>
      <c r="M2869" s="2">
        <v>190795</v>
      </c>
      <c r="N2869" s="2">
        <f xml:space="preserve"> (Table1[[#This Row],[Variance (USD)]] / Table1[[#This Row],[Actual Spending (USD)]]) * 100</f>
        <v>25.710701214417774</v>
      </c>
      <c r="O2869" s="5" t="s">
        <v>3897</v>
      </c>
    </row>
    <row r="2870" spans="1:15" x14ac:dyDescent="0.25">
      <c r="A2870" s="4" t="s">
        <v>2883</v>
      </c>
      <c r="B2870" s="2" t="s">
        <v>3733</v>
      </c>
      <c r="C2870" s="2" t="s">
        <v>3871</v>
      </c>
      <c r="D2870" s="2" t="s">
        <v>3877</v>
      </c>
      <c r="E2870" s="3">
        <v>45500</v>
      </c>
      <c r="F2870" s="3">
        <v>45507</v>
      </c>
      <c r="G2870" s="2" t="s">
        <v>3886</v>
      </c>
      <c r="H2870" s="2">
        <v>469794</v>
      </c>
      <c r="I2870" s="2">
        <v>307599</v>
      </c>
      <c r="J2870" s="2" t="s">
        <v>3889</v>
      </c>
      <c r="K2870" s="2" t="s">
        <v>3896</v>
      </c>
      <c r="L2870" s="2">
        <v>2025</v>
      </c>
      <c r="M2870" s="2">
        <v>162195</v>
      </c>
      <c r="N2870" s="2">
        <f xml:space="preserve"> (Table1[[#This Row],[Variance (USD)]] / Table1[[#This Row],[Actual Spending (USD)]]) * 100</f>
        <v>52.729365179990829</v>
      </c>
      <c r="O2870" s="5" t="s">
        <v>3899</v>
      </c>
    </row>
    <row r="2871" spans="1:15" x14ac:dyDescent="0.25">
      <c r="A2871" s="4" t="s">
        <v>2884</v>
      </c>
      <c r="B2871" s="2" t="s">
        <v>3118</v>
      </c>
      <c r="C2871" s="2" t="s">
        <v>3872</v>
      </c>
      <c r="D2871" s="2" t="s">
        <v>3882</v>
      </c>
      <c r="E2871" s="3">
        <v>45254</v>
      </c>
      <c r="F2871" s="3">
        <v>45395</v>
      </c>
      <c r="G2871" s="2" t="s">
        <v>3886</v>
      </c>
      <c r="H2871" s="2">
        <v>643990</v>
      </c>
      <c r="I2871" s="2">
        <v>773106</v>
      </c>
      <c r="J2871" s="2" t="s">
        <v>3892</v>
      </c>
      <c r="K2871" s="2" t="s">
        <v>3894</v>
      </c>
      <c r="L2871" s="2">
        <v>2023</v>
      </c>
      <c r="M2871" s="2">
        <v>-129116</v>
      </c>
      <c r="N2871" s="2">
        <f xml:space="preserve"> (Table1[[#This Row],[Variance (USD)]] / Table1[[#This Row],[Actual Spending (USD)]]) * 100</f>
        <v>-16.700943984395415</v>
      </c>
      <c r="O2871" s="5" t="s">
        <v>3899</v>
      </c>
    </row>
    <row r="2872" spans="1:15" x14ac:dyDescent="0.25">
      <c r="A2872" s="4" t="s">
        <v>2885</v>
      </c>
      <c r="B2872" s="2" t="s">
        <v>3200</v>
      </c>
      <c r="C2872" s="2" t="s">
        <v>3874</v>
      </c>
      <c r="D2872" s="2" t="s">
        <v>3883</v>
      </c>
      <c r="E2872" s="3">
        <v>45307</v>
      </c>
      <c r="F2872" s="3">
        <v>46018</v>
      </c>
      <c r="G2872" s="2" t="s">
        <v>3886</v>
      </c>
      <c r="H2872" s="2">
        <v>396989</v>
      </c>
      <c r="I2872" s="2">
        <v>995177</v>
      </c>
      <c r="J2872" s="2" t="s">
        <v>3892</v>
      </c>
      <c r="K2872" s="2" t="s">
        <v>3893</v>
      </c>
      <c r="L2872" s="2">
        <v>2024</v>
      </c>
      <c r="M2872" s="2">
        <v>-598188</v>
      </c>
      <c r="N2872" s="2">
        <f xml:space="preserve"> (Table1[[#This Row],[Variance (USD)]] / Table1[[#This Row],[Actual Spending (USD)]]) * 100</f>
        <v>-60.108704280746039</v>
      </c>
      <c r="O2872" s="5" t="s">
        <v>3899</v>
      </c>
    </row>
    <row r="2873" spans="1:15" x14ac:dyDescent="0.25">
      <c r="A2873" s="4" t="s">
        <v>2886</v>
      </c>
      <c r="B2873" s="2" t="s">
        <v>3537</v>
      </c>
      <c r="C2873" s="2" t="s">
        <v>3870</v>
      </c>
      <c r="D2873" s="2" t="s">
        <v>3882</v>
      </c>
      <c r="E2873" s="3">
        <v>45599</v>
      </c>
      <c r="F2873" s="3">
        <v>45345</v>
      </c>
      <c r="G2873" s="2" t="s">
        <v>3886</v>
      </c>
      <c r="H2873" s="2">
        <v>851508</v>
      </c>
      <c r="I2873" s="2">
        <v>829111</v>
      </c>
      <c r="J2873" s="2" t="s">
        <v>3889</v>
      </c>
      <c r="K2873" s="2" t="s">
        <v>3895</v>
      </c>
      <c r="L2873" s="2">
        <v>2025</v>
      </c>
      <c r="M2873" s="2">
        <v>22397</v>
      </c>
      <c r="N2873" s="2">
        <f xml:space="preserve"> (Table1[[#This Row],[Variance (USD)]] / Table1[[#This Row],[Actual Spending (USD)]]) * 100</f>
        <v>2.7013270840695638</v>
      </c>
      <c r="O2873" s="5" t="s">
        <v>3899</v>
      </c>
    </row>
    <row r="2874" spans="1:15" x14ac:dyDescent="0.25">
      <c r="A2874" s="4" t="s">
        <v>2887</v>
      </c>
      <c r="B2874" s="2" t="s">
        <v>3435</v>
      </c>
      <c r="C2874" s="2" t="s">
        <v>3869</v>
      </c>
      <c r="D2874" s="2" t="s">
        <v>3882</v>
      </c>
      <c r="E2874" s="3">
        <v>45504</v>
      </c>
      <c r="F2874" s="3">
        <v>45621</v>
      </c>
      <c r="G2874" s="2" t="s">
        <v>3885</v>
      </c>
      <c r="H2874" s="2">
        <v>855809</v>
      </c>
      <c r="I2874" s="2">
        <v>57429</v>
      </c>
      <c r="J2874" s="2" t="s">
        <v>3890</v>
      </c>
      <c r="K2874" s="2" t="s">
        <v>3893</v>
      </c>
      <c r="L2874" s="2">
        <v>2025</v>
      </c>
      <c r="M2874" s="2">
        <v>798380</v>
      </c>
      <c r="N2874" s="2">
        <f xml:space="preserve"> (Table1[[#This Row],[Variance (USD)]] / Table1[[#This Row],[Actual Spending (USD)]]) * 100</f>
        <v>1390.2035556948579</v>
      </c>
      <c r="O2874" s="5" t="s">
        <v>3898</v>
      </c>
    </row>
    <row r="2875" spans="1:15" x14ac:dyDescent="0.25">
      <c r="A2875" s="4" t="s">
        <v>2888</v>
      </c>
      <c r="B2875" s="2" t="s">
        <v>3037</v>
      </c>
      <c r="C2875" s="2" t="s">
        <v>3875</v>
      </c>
      <c r="D2875" s="2" t="s">
        <v>3877</v>
      </c>
      <c r="E2875" s="3">
        <v>45165</v>
      </c>
      <c r="F2875" s="3">
        <v>45494</v>
      </c>
      <c r="G2875" s="2" t="s">
        <v>3885</v>
      </c>
      <c r="H2875" s="2">
        <v>714638</v>
      </c>
      <c r="I2875" s="2">
        <v>310217</v>
      </c>
      <c r="J2875" s="2" t="s">
        <v>3890</v>
      </c>
      <c r="K2875" s="2" t="s">
        <v>3895</v>
      </c>
      <c r="L2875" s="2">
        <v>2024</v>
      </c>
      <c r="M2875" s="2">
        <v>404421</v>
      </c>
      <c r="N2875" s="2">
        <f xml:space="preserve"> (Table1[[#This Row],[Variance (USD)]] / Table1[[#This Row],[Actual Spending (USD)]]) * 100</f>
        <v>130.3671301057002</v>
      </c>
      <c r="O2875" s="5" t="s">
        <v>3898</v>
      </c>
    </row>
    <row r="2876" spans="1:15" x14ac:dyDescent="0.25">
      <c r="A2876" s="4" t="s">
        <v>2889</v>
      </c>
      <c r="B2876" s="2" t="s">
        <v>3473</v>
      </c>
      <c r="C2876" s="2" t="s">
        <v>3872</v>
      </c>
      <c r="D2876" s="2" t="s">
        <v>3876</v>
      </c>
      <c r="E2876" s="3">
        <v>45458</v>
      </c>
      <c r="F2876" s="3">
        <v>45579</v>
      </c>
      <c r="G2876" s="2" t="s">
        <v>3886</v>
      </c>
      <c r="H2876" s="2">
        <v>508024</v>
      </c>
      <c r="I2876" s="2">
        <v>624495</v>
      </c>
      <c r="J2876" s="2" t="s">
        <v>3891</v>
      </c>
      <c r="K2876" s="2" t="s">
        <v>3895</v>
      </c>
      <c r="L2876" s="2">
        <v>2023</v>
      </c>
      <c r="M2876" s="2">
        <v>-116471</v>
      </c>
      <c r="N2876" s="2">
        <f xml:space="preserve"> (Table1[[#This Row],[Variance (USD)]] / Table1[[#This Row],[Actual Spending (USD)]]) * 100</f>
        <v>-18.650429547074037</v>
      </c>
      <c r="O2876" s="5" t="s">
        <v>3899</v>
      </c>
    </row>
    <row r="2877" spans="1:15" x14ac:dyDescent="0.25">
      <c r="A2877" s="4" t="s">
        <v>2890</v>
      </c>
      <c r="B2877" s="2" t="s">
        <v>3587</v>
      </c>
      <c r="C2877" s="2" t="s">
        <v>3874</v>
      </c>
      <c r="D2877" s="2" t="s">
        <v>3881</v>
      </c>
      <c r="E2877" s="3">
        <v>45626</v>
      </c>
      <c r="F2877" s="3">
        <v>45336</v>
      </c>
      <c r="G2877" s="2" t="s">
        <v>3884</v>
      </c>
      <c r="H2877" s="2">
        <v>570436</v>
      </c>
      <c r="I2877" s="2">
        <v>60365</v>
      </c>
      <c r="J2877" s="2" t="s">
        <v>3888</v>
      </c>
      <c r="K2877" s="2" t="s">
        <v>3896</v>
      </c>
      <c r="L2877" s="2">
        <v>2024</v>
      </c>
      <c r="M2877" s="2">
        <v>510071</v>
      </c>
      <c r="N2877" s="2">
        <f xml:space="preserve"> (Table1[[#This Row],[Variance (USD)]] / Table1[[#This Row],[Actual Spending (USD)]]) * 100</f>
        <v>844.9780501946492</v>
      </c>
      <c r="O2877" s="5" t="s">
        <v>3897</v>
      </c>
    </row>
    <row r="2878" spans="1:15" x14ac:dyDescent="0.25">
      <c r="A2878" s="4" t="s">
        <v>2891</v>
      </c>
      <c r="B2878" s="2" t="s">
        <v>3508</v>
      </c>
      <c r="C2878" s="2" t="s">
        <v>3871</v>
      </c>
      <c r="D2878" s="2" t="s">
        <v>3880</v>
      </c>
      <c r="E2878" s="3">
        <v>45008</v>
      </c>
      <c r="F2878" s="3">
        <v>45489</v>
      </c>
      <c r="G2878" s="2" t="s">
        <v>3886</v>
      </c>
      <c r="H2878" s="2">
        <v>439512</v>
      </c>
      <c r="I2878" s="2">
        <v>1003432</v>
      </c>
      <c r="J2878" s="2" t="s">
        <v>3892</v>
      </c>
      <c r="K2878" s="2" t="s">
        <v>3895</v>
      </c>
      <c r="L2878" s="2">
        <v>2025</v>
      </c>
      <c r="M2878" s="2">
        <v>-563920</v>
      </c>
      <c r="N2878" s="2">
        <f xml:space="preserve"> (Table1[[#This Row],[Variance (USD)]] / Table1[[#This Row],[Actual Spending (USD)]]) * 100</f>
        <v>-56.199124604357841</v>
      </c>
      <c r="O2878" s="5" t="s">
        <v>3899</v>
      </c>
    </row>
    <row r="2879" spans="1:15" x14ac:dyDescent="0.25">
      <c r="A2879" s="4" t="s">
        <v>2892</v>
      </c>
      <c r="B2879" s="2" t="s">
        <v>3451</v>
      </c>
      <c r="C2879" s="2" t="s">
        <v>3871</v>
      </c>
      <c r="D2879" s="2" t="s">
        <v>3877</v>
      </c>
      <c r="E2879" s="3">
        <v>45289</v>
      </c>
      <c r="F2879" s="3">
        <v>45507</v>
      </c>
      <c r="G2879" s="2" t="s">
        <v>3885</v>
      </c>
      <c r="H2879" s="2">
        <v>607827</v>
      </c>
      <c r="I2879" s="2">
        <v>797263</v>
      </c>
      <c r="J2879" s="2" t="s">
        <v>3890</v>
      </c>
      <c r="K2879" s="2" t="s">
        <v>3893</v>
      </c>
      <c r="L2879" s="2">
        <v>2025</v>
      </c>
      <c r="M2879" s="2">
        <v>-189436</v>
      </c>
      <c r="N2879" s="2">
        <f xml:space="preserve"> (Table1[[#This Row],[Variance (USD)]] / Table1[[#This Row],[Actual Spending (USD)]]) * 100</f>
        <v>-23.76079160828986</v>
      </c>
      <c r="O2879" s="5" t="s">
        <v>3898</v>
      </c>
    </row>
    <row r="2880" spans="1:15" x14ac:dyDescent="0.25">
      <c r="A2880" s="4" t="s">
        <v>2893</v>
      </c>
      <c r="B2880" s="2" t="s">
        <v>3442</v>
      </c>
      <c r="C2880" s="2" t="s">
        <v>3870</v>
      </c>
      <c r="D2880" s="2" t="s">
        <v>3876</v>
      </c>
      <c r="E2880" s="3">
        <v>45431</v>
      </c>
      <c r="F2880" s="3">
        <v>45772</v>
      </c>
      <c r="G2880" s="2" t="s">
        <v>3884</v>
      </c>
      <c r="H2880" s="2">
        <v>700840</v>
      </c>
      <c r="I2880" s="2">
        <v>890885</v>
      </c>
      <c r="J2880" s="2" t="s">
        <v>3892</v>
      </c>
      <c r="K2880" s="2" t="s">
        <v>3896</v>
      </c>
      <c r="L2880" s="2">
        <v>2024</v>
      </c>
      <c r="M2880" s="2">
        <v>-190045</v>
      </c>
      <c r="N2880" s="2">
        <f xml:space="preserve"> (Table1[[#This Row],[Variance (USD)]] / Table1[[#This Row],[Actual Spending (USD)]]) * 100</f>
        <v>-21.332158471632141</v>
      </c>
      <c r="O2880" s="5" t="s">
        <v>3897</v>
      </c>
    </row>
    <row r="2881" spans="1:15" x14ac:dyDescent="0.25">
      <c r="A2881" s="4" t="s">
        <v>2894</v>
      </c>
      <c r="B2881" s="2" t="s">
        <v>3114</v>
      </c>
      <c r="C2881" s="2" t="s">
        <v>3868</v>
      </c>
      <c r="D2881" s="2" t="s">
        <v>3880</v>
      </c>
      <c r="E2881" s="3">
        <v>45128</v>
      </c>
      <c r="F2881" s="3">
        <v>45600</v>
      </c>
      <c r="G2881" s="2" t="s">
        <v>3887</v>
      </c>
      <c r="H2881" s="2">
        <v>192512</v>
      </c>
      <c r="I2881" s="2">
        <v>136657</v>
      </c>
      <c r="J2881" s="2" t="s">
        <v>3888</v>
      </c>
      <c r="K2881" s="2" t="s">
        <v>3894</v>
      </c>
      <c r="L2881" s="2">
        <v>2023</v>
      </c>
      <c r="M2881" s="2">
        <v>55855</v>
      </c>
      <c r="N2881" s="2">
        <f xml:space="preserve"> (Table1[[#This Row],[Variance (USD)]] / Table1[[#This Row],[Actual Spending (USD)]]) * 100</f>
        <v>40.872403169980316</v>
      </c>
      <c r="O2881" s="5" t="s">
        <v>3900</v>
      </c>
    </row>
    <row r="2882" spans="1:15" x14ac:dyDescent="0.25">
      <c r="A2882" s="4" t="s">
        <v>2895</v>
      </c>
      <c r="B2882" s="2" t="s">
        <v>3158</v>
      </c>
      <c r="C2882" s="2" t="s">
        <v>3870</v>
      </c>
      <c r="D2882" s="2" t="s">
        <v>3881</v>
      </c>
      <c r="E2882" s="3">
        <v>45430</v>
      </c>
      <c r="F2882" s="3">
        <v>45726</v>
      </c>
      <c r="G2882" s="2" t="s">
        <v>3884</v>
      </c>
      <c r="H2882" s="2">
        <v>338389</v>
      </c>
      <c r="I2882" s="2">
        <v>1086360</v>
      </c>
      <c r="J2882" s="2" t="s">
        <v>3892</v>
      </c>
      <c r="K2882" s="2" t="s">
        <v>3893</v>
      </c>
      <c r="L2882" s="2">
        <v>2024</v>
      </c>
      <c r="M2882" s="2">
        <v>-747971</v>
      </c>
      <c r="N2882" s="2">
        <f xml:space="preserve"> (Table1[[#This Row],[Variance (USD)]] / Table1[[#This Row],[Actual Spending (USD)]]) * 100</f>
        <v>-68.851117493280313</v>
      </c>
      <c r="O2882" s="5" t="s">
        <v>3897</v>
      </c>
    </row>
    <row r="2883" spans="1:15" x14ac:dyDescent="0.25">
      <c r="A2883" s="4" t="s">
        <v>2896</v>
      </c>
      <c r="B2883" s="2" t="s">
        <v>3636</v>
      </c>
      <c r="C2883" s="2" t="s">
        <v>3875</v>
      </c>
      <c r="D2883" s="2" t="s">
        <v>3882</v>
      </c>
      <c r="E2883" s="3">
        <v>45570</v>
      </c>
      <c r="F2883" s="3">
        <v>45623</v>
      </c>
      <c r="G2883" s="2" t="s">
        <v>3884</v>
      </c>
      <c r="H2883" s="2">
        <v>989601</v>
      </c>
      <c r="I2883" s="2">
        <v>1046466</v>
      </c>
      <c r="J2883" s="2" t="s">
        <v>3890</v>
      </c>
      <c r="K2883" s="2" t="s">
        <v>3896</v>
      </c>
      <c r="L2883" s="2">
        <v>2023</v>
      </c>
      <c r="M2883" s="2">
        <v>-56865</v>
      </c>
      <c r="N2883" s="2">
        <f xml:space="preserve"> (Table1[[#This Row],[Variance (USD)]] / Table1[[#This Row],[Actual Spending (USD)]]) * 100</f>
        <v>-5.4340035892231571</v>
      </c>
      <c r="O2883" s="5" t="s">
        <v>3897</v>
      </c>
    </row>
    <row r="2884" spans="1:15" x14ac:dyDescent="0.25">
      <c r="A2884" s="4" t="s">
        <v>2897</v>
      </c>
      <c r="B2884" s="2" t="s">
        <v>3391</v>
      </c>
      <c r="C2884" s="2" t="s">
        <v>3872</v>
      </c>
      <c r="D2884" s="2" t="s">
        <v>3883</v>
      </c>
      <c r="E2884" s="3">
        <v>44963</v>
      </c>
      <c r="F2884" s="3">
        <v>45987</v>
      </c>
      <c r="G2884" s="2" t="s">
        <v>3885</v>
      </c>
      <c r="H2884" s="2">
        <v>779063</v>
      </c>
      <c r="I2884" s="2">
        <v>281428</v>
      </c>
      <c r="J2884" s="2" t="s">
        <v>3891</v>
      </c>
      <c r="K2884" s="2" t="s">
        <v>3895</v>
      </c>
      <c r="L2884" s="2">
        <v>2023</v>
      </c>
      <c r="M2884" s="2">
        <v>497635</v>
      </c>
      <c r="N2884" s="2">
        <f xml:space="preserve"> (Table1[[#This Row],[Variance (USD)]] / Table1[[#This Row],[Actual Spending (USD)]]) * 100</f>
        <v>176.82497832482909</v>
      </c>
      <c r="O2884" s="5" t="s">
        <v>3898</v>
      </c>
    </row>
    <row r="2885" spans="1:15" x14ac:dyDescent="0.25">
      <c r="A2885" s="4" t="s">
        <v>2898</v>
      </c>
      <c r="B2885" s="2" t="s">
        <v>3622</v>
      </c>
      <c r="C2885" s="2" t="s">
        <v>3872</v>
      </c>
      <c r="D2885" s="2" t="s">
        <v>3883</v>
      </c>
      <c r="E2885" s="3">
        <v>45570</v>
      </c>
      <c r="F2885" s="3">
        <v>45318</v>
      </c>
      <c r="G2885" s="2" t="s">
        <v>3884</v>
      </c>
      <c r="H2885" s="2">
        <v>903524</v>
      </c>
      <c r="I2885" s="2">
        <v>675201</v>
      </c>
      <c r="J2885" s="2" t="s">
        <v>3889</v>
      </c>
      <c r="K2885" s="2" t="s">
        <v>3893</v>
      </c>
      <c r="L2885" s="2">
        <v>2025</v>
      </c>
      <c r="M2885" s="2">
        <v>228323</v>
      </c>
      <c r="N2885" s="2">
        <f xml:space="preserve"> (Table1[[#This Row],[Variance (USD)]] / Table1[[#This Row],[Actual Spending (USD)]]) * 100</f>
        <v>33.815560107286572</v>
      </c>
      <c r="O2885" s="5" t="s">
        <v>3897</v>
      </c>
    </row>
    <row r="2886" spans="1:15" x14ac:dyDescent="0.25">
      <c r="A2886" s="4" t="s">
        <v>2899</v>
      </c>
      <c r="B2886" s="2" t="s">
        <v>3784</v>
      </c>
      <c r="C2886" s="2" t="s">
        <v>3873</v>
      </c>
      <c r="D2886" s="2" t="s">
        <v>3881</v>
      </c>
      <c r="E2886" s="3">
        <v>45515</v>
      </c>
      <c r="F2886" s="3">
        <v>45457</v>
      </c>
      <c r="G2886" s="2" t="s">
        <v>3884</v>
      </c>
      <c r="H2886" s="2">
        <v>421598</v>
      </c>
      <c r="I2886" s="2">
        <v>550715</v>
      </c>
      <c r="J2886" s="2" t="s">
        <v>3889</v>
      </c>
      <c r="K2886" s="2" t="s">
        <v>3895</v>
      </c>
      <c r="L2886" s="2">
        <v>2023</v>
      </c>
      <c r="M2886" s="2">
        <v>-129117</v>
      </c>
      <c r="N2886" s="2">
        <f xml:space="preserve"> (Table1[[#This Row],[Variance (USD)]] / Table1[[#This Row],[Actual Spending (USD)]]) * 100</f>
        <v>-23.445339240805136</v>
      </c>
      <c r="O2886" s="5" t="s">
        <v>3897</v>
      </c>
    </row>
    <row r="2887" spans="1:15" x14ac:dyDescent="0.25">
      <c r="A2887" s="4" t="s">
        <v>2900</v>
      </c>
      <c r="B2887" s="2" t="s">
        <v>3805</v>
      </c>
      <c r="C2887" s="2" t="s">
        <v>3868</v>
      </c>
      <c r="D2887" s="2" t="s">
        <v>3881</v>
      </c>
      <c r="E2887" s="3">
        <v>45527</v>
      </c>
      <c r="F2887" s="3">
        <v>45609</v>
      </c>
      <c r="G2887" s="2" t="s">
        <v>3884</v>
      </c>
      <c r="H2887" s="2">
        <v>968655</v>
      </c>
      <c r="I2887" s="2">
        <v>173363</v>
      </c>
      <c r="J2887" s="2" t="s">
        <v>3890</v>
      </c>
      <c r="K2887" s="2" t="s">
        <v>3896</v>
      </c>
      <c r="L2887" s="2">
        <v>2025</v>
      </c>
      <c r="M2887" s="2">
        <v>795292</v>
      </c>
      <c r="N2887" s="2">
        <f xml:space="preserve"> (Table1[[#This Row],[Variance (USD)]] / Table1[[#This Row],[Actual Spending (USD)]]) * 100</f>
        <v>458.74379192791997</v>
      </c>
      <c r="O2887" s="5" t="s">
        <v>3897</v>
      </c>
    </row>
    <row r="2888" spans="1:15" x14ac:dyDescent="0.25">
      <c r="A2888" s="4" t="s">
        <v>2901</v>
      </c>
      <c r="B2888" s="2" t="s">
        <v>3144</v>
      </c>
      <c r="C2888" s="2" t="s">
        <v>3868</v>
      </c>
      <c r="D2888" s="2" t="s">
        <v>3879</v>
      </c>
      <c r="E2888" s="3">
        <v>45328</v>
      </c>
      <c r="F2888" s="3">
        <v>45565</v>
      </c>
      <c r="G2888" s="2" t="s">
        <v>3884</v>
      </c>
      <c r="H2888" s="2">
        <v>727058</v>
      </c>
      <c r="I2888" s="2">
        <v>507678</v>
      </c>
      <c r="J2888" s="2" t="s">
        <v>3890</v>
      </c>
      <c r="K2888" s="2" t="s">
        <v>3896</v>
      </c>
      <c r="L2888" s="2">
        <v>2023</v>
      </c>
      <c r="M2888" s="2">
        <v>219380</v>
      </c>
      <c r="N2888" s="2">
        <f xml:space="preserve"> (Table1[[#This Row],[Variance (USD)]] / Table1[[#This Row],[Actual Spending (USD)]]) * 100</f>
        <v>43.212429926055492</v>
      </c>
      <c r="O2888" s="5" t="s">
        <v>3897</v>
      </c>
    </row>
    <row r="2889" spans="1:15" x14ac:dyDescent="0.25">
      <c r="A2889" s="4" t="s">
        <v>2902</v>
      </c>
      <c r="B2889" s="2" t="s">
        <v>3766</v>
      </c>
      <c r="C2889" s="2" t="s">
        <v>3872</v>
      </c>
      <c r="D2889" s="2" t="s">
        <v>3876</v>
      </c>
      <c r="E2889" s="3">
        <v>45632</v>
      </c>
      <c r="F2889" s="3">
        <v>45674</v>
      </c>
      <c r="G2889" s="2" t="s">
        <v>3884</v>
      </c>
      <c r="H2889" s="2">
        <v>722961</v>
      </c>
      <c r="I2889" s="2">
        <v>842586</v>
      </c>
      <c r="J2889" s="2" t="s">
        <v>3888</v>
      </c>
      <c r="K2889" s="2" t="s">
        <v>3894</v>
      </c>
      <c r="L2889" s="2">
        <v>2023</v>
      </c>
      <c r="M2889" s="2">
        <v>-119625</v>
      </c>
      <c r="N2889" s="2">
        <f xml:space="preserve"> (Table1[[#This Row],[Variance (USD)]] / Table1[[#This Row],[Actual Spending (USD)]]) * 100</f>
        <v>-14.197363829923592</v>
      </c>
      <c r="O2889" s="5" t="s">
        <v>3897</v>
      </c>
    </row>
    <row r="2890" spans="1:15" x14ac:dyDescent="0.25">
      <c r="A2890" s="4" t="s">
        <v>2903</v>
      </c>
      <c r="B2890" s="2" t="s">
        <v>3377</v>
      </c>
      <c r="C2890" s="2" t="s">
        <v>3872</v>
      </c>
      <c r="D2890" s="2" t="s">
        <v>3882</v>
      </c>
      <c r="E2890" s="3">
        <v>45102</v>
      </c>
      <c r="F2890" s="3">
        <v>45656</v>
      </c>
      <c r="G2890" s="2" t="s">
        <v>3884</v>
      </c>
      <c r="H2890" s="2">
        <v>207879</v>
      </c>
      <c r="I2890" s="2">
        <v>535092</v>
      </c>
      <c r="J2890" s="2" t="s">
        <v>3892</v>
      </c>
      <c r="K2890" s="2" t="s">
        <v>3894</v>
      </c>
      <c r="L2890" s="2">
        <v>2025</v>
      </c>
      <c r="M2890" s="2">
        <v>-327213</v>
      </c>
      <c r="N2890" s="2">
        <f xml:space="preserve"> (Table1[[#This Row],[Variance (USD)]] / Table1[[#This Row],[Actual Spending (USD)]]) * 100</f>
        <v>-61.150792760871028</v>
      </c>
      <c r="O2890" s="5" t="s">
        <v>3897</v>
      </c>
    </row>
    <row r="2891" spans="1:15" x14ac:dyDescent="0.25">
      <c r="A2891" s="4" t="s">
        <v>2904</v>
      </c>
      <c r="B2891" s="2" t="s">
        <v>3386</v>
      </c>
      <c r="C2891" s="2" t="s">
        <v>3869</v>
      </c>
      <c r="D2891" s="2" t="s">
        <v>3876</v>
      </c>
      <c r="E2891" s="3">
        <v>45471</v>
      </c>
      <c r="F2891" s="3">
        <v>45394</v>
      </c>
      <c r="G2891" s="2" t="s">
        <v>3884</v>
      </c>
      <c r="H2891" s="2">
        <v>750662</v>
      </c>
      <c r="I2891" s="2">
        <v>263420</v>
      </c>
      <c r="J2891" s="2" t="s">
        <v>3888</v>
      </c>
      <c r="K2891" s="2" t="s">
        <v>3893</v>
      </c>
      <c r="L2891" s="2">
        <v>2023</v>
      </c>
      <c r="M2891" s="2">
        <v>487242</v>
      </c>
      <c r="N2891" s="2">
        <f xml:space="preserve"> (Table1[[#This Row],[Variance (USD)]] / Table1[[#This Row],[Actual Spending (USD)]]) * 100</f>
        <v>184.96773213878976</v>
      </c>
      <c r="O2891" s="5" t="s">
        <v>3897</v>
      </c>
    </row>
    <row r="2892" spans="1:15" x14ac:dyDescent="0.25">
      <c r="A2892" s="4" t="s">
        <v>2905</v>
      </c>
      <c r="B2892" s="2" t="s">
        <v>3076</v>
      </c>
      <c r="C2892" s="2" t="s">
        <v>3874</v>
      </c>
      <c r="D2892" s="2" t="s">
        <v>3881</v>
      </c>
      <c r="E2892" s="3">
        <v>45496</v>
      </c>
      <c r="F2892" s="3">
        <v>45794</v>
      </c>
      <c r="G2892" s="2" t="s">
        <v>3887</v>
      </c>
      <c r="H2892" s="2">
        <v>266936</v>
      </c>
      <c r="I2892" s="2">
        <v>1174406</v>
      </c>
      <c r="J2892" s="2" t="s">
        <v>3889</v>
      </c>
      <c r="K2892" s="2" t="s">
        <v>3894</v>
      </c>
      <c r="L2892" s="2">
        <v>2024</v>
      </c>
      <c r="M2892" s="2">
        <v>-907470</v>
      </c>
      <c r="N2892" s="2">
        <f xml:space="preserve"> (Table1[[#This Row],[Variance (USD)]] / Table1[[#This Row],[Actual Spending (USD)]]) * 100</f>
        <v>-77.270552091866023</v>
      </c>
      <c r="O2892" s="5" t="s">
        <v>3900</v>
      </c>
    </row>
    <row r="2893" spans="1:15" x14ac:dyDescent="0.25">
      <c r="A2893" s="4" t="s">
        <v>2906</v>
      </c>
      <c r="B2893" s="2" t="s">
        <v>3860</v>
      </c>
      <c r="C2893" s="2" t="s">
        <v>3869</v>
      </c>
      <c r="D2893" s="2" t="s">
        <v>3878</v>
      </c>
      <c r="E2893" s="3">
        <v>45393</v>
      </c>
      <c r="F2893" s="3">
        <v>45664</v>
      </c>
      <c r="G2893" s="2" t="s">
        <v>3887</v>
      </c>
      <c r="H2893" s="2">
        <v>713399</v>
      </c>
      <c r="I2893" s="2">
        <v>328345</v>
      </c>
      <c r="J2893" s="2" t="s">
        <v>3892</v>
      </c>
      <c r="K2893" s="2" t="s">
        <v>3895</v>
      </c>
      <c r="L2893" s="2">
        <v>2023</v>
      </c>
      <c r="M2893" s="2">
        <v>385054</v>
      </c>
      <c r="N2893" s="2">
        <f xml:space="preserve"> (Table1[[#This Row],[Variance (USD)]] / Table1[[#This Row],[Actual Spending (USD)]]) * 100</f>
        <v>117.27116295360062</v>
      </c>
      <c r="O2893" s="5" t="s">
        <v>3900</v>
      </c>
    </row>
    <row r="2894" spans="1:15" x14ac:dyDescent="0.25">
      <c r="A2894" s="4" t="s">
        <v>2907</v>
      </c>
      <c r="B2894" s="2" t="s">
        <v>3065</v>
      </c>
      <c r="C2894" s="2" t="s">
        <v>3869</v>
      </c>
      <c r="D2894" s="2" t="s">
        <v>3878</v>
      </c>
      <c r="E2894" s="3">
        <v>45127</v>
      </c>
      <c r="F2894" s="3">
        <v>45907</v>
      </c>
      <c r="G2894" s="2" t="s">
        <v>3884</v>
      </c>
      <c r="H2894" s="2">
        <v>559946</v>
      </c>
      <c r="I2894" s="2">
        <v>462695</v>
      </c>
      <c r="J2894" s="2" t="s">
        <v>3888</v>
      </c>
      <c r="K2894" s="2" t="s">
        <v>3895</v>
      </c>
      <c r="L2894" s="2">
        <v>2025</v>
      </c>
      <c r="M2894" s="2">
        <v>97251</v>
      </c>
      <c r="N2894" s="2">
        <f xml:space="preserve"> (Table1[[#This Row],[Variance (USD)]] / Table1[[#This Row],[Actual Spending (USD)]]) * 100</f>
        <v>21.018381439176995</v>
      </c>
      <c r="O2894" s="5" t="s">
        <v>3897</v>
      </c>
    </row>
    <row r="2895" spans="1:15" x14ac:dyDescent="0.25">
      <c r="A2895" s="4" t="s">
        <v>2908</v>
      </c>
      <c r="B2895" s="2" t="s">
        <v>3148</v>
      </c>
      <c r="C2895" s="2" t="s">
        <v>3868</v>
      </c>
      <c r="D2895" s="2" t="s">
        <v>3880</v>
      </c>
      <c r="E2895" s="3">
        <v>45466</v>
      </c>
      <c r="F2895" s="3">
        <v>45536</v>
      </c>
      <c r="G2895" s="2" t="s">
        <v>3886</v>
      </c>
      <c r="H2895" s="2">
        <v>359571</v>
      </c>
      <c r="I2895" s="2">
        <v>1151496</v>
      </c>
      <c r="J2895" s="2" t="s">
        <v>3889</v>
      </c>
      <c r="K2895" s="2" t="s">
        <v>3894</v>
      </c>
      <c r="L2895" s="2">
        <v>2025</v>
      </c>
      <c r="M2895" s="2">
        <v>-791925</v>
      </c>
      <c r="N2895" s="2">
        <f xml:space="preserve"> (Table1[[#This Row],[Variance (USD)]] / Table1[[#This Row],[Actual Spending (USD)]]) * 100</f>
        <v>-68.773578023718713</v>
      </c>
      <c r="O2895" s="5" t="s">
        <v>3899</v>
      </c>
    </row>
    <row r="2896" spans="1:15" x14ac:dyDescent="0.25">
      <c r="A2896" s="4" t="s">
        <v>2909</v>
      </c>
      <c r="B2896" s="2" t="s">
        <v>3458</v>
      </c>
      <c r="C2896" s="2" t="s">
        <v>3873</v>
      </c>
      <c r="D2896" s="2" t="s">
        <v>3880</v>
      </c>
      <c r="E2896" s="3">
        <v>45473</v>
      </c>
      <c r="F2896" s="3">
        <v>45460</v>
      </c>
      <c r="G2896" s="2" t="s">
        <v>3884</v>
      </c>
      <c r="H2896" s="2">
        <v>908271</v>
      </c>
      <c r="I2896" s="2">
        <v>243869</v>
      </c>
      <c r="J2896" s="2" t="s">
        <v>3892</v>
      </c>
      <c r="K2896" s="2" t="s">
        <v>3894</v>
      </c>
      <c r="L2896" s="2">
        <v>2024</v>
      </c>
      <c r="M2896" s="2">
        <v>664402</v>
      </c>
      <c r="N2896" s="2">
        <f xml:space="preserve"> (Table1[[#This Row],[Variance (USD)]] / Table1[[#This Row],[Actual Spending (USD)]]) * 100</f>
        <v>272.44217182175674</v>
      </c>
      <c r="O2896" s="5" t="s">
        <v>3897</v>
      </c>
    </row>
    <row r="2897" spans="1:15" x14ac:dyDescent="0.25">
      <c r="A2897" s="4" t="s">
        <v>2910</v>
      </c>
      <c r="B2897" s="2" t="s">
        <v>3573</v>
      </c>
      <c r="C2897" s="2" t="s">
        <v>3871</v>
      </c>
      <c r="D2897" s="2" t="s">
        <v>3878</v>
      </c>
      <c r="E2897" s="3">
        <v>45563</v>
      </c>
      <c r="F2897" s="3">
        <v>45919</v>
      </c>
      <c r="G2897" s="2" t="s">
        <v>3884</v>
      </c>
      <c r="H2897" s="2">
        <v>763409</v>
      </c>
      <c r="I2897" s="2">
        <v>491811</v>
      </c>
      <c r="J2897" s="2" t="s">
        <v>3891</v>
      </c>
      <c r="K2897" s="2" t="s">
        <v>3894</v>
      </c>
      <c r="L2897" s="2">
        <v>2023</v>
      </c>
      <c r="M2897" s="2">
        <v>271598</v>
      </c>
      <c r="N2897" s="2">
        <f xml:space="preserve"> (Table1[[#This Row],[Variance (USD)]] / Table1[[#This Row],[Actual Spending (USD)]]) * 100</f>
        <v>55.224059648930179</v>
      </c>
      <c r="O2897" s="5" t="s">
        <v>3897</v>
      </c>
    </row>
    <row r="2898" spans="1:15" x14ac:dyDescent="0.25">
      <c r="A2898" s="4" t="s">
        <v>2911</v>
      </c>
      <c r="B2898" s="2" t="s">
        <v>3052</v>
      </c>
      <c r="C2898" s="2" t="s">
        <v>3869</v>
      </c>
      <c r="D2898" s="2" t="s">
        <v>3881</v>
      </c>
      <c r="E2898" s="3">
        <v>45320</v>
      </c>
      <c r="F2898" s="3">
        <v>45944</v>
      </c>
      <c r="G2898" s="2" t="s">
        <v>3884</v>
      </c>
      <c r="H2898" s="2">
        <v>462269</v>
      </c>
      <c r="I2898" s="2">
        <v>717094</v>
      </c>
      <c r="J2898" s="2" t="s">
        <v>3891</v>
      </c>
      <c r="K2898" s="2" t="s">
        <v>3893</v>
      </c>
      <c r="L2898" s="2">
        <v>2024</v>
      </c>
      <c r="M2898" s="2">
        <v>-254825</v>
      </c>
      <c r="N2898" s="2">
        <f xml:space="preserve"> (Table1[[#This Row],[Variance (USD)]] / Table1[[#This Row],[Actual Spending (USD)]]) * 100</f>
        <v>-35.535787497873358</v>
      </c>
      <c r="O2898" s="5" t="s">
        <v>3897</v>
      </c>
    </row>
    <row r="2899" spans="1:15" x14ac:dyDescent="0.25">
      <c r="A2899" s="4" t="s">
        <v>2912</v>
      </c>
      <c r="B2899" s="2" t="s">
        <v>3503</v>
      </c>
      <c r="C2899" s="2" t="s">
        <v>3873</v>
      </c>
      <c r="D2899" s="2" t="s">
        <v>3881</v>
      </c>
      <c r="E2899" s="3">
        <v>44968</v>
      </c>
      <c r="F2899" s="3">
        <v>45709</v>
      </c>
      <c r="G2899" s="2" t="s">
        <v>3887</v>
      </c>
      <c r="H2899" s="2">
        <v>278252</v>
      </c>
      <c r="I2899" s="2">
        <v>774287</v>
      </c>
      <c r="J2899" s="2" t="s">
        <v>3888</v>
      </c>
      <c r="K2899" s="2" t="s">
        <v>3893</v>
      </c>
      <c r="L2899" s="2">
        <v>2023</v>
      </c>
      <c r="M2899" s="2">
        <v>-496035</v>
      </c>
      <c r="N2899" s="2">
        <f xml:space="preserve"> (Table1[[#This Row],[Variance (USD)]] / Table1[[#This Row],[Actual Spending (USD)]]) * 100</f>
        <v>-64.063454507178861</v>
      </c>
      <c r="O2899" s="5" t="s">
        <v>3900</v>
      </c>
    </row>
    <row r="2900" spans="1:15" x14ac:dyDescent="0.25">
      <c r="A2900" s="4" t="s">
        <v>2913</v>
      </c>
      <c r="B2900" s="2" t="s">
        <v>3735</v>
      </c>
      <c r="C2900" s="2" t="s">
        <v>3870</v>
      </c>
      <c r="D2900" s="2" t="s">
        <v>3880</v>
      </c>
      <c r="E2900" s="3">
        <v>45523</v>
      </c>
      <c r="F2900" s="3">
        <v>45647</v>
      </c>
      <c r="G2900" s="2" t="s">
        <v>3885</v>
      </c>
      <c r="H2900" s="2">
        <v>428945</v>
      </c>
      <c r="I2900" s="2">
        <v>1160027</v>
      </c>
      <c r="J2900" s="2" t="s">
        <v>3890</v>
      </c>
      <c r="K2900" s="2" t="s">
        <v>3895</v>
      </c>
      <c r="L2900" s="2">
        <v>2024</v>
      </c>
      <c r="M2900" s="2">
        <v>-731082</v>
      </c>
      <c r="N2900" s="2">
        <f xml:space="preserve"> (Table1[[#This Row],[Variance (USD)]] / Table1[[#This Row],[Actual Spending (USD)]]) * 100</f>
        <v>-63.022843433816625</v>
      </c>
      <c r="O2900" s="5" t="s">
        <v>3898</v>
      </c>
    </row>
    <row r="2901" spans="1:15" x14ac:dyDescent="0.25">
      <c r="A2901" s="4" t="s">
        <v>2914</v>
      </c>
      <c r="B2901" s="2" t="s">
        <v>3565</v>
      </c>
      <c r="C2901" s="2" t="s">
        <v>3875</v>
      </c>
      <c r="D2901" s="2" t="s">
        <v>3877</v>
      </c>
      <c r="E2901" s="3">
        <v>45319</v>
      </c>
      <c r="F2901" s="3">
        <v>45769</v>
      </c>
      <c r="G2901" s="2" t="s">
        <v>3884</v>
      </c>
      <c r="H2901" s="2">
        <v>947277</v>
      </c>
      <c r="I2901" s="2">
        <v>129978</v>
      </c>
      <c r="J2901" s="2" t="s">
        <v>3892</v>
      </c>
      <c r="K2901" s="2" t="s">
        <v>3893</v>
      </c>
      <c r="L2901" s="2">
        <v>2025</v>
      </c>
      <c r="M2901" s="2">
        <v>817299</v>
      </c>
      <c r="N2901" s="2">
        <f xml:space="preserve"> (Table1[[#This Row],[Variance (USD)]] / Table1[[#This Row],[Actual Spending (USD)]]) * 100</f>
        <v>628.79795042237913</v>
      </c>
      <c r="O2901" s="5" t="s">
        <v>3897</v>
      </c>
    </row>
    <row r="2902" spans="1:15" x14ac:dyDescent="0.25">
      <c r="A2902" s="4" t="s">
        <v>2915</v>
      </c>
      <c r="B2902" s="2" t="s">
        <v>3728</v>
      </c>
      <c r="C2902" s="2" t="s">
        <v>3869</v>
      </c>
      <c r="D2902" s="2" t="s">
        <v>3881</v>
      </c>
      <c r="E2902" s="3">
        <v>45626</v>
      </c>
      <c r="F2902" s="3">
        <v>45416</v>
      </c>
      <c r="G2902" s="2" t="s">
        <v>3884</v>
      </c>
      <c r="H2902" s="2">
        <v>922730</v>
      </c>
      <c r="I2902" s="2">
        <v>1121144</v>
      </c>
      <c r="J2902" s="2" t="s">
        <v>3888</v>
      </c>
      <c r="K2902" s="2" t="s">
        <v>3893</v>
      </c>
      <c r="L2902" s="2">
        <v>2025</v>
      </c>
      <c r="M2902" s="2">
        <v>-198414</v>
      </c>
      <c r="N2902" s="2">
        <f xml:space="preserve"> (Table1[[#This Row],[Variance (USD)]] / Table1[[#This Row],[Actual Spending (USD)]]) * 100</f>
        <v>-17.697459023996917</v>
      </c>
      <c r="O2902" s="5" t="s">
        <v>3897</v>
      </c>
    </row>
    <row r="2903" spans="1:15" x14ac:dyDescent="0.25">
      <c r="A2903" s="4" t="s">
        <v>2916</v>
      </c>
      <c r="B2903" s="2" t="s">
        <v>3718</v>
      </c>
      <c r="C2903" s="2" t="s">
        <v>3870</v>
      </c>
      <c r="D2903" s="2" t="s">
        <v>3878</v>
      </c>
      <c r="E2903" s="3">
        <v>45549</v>
      </c>
      <c r="F2903" s="3">
        <v>45828</v>
      </c>
      <c r="G2903" s="2" t="s">
        <v>3884</v>
      </c>
      <c r="H2903" s="2">
        <v>139147</v>
      </c>
      <c r="I2903" s="2">
        <v>711153</v>
      </c>
      <c r="J2903" s="2" t="s">
        <v>3890</v>
      </c>
      <c r="K2903" s="2" t="s">
        <v>3896</v>
      </c>
      <c r="L2903" s="2">
        <v>2024</v>
      </c>
      <c r="M2903" s="2">
        <v>-572006</v>
      </c>
      <c r="N2903" s="2">
        <f xml:space="preserve"> (Table1[[#This Row],[Variance (USD)]] / Table1[[#This Row],[Actual Spending (USD)]]) * 100</f>
        <v>-80.43360570791377</v>
      </c>
      <c r="O2903" s="5" t="s">
        <v>3897</v>
      </c>
    </row>
    <row r="2904" spans="1:15" x14ac:dyDescent="0.25">
      <c r="A2904" s="4" t="s">
        <v>2917</v>
      </c>
      <c r="B2904" s="2" t="s">
        <v>3337</v>
      </c>
      <c r="C2904" s="2" t="s">
        <v>3871</v>
      </c>
      <c r="D2904" s="2" t="s">
        <v>3876</v>
      </c>
      <c r="E2904" s="3">
        <v>45367</v>
      </c>
      <c r="F2904" s="3">
        <v>45997</v>
      </c>
      <c r="G2904" s="2" t="s">
        <v>3884</v>
      </c>
      <c r="H2904" s="2">
        <v>629701</v>
      </c>
      <c r="I2904" s="2">
        <v>734825</v>
      </c>
      <c r="J2904" s="2" t="s">
        <v>3890</v>
      </c>
      <c r="K2904" s="2" t="s">
        <v>3895</v>
      </c>
      <c r="L2904" s="2">
        <v>2023</v>
      </c>
      <c r="M2904" s="2">
        <v>-105124</v>
      </c>
      <c r="N2904" s="2">
        <f xml:space="preserve"> (Table1[[#This Row],[Variance (USD)]] / Table1[[#This Row],[Actual Spending (USD)]]) * 100</f>
        <v>-14.305991222399891</v>
      </c>
      <c r="O2904" s="5" t="s">
        <v>3897</v>
      </c>
    </row>
    <row r="2905" spans="1:15" x14ac:dyDescent="0.25">
      <c r="A2905" s="4" t="s">
        <v>2918</v>
      </c>
      <c r="B2905" s="2" t="s">
        <v>3635</v>
      </c>
      <c r="C2905" s="2" t="s">
        <v>3875</v>
      </c>
      <c r="D2905" s="2" t="s">
        <v>3881</v>
      </c>
      <c r="E2905" s="3">
        <v>45543</v>
      </c>
      <c r="F2905" s="3">
        <v>45903</v>
      </c>
      <c r="G2905" s="2" t="s">
        <v>3886</v>
      </c>
      <c r="H2905" s="2">
        <v>640246</v>
      </c>
      <c r="I2905" s="2">
        <v>776201</v>
      </c>
      <c r="J2905" s="2" t="s">
        <v>3892</v>
      </c>
      <c r="K2905" s="2" t="s">
        <v>3895</v>
      </c>
      <c r="L2905" s="2">
        <v>2023</v>
      </c>
      <c r="M2905" s="2">
        <v>-135955</v>
      </c>
      <c r="N2905" s="2">
        <f xml:space="preserve"> (Table1[[#This Row],[Variance (USD)]] / Table1[[#This Row],[Actual Spending (USD)]]) * 100</f>
        <v>-17.515437367382933</v>
      </c>
      <c r="O2905" s="5" t="s">
        <v>3899</v>
      </c>
    </row>
    <row r="2906" spans="1:15" x14ac:dyDescent="0.25">
      <c r="A2906" s="4" t="s">
        <v>2919</v>
      </c>
      <c r="B2906" s="2" t="s">
        <v>3322</v>
      </c>
      <c r="C2906" s="2" t="s">
        <v>3875</v>
      </c>
      <c r="D2906" s="2" t="s">
        <v>3882</v>
      </c>
      <c r="E2906" s="3">
        <v>45432</v>
      </c>
      <c r="F2906" s="3">
        <v>45693</v>
      </c>
      <c r="G2906" s="2" t="s">
        <v>3884</v>
      </c>
      <c r="H2906" s="2">
        <v>605563</v>
      </c>
      <c r="I2906" s="2">
        <v>746743</v>
      </c>
      <c r="J2906" s="2" t="s">
        <v>3892</v>
      </c>
      <c r="K2906" s="2" t="s">
        <v>3894</v>
      </c>
      <c r="L2906" s="2">
        <v>2025</v>
      </c>
      <c r="M2906" s="2">
        <v>-141180</v>
      </c>
      <c r="N2906" s="2">
        <f xml:space="preserve"> (Table1[[#This Row],[Variance (USD)]] / Table1[[#This Row],[Actual Spending (USD)]]) * 100</f>
        <v>-18.906102902872878</v>
      </c>
      <c r="O2906" s="5" t="s">
        <v>3897</v>
      </c>
    </row>
    <row r="2907" spans="1:15" x14ac:dyDescent="0.25">
      <c r="A2907" s="4" t="s">
        <v>2920</v>
      </c>
      <c r="B2907" s="2" t="s">
        <v>3111</v>
      </c>
      <c r="C2907" s="2" t="s">
        <v>3871</v>
      </c>
      <c r="D2907" s="2" t="s">
        <v>3881</v>
      </c>
      <c r="E2907" s="3">
        <v>45246</v>
      </c>
      <c r="F2907" s="3">
        <v>45808</v>
      </c>
      <c r="G2907" s="2" t="s">
        <v>3886</v>
      </c>
      <c r="H2907" s="2">
        <v>76597</v>
      </c>
      <c r="I2907" s="2">
        <v>571055</v>
      </c>
      <c r="J2907" s="2" t="s">
        <v>3890</v>
      </c>
      <c r="K2907" s="2" t="s">
        <v>3896</v>
      </c>
      <c r="L2907" s="2">
        <v>2023</v>
      </c>
      <c r="M2907" s="2">
        <v>-494458</v>
      </c>
      <c r="N2907" s="2">
        <f xml:space="preserve"> (Table1[[#This Row],[Variance (USD)]] / Table1[[#This Row],[Actual Spending (USD)]]) * 100</f>
        <v>-86.58675609179501</v>
      </c>
      <c r="O2907" s="5" t="s">
        <v>3899</v>
      </c>
    </row>
    <row r="2908" spans="1:15" x14ac:dyDescent="0.25">
      <c r="A2908" s="4" t="s">
        <v>2921</v>
      </c>
      <c r="B2908" s="2" t="s">
        <v>3542</v>
      </c>
      <c r="C2908" s="2" t="s">
        <v>3869</v>
      </c>
      <c r="D2908" s="2" t="s">
        <v>3877</v>
      </c>
      <c r="E2908" s="3">
        <v>45479</v>
      </c>
      <c r="F2908" s="3">
        <v>45822</v>
      </c>
      <c r="G2908" s="2" t="s">
        <v>3884</v>
      </c>
      <c r="H2908" s="2">
        <v>389665</v>
      </c>
      <c r="I2908" s="2">
        <v>330796</v>
      </c>
      <c r="J2908" s="2" t="s">
        <v>3889</v>
      </c>
      <c r="K2908" s="2" t="s">
        <v>3894</v>
      </c>
      <c r="L2908" s="2">
        <v>2024</v>
      </c>
      <c r="M2908" s="2">
        <v>58869</v>
      </c>
      <c r="N2908" s="2">
        <f xml:space="preserve"> (Table1[[#This Row],[Variance (USD)]] / Table1[[#This Row],[Actual Spending (USD)]]) * 100</f>
        <v>17.796164403438976</v>
      </c>
      <c r="O2908" s="5" t="s">
        <v>3897</v>
      </c>
    </row>
    <row r="2909" spans="1:15" x14ac:dyDescent="0.25">
      <c r="A2909" s="4" t="s">
        <v>2922</v>
      </c>
      <c r="B2909" s="2" t="s">
        <v>3646</v>
      </c>
      <c r="C2909" s="2" t="s">
        <v>3868</v>
      </c>
      <c r="D2909" s="2" t="s">
        <v>3880</v>
      </c>
      <c r="E2909" s="3">
        <v>45141</v>
      </c>
      <c r="F2909" s="3">
        <v>45973</v>
      </c>
      <c r="G2909" s="2" t="s">
        <v>3885</v>
      </c>
      <c r="H2909" s="2">
        <v>668531</v>
      </c>
      <c r="I2909" s="2">
        <v>114244</v>
      </c>
      <c r="J2909" s="2" t="s">
        <v>3888</v>
      </c>
      <c r="K2909" s="2" t="s">
        <v>3893</v>
      </c>
      <c r="L2909" s="2">
        <v>2024</v>
      </c>
      <c r="M2909" s="2">
        <v>554287</v>
      </c>
      <c r="N2909" s="2">
        <f xml:space="preserve"> (Table1[[#This Row],[Variance (USD)]] / Table1[[#This Row],[Actual Spending (USD)]]) * 100</f>
        <v>485.17821504849269</v>
      </c>
      <c r="O2909" s="5" t="s">
        <v>3898</v>
      </c>
    </row>
    <row r="2910" spans="1:15" x14ac:dyDescent="0.25">
      <c r="A2910" s="4" t="s">
        <v>2923</v>
      </c>
      <c r="B2910" s="2" t="s">
        <v>3613</v>
      </c>
      <c r="C2910" s="2" t="s">
        <v>3871</v>
      </c>
      <c r="D2910" s="2" t="s">
        <v>3881</v>
      </c>
      <c r="E2910" s="3">
        <v>44997</v>
      </c>
      <c r="F2910" s="3">
        <v>45545</v>
      </c>
      <c r="G2910" s="2" t="s">
        <v>3886</v>
      </c>
      <c r="H2910" s="2">
        <v>828770</v>
      </c>
      <c r="I2910" s="2">
        <v>436599</v>
      </c>
      <c r="J2910" s="2" t="s">
        <v>3892</v>
      </c>
      <c r="K2910" s="2" t="s">
        <v>3895</v>
      </c>
      <c r="L2910" s="2">
        <v>2023</v>
      </c>
      <c r="M2910" s="2">
        <v>392171</v>
      </c>
      <c r="N2910" s="2">
        <f xml:space="preserve"> (Table1[[#This Row],[Variance (USD)]] / Table1[[#This Row],[Actual Spending (USD)]]) * 100</f>
        <v>89.82407197451208</v>
      </c>
      <c r="O2910" s="5" t="s">
        <v>3899</v>
      </c>
    </row>
    <row r="2911" spans="1:15" x14ac:dyDescent="0.25">
      <c r="A2911" s="4" t="s">
        <v>2924</v>
      </c>
      <c r="B2911" s="2" t="s">
        <v>3638</v>
      </c>
      <c r="C2911" s="2" t="s">
        <v>3871</v>
      </c>
      <c r="D2911" s="2" t="s">
        <v>3883</v>
      </c>
      <c r="E2911" s="3">
        <v>45494</v>
      </c>
      <c r="F2911" s="3">
        <v>45412</v>
      </c>
      <c r="G2911" s="2" t="s">
        <v>3884</v>
      </c>
      <c r="H2911" s="2">
        <v>118908</v>
      </c>
      <c r="I2911" s="2">
        <v>352233</v>
      </c>
      <c r="J2911" s="2" t="s">
        <v>3890</v>
      </c>
      <c r="K2911" s="2" t="s">
        <v>3893</v>
      </c>
      <c r="L2911" s="2">
        <v>2025</v>
      </c>
      <c r="M2911" s="2">
        <v>-233325</v>
      </c>
      <c r="N2911" s="2">
        <f xml:space="preserve"> (Table1[[#This Row],[Variance (USD)]] / Table1[[#This Row],[Actual Spending (USD)]]) * 100</f>
        <v>-66.241663898612572</v>
      </c>
      <c r="O2911" s="5" t="s">
        <v>3897</v>
      </c>
    </row>
    <row r="2912" spans="1:15" x14ac:dyDescent="0.25">
      <c r="A2912" s="4" t="s">
        <v>2925</v>
      </c>
      <c r="B2912" s="2" t="s">
        <v>3551</v>
      </c>
      <c r="C2912" s="2" t="s">
        <v>3871</v>
      </c>
      <c r="D2912" s="2" t="s">
        <v>3879</v>
      </c>
      <c r="E2912" s="3">
        <v>45162</v>
      </c>
      <c r="F2912" s="3">
        <v>45323</v>
      </c>
      <c r="G2912" s="2" t="s">
        <v>3886</v>
      </c>
      <c r="H2912" s="2">
        <v>367332</v>
      </c>
      <c r="I2912" s="2">
        <v>1105016</v>
      </c>
      <c r="J2912" s="2" t="s">
        <v>3889</v>
      </c>
      <c r="K2912" s="2" t="s">
        <v>3893</v>
      </c>
      <c r="L2912" s="2">
        <v>2025</v>
      </c>
      <c r="M2912" s="2">
        <v>-737684</v>
      </c>
      <c r="N2912" s="2">
        <f xml:space="preserve"> (Table1[[#This Row],[Variance (USD)]] / Table1[[#This Row],[Actual Spending (USD)]]) * 100</f>
        <v>-66.757766403382391</v>
      </c>
      <c r="O2912" s="5" t="s">
        <v>3899</v>
      </c>
    </row>
    <row r="2913" spans="1:15" x14ac:dyDescent="0.25">
      <c r="A2913" s="4" t="s">
        <v>2926</v>
      </c>
      <c r="B2913" s="2" t="s">
        <v>3625</v>
      </c>
      <c r="C2913" s="2" t="s">
        <v>3875</v>
      </c>
      <c r="D2913" s="2" t="s">
        <v>3878</v>
      </c>
      <c r="E2913" s="3">
        <v>45207</v>
      </c>
      <c r="F2913" s="3">
        <v>45952</v>
      </c>
      <c r="G2913" s="2" t="s">
        <v>3885</v>
      </c>
      <c r="H2913" s="2">
        <v>346854</v>
      </c>
      <c r="I2913" s="2">
        <v>772126</v>
      </c>
      <c r="J2913" s="2" t="s">
        <v>3891</v>
      </c>
      <c r="K2913" s="2" t="s">
        <v>3896</v>
      </c>
      <c r="L2913" s="2">
        <v>2025</v>
      </c>
      <c r="M2913" s="2">
        <v>-425272</v>
      </c>
      <c r="N2913" s="2">
        <f xml:space="preserve"> (Table1[[#This Row],[Variance (USD)]] / Table1[[#This Row],[Actual Spending (USD)]]) * 100</f>
        <v>-55.078057208279475</v>
      </c>
      <c r="O2913" s="5" t="s">
        <v>3898</v>
      </c>
    </row>
    <row r="2914" spans="1:15" x14ac:dyDescent="0.25">
      <c r="A2914" s="4" t="s">
        <v>2927</v>
      </c>
      <c r="B2914" s="2" t="s">
        <v>3792</v>
      </c>
      <c r="C2914" s="2" t="s">
        <v>3874</v>
      </c>
      <c r="D2914" s="2" t="s">
        <v>3882</v>
      </c>
      <c r="E2914" s="3">
        <v>45543</v>
      </c>
      <c r="F2914" s="3">
        <v>45328</v>
      </c>
      <c r="G2914" s="2" t="s">
        <v>3884</v>
      </c>
      <c r="H2914" s="2">
        <v>954925</v>
      </c>
      <c r="I2914" s="2">
        <v>780550</v>
      </c>
      <c r="J2914" s="2" t="s">
        <v>3890</v>
      </c>
      <c r="K2914" s="2" t="s">
        <v>3896</v>
      </c>
      <c r="L2914" s="2">
        <v>2025</v>
      </c>
      <c r="M2914" s="2">
        <v>174375</v>
      </c>
      <c r="N2914" s="2">
        <f xml:space="preserve"> (Table1[[#This Row],[Variance (USD)]] / Table1[[#This Row],[Actual Spending (USD)]]) * 100</f>
        <v>22.340016654922813</v>
      </c>
      <c r="O2914" s="5" t="s">
        <v>3897</v>
      </c>
    </row>
    <row r="2915" spans="1:15" x14ac:dyDescent="0.25">
      <c r="A2915" s="4" t="s">
        <v>2928</v>
      </c>
      <c r="B2915" s="2" t="s">
        <v>3577</v>
      </c>
      <c r="C2915" s="2" t="s">
        <v>3873</v>
      </c>
      <c r="D2915" s="2" t="s">
        <v>3882</v>
      </c>
      <c r="E2915" s="3">
        <v>45088</v>
      </c>
      <c r="F2915" s="3">
        <v>45980</v>
      </c>
      <c r="G2915" s="2" t="s">
        <v>3884</v>
      </c>
      <c r="H2915" s="2">
        <v>272424</v>
      </c>
      <c r="I2915" s="2">
        <v>1134495</v>
      </c>
      <c r="J2915" s="2" t="s">
        <v>3889</v>
      </c>
      <c r="K2915" s="2" t="s">
        <v>3895</v>
      </c>
      <c r="L2915" s="2">
        <v>2025</v>
      </c>
      <c r="M2915" s="2">
        <v>-862071</v>
      </c>
      <c r="N2915" s="2">
        <f xml:space="preserve"> (Table1[[#This Row],[Variance (USD)]] / Table1[[#This Row],[Actual Spending (USD)]]) * 100</f>
        <v>-75.987201353906357</v>
      </c>
      <c r="O2915" s="5" t="s">
        <v>3897</v>
      </c>
    </row>
    <row r="2916" spans="1:15" x14ac:dyDescent="0.25">
      <c r="A2916" s="4" t="s">
        <v>2929</v>
      </c>
      <c r="B2916" s="2" t="s">
        <v>3143</v>
      </c>
      <c r="C2916" s="2" t="s">
        <v>3870</v>
      </c>
      <c r="D2916" s="2" t="s">
        <v>3882</v>
      </c>
      <c r="E2916" s="3">
        <v>45117</v>
      </c>
      <c r="F2916" s="3">
        <v>45633</v>
      </c>
      <c r="G2916" s="2" t="s">
        <v>3885</v>
      </c>
      <c r="H2916" s="2">
        <v>518702</v>
      </c>
      <c r="I2916" s="2">
        <v>177683</v>
      </c>
      <c r="J2916" s="2" t="s">
        <v>3891</v>
      </c>
      <c r="K2916" s="2" t="s">
        <v>3895</v>
      </c>
      <c r="L2916" s="2">
        <v>2024</v>
      </c>
      <c r="M2916" s="2">
        <v>341019</v>
      </c>
      <c r="N2916" s="2">
        <f xml:space="preserve"> (Table1[[#This Row],[Variance (USD)]] / Table1[[#This Row],[Actual Spending (USD)]]) * 100</f>
        <v>191.92550778633858</v>
      </c>
      <c r="O2916" s="5" t="s">
        <v>3898</v>
      </c>
    </row>
    <row r="2917" spans="1:15" x14ac:dyDescent="0.25">
      <c r="A2917" s="4" t="s">
        <v>2930</v>
      </c>
      <c r="B2917" s="2" t="s">
        <v>3200</v>
      </c>
      <c r="C2917" s="2" t="s">
        <v>3868</v>
      </c>
      <c r="D2917" s="2" t="s">
        <v>3883</v>
      </c>
      <c r="E2917" s="3">
        <v>44935</v>
      </c>
      <c r="F2917" s="3">
        <v>45304</v>
      </c>
      <c r="G2917" s="2" t="s">
        <v>3884</v>
      </c>
      <c r="H2917" s="2">
        <v>754410</v>
      </c>
      <c r="I2917" s="2">
        <v>224555</v>
      </c>
      <c r="J2917" s="2" t="s">
        <v>3889</v>
      </c>
      <c r="K2917" s="2" t="s">
        <v>3896</v>
      </c>
      <c r="L2917" s="2">
        <v>2023</v>
      </c>
      <c r="M2917" s="2">
        <v>529855</v>
      </c>
      <c r="N2917" s="2">
        <f xml:space="preserve"> (Table1[[#This Row],[Variance (USD)]] / Table1[[#This Row],[Actual Spending (USD)]]) * 100</f>
        <v>235.95778317116074</v>
      </c>
      <c r="O2917" s="5" t="s">
        <v>3897</v>
      </c>
    </row>
    <row r="2918" spans="1:15" x14ac:dyDescent="0.25">
      <c r="A2918" s="4" t="s">
        <v>2931</v>
      </c>
      <c r="B2918" s="2" t="s">
        <v>3601</v>
      </c>
      <c r="C2918" s="2" t="s">
        <v>3869</v>
      </c>
      <c r="D2918" s="2" t="s">
        <v>3882</v>
      </c>
      <c r="E2918" s="3">
        <v>44986</v>
      </c>
      <c r="F2918" s="3">
        <v>45474</v>
      </c>
      <c r="G2918" s="2" t="s">
        <v>3884</v>
      </c>
      <c r="H2918" s="2">
        <v>885681</v>
      </c>
      <c r="I2918" s="2">
        <v>1002360</v>
      </c>
      <c r="J2918" s="2" t="s">
        <v>3892</v>
      </c>
      <c r="K2918" s="2" t="s">
        <v>3896</v>
      </c>
      <c r="L2918" s="2">
        <v>2024</v>
      </c>
      <c r="M2918" s="2">
        <v>-116679</v>
      </c>
      <c r="N2918" s="2">
        <f xml:space="preserve"> (Table1[[#This Row],[Variance (USD)]] / Table1[[#This Row],[Actual Spending (USD)]]) * 100</f>
        <v>-11.640428588531067</v>
      </c>
      <c r="O2918" s="5" t="s">
        <v>3897</v>
      </c>
    </row>
    <row r="2919" spans="1:15" x14ac:dyDescent="0.25">
      <c r="A2919" s="4" t="s">
        <v>2932</v>
      </c>
      <c r="B2919" s="2" t="s">
        <v>3245</v>
      </c>
      <c r="C2919" s="2" t="s">
        <v>3869</v>
      </c>
      <c r="D2919" s="2" t="s">
        <v>3882</v>
      </c>
      <c r="E2919" s="3">
        <v>45151</v>
      </c>
      <c r="F2919" s="3">
        <v>45948</v>
      </c>
      <c r="G2919" s="2" t="s">
        <v>3884</v>
      </c>
      <c r="H2919" s="2">
        <v>608535</v>
      </c>
      <c r="I2919" s="2">
        <v>1054011</v>
      </c>
      <c r="J2919" s="2" t="s">
        <v>3890</v>
      </c>
      <c r="K2919" s="2" t="s">
        <v>3896</v>
      </c>
      <c r="L2919" s="2">
        <v>2025</v>
      </c>
      <c r="M2919" s="2">
        <v>-445476</v>
      </c>
      <c r="N2919" s="2">
        <f xml:space="preserve"> (Table1[[#This Row],[Variance (USD)]] / Table1[[#This Row],[Actual Spending (USD)]]) * 100</f>
        <v>-42.264834048221509</v>
      </c>
      <c r="O2919" s="5" t="s">
        <v>3897</v>
      </c>
    </row>
    <row r="2920" spans="1:15" x14ac:dyDescent="0.25">
      <c r="A2920" s="4" t="s">
        <v>2933</v>
      </c>
      <c r="B2920" s="2" t="s">
        <v>3622</v>
      </c>
      <c r="C2920" s="2" t="s">
        <v>3870</v>
      </c>
      <c r="D2920" s="2" t="s">
        <v>3880</v>
      </c>
      <c r="E2920" s="3">
        <v>45626</v>
      </c>
      <c r="F2920" s="3">
        <v>45556</v>
      </c>
      <c r="G2920" s="2" t="s">
        <v>3885</v>
      </c>
      <c r="H2920" s="2">
        <v>513378</v>
      </c>
      <c r="I2920" s="2">
        <v>856965</v>
      </c>
      <c r="J2920" s="2" t="s">
        <v>3891</v>
      </c>
      <c r="K2920" s="2" t="s">
        <v>3896</v>
      </c>
      <c r="L2920" s="2">
        <v>2025</v>
      </c>
      <c r="M2920" s="2">
        <v>-343587</v>
      </c>
      <c r="N2920" s="2">
        <f xml:space="preserve"> (Table1[[#This Row],[Variance (USD)]] / Table1[[#This Row],[Actual Spending (USD)]]) * 100</f>
        <v>-40.093469394899437</v>
      </c>
      <c r="O2920" s="5" t="s">
        <v>3898</v>
      </c>
    </row>
    <row r="2921" spans="1:15" x14ac:dyDescent="0.25">
      <c r="A2921" s="4" t="s">
        <v>2934</v>
      </c>
      <c r="B2921" s="2" t="s">
        <v>3091</v>
      </c>
      <c r="C2921" s="2" t="s">
        <v>3873</v>
      </c>
      <c r="D2921" s="2" t="s">
        <v>3876</v>
      </c>
      <c r="E2921" s="3">
        <v>45508</v>
      </c>
      <c r="F2921" s="3">
        <v>45379</v>
      </c>
      <c r="G2921" s="2" t="s">
        <v>3886</v>
      </c>
      <c r="H2921" s="2">
        <v>862840</v>
      </c>
      <c r="I2921" s="2">
        <v>391970</v>
      </c>
      <c r="J2921" s="2" t="s">
        <v>3889</v>
      </c>
      <c r="K2921" s="2" t="s">
        <v>3895</v>
      </c>
      <c r="L2921" s="2">
        <v>2023</v>
      </c>
      <c r="M2921" s="2">
        <v>470870</v>
      </c>
      <c r="N2921" s="2">
        <f xml:space="preserve"> (Table1[[#This Row],[Variance (USD)]] / Table1[[#This Row],[Actual Spending (USD)]]) * 100</f>
        <v>120.12909151210552</v>
      </c>
      <c r="O2921" s="5" t="s">
        <v>3899</v>
      </c>
    </row>
    <row r="2922" spans="1:15" x14ac:dyDescent="0.25">
      <c r="A2922" s="4" t="s">
        <v>2935</v>
      </c>
      <c r="B2922" s="2" t="s">
        <v>3861</v>
      </c>
      <c r="C2922" s="2" t="s">
        <v>3871</v>
      </c>
      <c r="D2922" s="2" t="s">
        <v>3879</v>
      </c>
      <c r="E2922" s="3">
        <v>45213</v>
      </c>
      <c r="F2922" s="3">
        <v>45753</v>
      </c>
      <c r="G2922" s="2" t="s">
        <v>3885</v>
      </c>
      <c r="H2922" s="2">
        <v>126313</v>
      </c>
      <c r="I2922" s="2">
        <v>949029</v>
      </c>
      <c r="J2922" s="2" t="s">
        <v>3891</v>
      </c>
      <c r="K2922" s="2" t="s">
        <v>3895</v>
      </c>
      <c r="L2922" s="2">
        <v>2023</v>
      </c>
      <c r="M2922" s="2">
        <v>-822716</v>
      </c>
      <c r="N2922" s="2">
        <f xml:space="preserve"> (Table1[[#This Row],[Variance (USD)]] / Table1[[#This Row],[Actual Spending (USD)]]) * 100</f>
        <v>-86.690290813030998</v>
      </c>
      <c r="O2922" s="5" t="s">
        <v>3898</v>
      </c>
    </row>
    <row r="2923" spans="1:15" x14ac:dyDescent="0.25">
      <c r="A2923" s="4" t="s">
        <v>2936</v>
      </c>
      <c r="B2923" s="2" t="s">
        <v>3862</v>
      </c>
      <c r="C2923" s="2" t="s">
        <v>3874</v>
      </c>
      <c r="D2923" s="2" t="s">
        <v>3883</v>
      </c>
      <c r="E2923" s="3">
        <v>45095</v>
      </c>
      <c r="F2923" s="3">
        <v>45337</v>
      </c>
      <c r="G2923" s="2" t="s">
        <v>3884</v>
      </c>
      <c r="H2923" s="2">
        <v>776043</v>
      </c>
      <c r="I2923" s="2">
        <v>701813</v>
      </c>
      <c r="J2923" s="2" t="s">
        <v>3888</v>
      </c>
      <c r="K2923" s="2" t="s">
        <v>3893</v>
      </c>
      <c r="L2923" s="2">
        <v>2023</v>
      </c>
      <c r="M2923" s="2">
        <v>74230</v>
      </c>
      <c r="N2923" s="2">
        <f xml:space="preserve"> (Table1[[#This Row],[Variance (USD)]] / Table1[[#This Row],[Actual Spending (USD)]]) * 100</f>
        <v>10.576891565132023</v>
      </c>
      <c r="O2923" s="5" t="s">
        <v>3897</v>
      </c>
    </row>
    <row r="2924" spans="1:15" x14ac:dyDescent="0.25">
      <c r="A2924" s="4" t="s">
        <v>2937</v>
      </c>
      <c r="B2924" s="2" t="s">
        <v>3788</v>
      </c>
      <c r="C2924" s="2" t="s">
        <v>3868</v>
      </c>
      <c r="D2924" s="2" t="s">
        <v>3879</v>
      </c>
      <c r="E2924" s="3">
        <v>44988</v>
      </c>
      <c r="F2924" s="3">
        <v>45683</v>
      </c>
      <c r="G2924" s="2" t="s">
        <v>3884</v>
      </c>
      <c r="H2924" s="2">
        <v>299407</v>
      </c>
      <c r="I2924" s="2">
        <v>925176</v>
      </c>
      <c r="J2924" s="2" t="s">
        <v>3890</v>
      </c>
      <c r="K2924" s="2" t="s">
        <v>3893</v>
      </c>
      <c r="L2924" s="2">
        <v>2024</v>
      </c>
      <c r="M2924" s="2">
        <v>-625769</v>
      </c>
      <c r="N2924" s="2">
        <f xml:space="preserve"> (Table1[[#This Row],[Variance (USD)]] / Table1[[#This Row],[Actual Spending (USD)]]) * 100</f>
        <v>-67.637833233892792</v>
      </c>
      <c r="O2924" s="5" t="s">
        <v>3897</v>
      </c>
    </row>
    <row r="2925" spans="1:15" x14ac:dyDescent="0.25">
      <c r="A2925" s="4" t="s">
        <v>2938</v>
      </c>
      <c r="B2925" s="2" t="s">
        <v>3644</v>
      </c>
      <c r="C2925" s="2" t="s">
        <v>3869</v>
      </c>
      <c r="D2925" s="2" t="s">
        <v>3878</v>
      </c>
      <c r="E2925" s="3">
        <v>45275</v>
      </c>
      <c r="F2925" s="3">
        <v>45410</v>
      </c>
      <c r="G2925" s="2" t="s">
        <v>3886</v>
      </c>
      <c r="H2925" s="2">
        <v>317587</v>
      </c>
      <c r="I2925" s="2">
        <v>49507</v>
      </c>
      <c r="J2925" s="2" t="s">
        <v>3892</v>
      </c>
      <c r="K2925" s="2" t="s">
        <v>3893</v>
      </c>
      <c r="L2925" s="2">
        <v>2023</v>
      </c>
      <c r="M2925" s="2">
        <v>268080</v>
      </c>
      <c r="N2925" s="2">
        <f xml:space="preserve"> (Table1[[#This Row],[Variance (USD)]] / Table1[[#This Row],[Actual Spending (USD)]]) * 100</f>
        <v>541.49918193386793</v>
      </c>
      <c r="O2925" s="5" t="s">
        <v>3899</v>
      </c>
    </row>
    <row r="2926" spans="1:15" x14ac:dyDescent="0.25">
      <c r="A2926" s="4" t="s">
        <v>2939</v>
      </c>
      <c r="B2926" s="2" t="s">
        <v>3349</v>
      </c>
      <c r="C2926" s="2" t="s">
        <v>3870</v>
      </c>
      <c r="D2926" s="2" t="s">
        <v>3880</v>
      </c>
      <c r="E2926" s="3">
        <v>45368</v>
      </c>
      <c r="F2926" s="3">
        <v>45822</v>
      </c>
      <c r="G2926" s="2" t="s">
        <v>3886</v>
      </c>
      <c r="H2926" s="2">
        <v>966702</v>
      </c>
      <c r="I2926" s="2">
        <v>764756</v>
      </c>
      <c r="J2926" s="2" t="s">
        <v>3891</v>
      </c>
      <c r="K2926" s="2" t="s">
        <v>3895</v>
      </c>
      <c r="L2926" s="2">
        <v>2024</v>
      </c>
      <c r="M2926" s="2">
        <v>201946</v>
      </c>
      <c r="N2926" s="2">
        <f xml:space="preserve"> (Table1[[#This Row],[Variance (USD)]] / Table1[[#This Row],[Actual Spending (USD)]]) * 100</f>
        <v>26.406592429480774</v>
      </c>
      <c r="O2926" s="5" t="s">
        <v>3899</v>
      </c>
    </row>
    <row r="2927" spans="1:15" x14ac:dyDescent="0.25">
      <c r="A2927" s="4" t="s">
        <v>2940</v>
      </c>
      <c r="B2927" s="2" t="s">
        <v>3049</v>
      </c>
      <c r="C2927" s="2" t="s">
        <v>3872</v>
      </c>
      <c r="D2927" s="2" t="s">
        <v>3881</v>
      </c>
      <c r="E2927" s="3">
        <v>44940</v>
      </c>
      <c r="F2927" s="3">
        <v>45738</v>
      </c>
      <c r="G2927" s="2" t="s">
        <v>3884</v>
      </c>
      <c r="H2927" s="2">
        <v>705439</v>
      </c>
      <c r="I2927" s="2">
        <v>975410</v>
      </c>
      <c r="J2927" s="2" t="s">
        <v>3889</v>
      </c>
      <c r="K2927" s="2" t="s">
        <v>3894</v>
      </c>
      <c r="L2927" s="2">
        <v>2025</v>
      </c>
      <c r="M2927" s="2">
        <v>-269971</v>
      </c>
      <c r="N2927" s="2">
        <f xml:space="preserve"> (Table1[[#This Row],[Variance (USD)]] / Table1[[#This Row],[Actual Spending (USD)]]) * 100</f>
        <v>-27.677694507950502</v>
      </c>
      <c r="O2927" s="5" t="s">
        <v>3897</v>
      </c>
    </row>
    <row r="2928" spans="1:15" x14ac:dyDescent="0.25">
      <c r="A2928" s="4" t="s">
        <v>2941</v>
      </c>
      <c r="B2928" s="2" t="s">
        <v>3099</v>
      </c>
      <c r="C2928" s="2" t="s">
        <v>3874</v>
      </c>
      <c r="D2928" s="2" t="s">
        <v>3876</v>
      </c>
      <c r="E2928" s="3">
        <v>45090</v>
      </c>
      <c r="F2928" s="3">
        <v>45897</v>
      </c>
      <c r="G2928" s="2" t="s">
        <v>3884</v>
      </c>
      <c r="H2928" s="2">
        <v>933250</v>
      </c>
      <c r="I2928" s="2">
        <v>496401</v>
      </c>
      <c r="J2928" s="2" t="s">
        <v>3891</v>
      </c>
      <c r="K2928" s="2" t="s">
        <v>3893</v>
      </c>
      <c r="L2928" s="2">
        <v>2024</v>
      </c>
      <c r="M2928" s="2">
        <v>436849</v>
      </c>
      <c r="N2928" s="2">
        <f xml:space="preserve"> (Table1[[#This Row],[Variance (USD)]] / Table1[[#This Row],[Actual Spending (USD)]]) * 100</f>
        <v>88.003247374602395</v>
      </c>
      <c r="O2928" s="5" t="s">
        <v>3897</v>
      </c>
    </row>
    <row r="2929" spans="1:15" x14ac:dyDescent="0.25">
      <c r="A2929" s="4" t="s">
        <v>2942</v>
      </c>
      <c r="B2929" s="2" t="s">
        <v>3145</v>
      </c>
      <c r="C2929" s="2" t="s">
        <v>3870</v>
      </c>
      <c r="D2929" s="2" t="s">
        <v>3880</v>
      </c>
      <c r="E2929" s="3">
        <v>45346</v>
      </c>
      <c r="F2929" s="3">
        <v>45337</v>
      </c>
      <c r="G2929" s="2" t="s">
        <v>3884</v>
      </c>
      <c r="H2929" s="2">
        <v>481561</v>
      </c>
      <c r="I2929" s="2">
        <v>519774</v>
      </c>
      <c r="J2929" s="2" t="s">
        <v>3889</v>
      </c>
      <c r="K2929" s="2" t="s">
        <v>3894</v>
      </c>
      <c r="L2929" s="2">
        <v>2023</v>
      </c>
      <c r="M2929" s="2">
        <v>-38213</v>
      </c>
      <c r="N2929" s="2">
        <f xml:space="preserve"> (Table1[[#This Row],[Variance (USD)]] / Table1[[#This Row],[Actual Spending (USD)]]) * 100</f>
        <v>-7.3518490728662842</v>
      </c>
      <c r="O2929" s="5" t="s">
        <v>3897</v>
      </c>
    </row>
    <row r="2930" spans="1:15" x14ac:dyDescent="0.25">
      <c r="A2930" s="4" t="s">
        <v>2943</v>
      </c>
      <c r="B2930" s="2" t="s">
        <v>3863</v>
      </c>
      <c r="C2930" s="2" t="s">
        <v>3874</v>
      </c>
      <c r="D2930" s="2" t="s">
        <v>3879</v>
      </c>
      <c r="E2930" s="3">
        <v>45446</v>
      </c>
      <c r="F2930" s="3">
        <v>45799</v>
      </c>
      <c r="G2930" s="2" t="s">
        <v>3886</v>
      </c>
      <c r="H2930" s="2">
        <v>193973</v>
      </c>
      <c r="I2930" s="2">
        <v>792431</v>
      </c>
      <c r="J2930" s="2" t="s">
        <v>3891</v>
      </c>
      <c r="K2930" s="2" t="s">
        <v>3894</v>
      </c>
      <c r="L2930" s="2">
        <v>2024</v>
      </c>
      <c r="M2930" s="2">
        <v>-598458</v>
      </c>
      <c r="N2930" s="2">
        <f xml:space="preserve"> (Table1[[#This Row],[Variance (USD)]] / Table1[[#This Row],[Actual Spending (USD)]]) * 100</f>
        <v>-75.521780445237511</v>
      </c>
      <c r="O2930" s="5" t="s">
        <v>3899</v>
      </c>
    </row>
    <row r="2931" spans="1:15" x14ac:dyDescent="0.25">
      <c r="A2931" s="4" t="s">
        <v>2944</v>
      </c>
      <c r="B2931" s="2" t="s">
        <v>3589</v>
      </c>
      <c r="C2931" s="2" t="s">
        <v>3869</v>
      </c>
      <c r="D2931" s="2" t="s">
        <v>3883</v>
      </c>
      <c r="E2931" s="3">
        <v>45592</v>
      </c>
      <c r="F2931" s="3">
        <v>45849</v>
      </c>
      <c r="G2931" s="2" t="s">
        <v>3885</v>
      </c>
      <c r="H2931" s="2">
        <v>248831</v>
      </c>
      <c r="I2931" s="2">
        <v>766809</v>
      </c>
      <c r="J2931" s="2" t="s">
        <v>3892</v>
      </c>
      <c r="K2931" s="2" t="s">
        <v>3894</v>
      </c>
      <c r="L2931" s="2">
        <v>2024</v>
      </c>
      <c r="M2931" s="2">
        <v>-517978</v>
      </c>
      <c r="N2931" s="2">
        <f xml:space="preserve"> (Table1[[#This Row],[Variance (USD)]] / Table1[[#This Row],[Actual Spending (USD)]]) * 100</f>
        <v>-67.54980705755932</v>
      </c>
      <c r="O2931" s="5" t="s">
        <v>3898</v>
      </c>
    </row>
    <row r="2932" spans="1:15" x14ac:dyDescent="0.25">
      <c r="A2932" s="4" t="s">
        <v>2945</v>
      </c>
      <c r="B2932" s="2" t="s">
        <v>3779</v>
      </c>
      <c r="C2932" s="2" t="s">
        <v>3871</v>
      </c>
      <c r="D2932" s="2" t="s">
        <v>3878</v>
      </c>
      <c r="E2932" s="3">
        <v>45474</v>
      </c>
      <c r="F2932" s="3">
        <v>45817</v>
      </c>
      <c r="G2932" s="2" t="s">
        <v>3886</v>
      </c>
      <c r="H2932" s="2">
        <v>223804</v>
      </c>
      <c r="I2932" s="2">
        <v>351660</v>
      </c>
      <c r="J2932" s="2" t="s">
        <v>3892</v>
      </c>
      <c r="K2932" s="2" t="s">
        <v>3896</v>
      </c>
      <c r="L2932" s="2">
        <v>2024</v>
      </c>
      <c r="M2932" s="2">
        <v>-127856</v>
      </c>
      <c r="N2932" s="2">
        <f xml:space="preserve"> (Table1[[#This Row],[Variance (USD)]] / Table1[[#This Row],[Actual Spending (USD)]]) * 100</f>
        <v>-36.357845646362961</v>
      </c>
      <c r="O2932" s="5" t="s">
        <v>3899</v>
      </c>
    </row>
    <row r="2933" spans="1:15" x14ac:dyDescent="0.25">
      <c r="A2933" s="4" t="s">
        <v>2946</v>
      </c>
      <c r="B2933" s="2" t="s">
        <v>3522</v>
      </c>
      <c r="C2933" s="2" t="s">
        <v>3872</v>
      </c>
      <c r="D2933" s="2" t="s">
        <v>3878</v>
      </c>
      <c r="E2933" s="3">
        <v>45486</v>
      </c>
      <c r="F2933" s="3">
        <v>45888</v>
      </c>
      <c r="G2933" s="2" t="s">
        <v>3887</v>
      </c>
      <c r="H2933" s="2">
        <v>784664</v>
      </c>
      <c r="I2933" s="2">
        <v>886922</v>
      </c>
      <c r="J2933" s="2" t="s">
        <v>3890</v>
      </c>
      <c r="K2933" s="2" t="s">
        <v>3895</v>
      </c>
      <c r="L2933" s="2">
        <v>2023</v>
      </c>
      <c r="M2933" s="2">
        <v>-102258</v>
      </c>
      <c r="N2933" s="2">
        <f xml:space="preserve"> (Table1[[#This Row],[Variance (USD)]] / Table1[[#This Row],[Actual Spending (USD)]]) * 100</f>
        <v>-11.529536982959044</v>
      </c>
      <c r="O2933" s="5" t="s">
        <v>3900</v>
      </c>
    </row>
    <row r="2934" spans="1:15" x14ac:dyDescent="0.25">
      <c r="A2934" s="4" t="s">
        <v>2947</v>
      </c>
      <c r="B2934" s="2" t="s">
        <v>3864</v>
      </c>
      <c r="C2934" s="2" t="s">
        <v>3873</v>
      </c>
      <c r="D2934" s="2" t="s">
        <v>3880</v>
      </c>
      <c r="E2934" s="3">
        <v>45523</v>
      </c>
      <c r="F2934" s="3">
        <v>45294</v>
      </c>
      <c r="G2934" s="2" t="s">
        <v>3884</v>
      </c>
      <c r="H2934" s="2">
        <v>300278</v>
      </c>
      <c r="I2934" s="2">
        <v>63512</v>
      </c>
      <c r="J2934" s="2" t="s">
        <v>3892</v>
      </c>
      <c r="K2934" s="2" t="s">
        <v>3895</v>
      </c>
      <c r="L2934" s="2">
        <v>2024</v>
      </c>
      <c r="M2934" s="2">
        <v>236766</v>
      </c>
      <c r="N2934" s="2">
        <f xml:space="preserve"> (Table1[[#This Row],[Variance (USD)]] / Table1[[#This Row],[Actual Spending (USD)]]) * 100</f>
        <v>372.78939413024312</v>
      </c>
      <c r="O2934" s="5" t="s">
        <v>3897</v>
      </c>
    </row>
    <row r="2935" spans="1:15" x14ac:dyDescent="0.25">
      <c r="A2935" s="4" t="s">
        <v>2948</v>
      </c>
      <c r="B2935" s="2" t="s">
        <v>3446</v>
      </c>
      <c r="C2935" s="2" t="s">
        <v>3868</v>
      </c>
      <c r="D2935" s="2" t="s">
        <v>3881</v>
      </c>
      <c r="E2935" s="3">
        <v>44954</v>
      </c>
      <c r="F2935" s="3">
        <v>45319</v>
      </c>
      <c r="G2935" s="2" t="s">
        <v>3885</v>
      </c>
      <c r="H2935" s="2">
        <v>198579</v>
      </c>
      <c r="I2935" s="2">
        <v>1090978</v>
      </c>
      <c r="J2935" s="2" t="s">
        <v>3891</v>
      </c>
      <c r="K2935" s="2" t="s">
        <v>3893</v>
      </c>
      <c r="L2935" s="2">
        <v>2023</v>
      </c>
      <c r="M2935" s="2">
        <v>-892399</v>
      </c>
      <c r="N2935" s="2">
        <f xml:space="preserve"> (Table1[[#This Row],[Variance (USD)]] / Table1[[#This Row],[Actual Spending (USD)]]) * 100</f>
        <v>-81.798074754944651</v>
      </c>
      <c r="O2935" s="5" t="s">
        <v>3898</v>
      </c>
    </row>
    <row r="2936" spans="1:15" x14ac:dyDescent="0.25">
      <c r="A2936" s="4" t="s">
        <v>2949</v>
      </c>
      <c r="B2936" s="2" t="s">
        <v>3099</v>
      </c>
      <c r="C2936" s="2" t="s">
        <v>3873</v>
      </c>
      <c r="D2936" s="2" t="s">
        <v>3883</v>
      </c>
      <c r="E2936" s="3">
        <v>45634</v>
      </c>
      <c r="F2936" s="3">
        <v>45672</v>
      </c>
      <c r="G2936" s="2" t="s">
        <v>3885</v>
      </c>
      <c r="H2936" s="2">
        <v>834370</v>
      </c>
      <c r="I2936" s="2">
        <v>674052</v>
      </c>
      <c r="J2936" s="2" t="s">
        <v>3891</v>
      </c>
      <c r="K2936" s="2" t="s">
        <v>3893</v>
      </c>
      <c r="L2936" s="2">
        <v>2024</v>
      </c>
      <c r="M2936" s="2">
        <v>160318</v>
      </c>
      <c r="N2936" s="2">
        <f xml:space="preserve"> (Table1[[#This Row],[Variance (USD)]] / Table1[[#This Row],[Actual Spending (USD)]]) * 100</f>
        <v>23.784218428251826</v>
      </c>
      <c r="O2936" s="5" t="s">
        <v>3898</v>
      </c>
    </row>
    <row r="2937" spans="1:15" x14ac:dyDescent="0.25">
      <c r="A2937" s="4" t="s">
        <v>2950</v>
      </c>
      <c r="B2937" s="2" t="s">
        <v>3865</v>
      </c>
      <c r="C2937" s="2" t="s">
        <v>3873</v>
      </c>
      <c r="D2937" s="2" t="s">
        <v>3881</v>
      </c>
      <c r="E2937" s="3">
        <v>45372</v>
      </c>
      <c r="F2937" s="3">
        <v>45448</v>
      </c>
      <c r="G2937" s="2" t="s">
        <v>3884</v>
      </c>
      <c r="H2937" s="2">
        <v>393929</v>
      </c>
      <c r="I2937" s="2">
        <v>694576</v>
      </c>
      <c r="J2937" s="2" t="s">
        <v>3892</v>
      </c>
      <c r="K2937" s="2" t="s">
        <v>3895</v>
      </c>
      <c r="L2937" s="2">
        <v>2024</v>
      </c>
      <c r="M2937" s="2">
        <v>-300647</v>
      </c>
      <c r="N2937" s="2">
        <f xml:space="preserve"> (Table1[[#This Row],[Variance (USD)]] / Table1[[#This Row],[Actual Spending (USD)]]) * 100</f>
        <v>-43.284968095643961</v>
      </c>
      <c r="O2937" s="5" t="s">
        <v>3897</v>
      </c>
    </row>
    <row r="2938" spans="1:15" x14ac:dyDescent="0.25">
      <c r="A2938" s="4" t="s">
        <v>2951</v>
      </c>
      <c r="B2938" s="2" t="s">
        <v>3744</v>
      </c>
      <c r="C2938" s="2" t="s">
        <v>3870</v>
      </c>
      <c r="D2938" s="2" t="s">
        <v>3881</v>
      </c>
      <c r="E2938" s="3">
        <v>45134</v>
      </c>
      <c r="F2938" s="3">
        <v>45802</v>
      </c>
      <c r="G2938" s="2" t="s">
        <v>3887</v>
      </c>
      <c r="H2938" s="2">
        <v>176691</v>
      </c>
      <c r="I2938" s="2">
        <v>275739</v>
      </c>
      <c r="J2938" s="2" t="s">
        <v>3888</v>
      </c>
      <c r="K2938" s="2" t="s">
        <v>3896</v>
      </c>
      <c r="L2938" s="2">
        <v>2024</v>
      </c>
      <c r="M2938" s="2">
        <v>-99048</v>
      </c>
      <c r="N2938" s="2">
        <f xml:space="preserve"> (Table1[[#This Row],[Variance (USD)]] / Table1[[#This Row],[Actual Spending (USD)]]) * 100</f>
        <v>-35.920925222765007</v>
      </c>
      <c r="O2938" s="5" t="s">
        <v>3900</v>
      </c>
    </row>
    <row r="2939" spans="1:15" x14ac:dyDescent="0.25">
      <c r="A2939" s="4" t="s">
        <v>2952</v>
      </c>
      <c r="B2939" s="2" t="s">
        <v>3016</v>
      </c>
      <c r="C2939" s="2" t="s">
        <v>3874</v>
      </c>
      <c r="D2939" s="2" t="s">
        <v>3882</v>
      </c>
      <c r="E2939" s="3">
        <v>45396</v>
      </c>
      <c r="F2939" s="3">
        <v>45624</v>
      </c>
      <c r="G2939" s="2" t="s">
        <v>3884</v>
      </c>
      <c r="H2939" s="2">
        <v>307426</v>
      </c>
      <c r="I2939" s="2">
        <v>1109626</v>
      </c>
      <c r="J2939" s="2" t="s">
        <v>3891</v>
      </c>
      <c r="K2939" s="2" t="s">
        <v>3895</v>
      </c>
      <c r="L2939" s="2">
        <v>2023</v>
      </c>
      <c r="M2939" s="2">
        <v>-802200</v>
      </c>
      <c r="N2939" s="2">
        <f xml:space="preserve"> (Table1[[#This Row],[Variance (USD)]] / Table1[[#This Row],[Actual Spending (USD)]]) * 100</f>
        <v>-72.2946290011229</v>
      </c>
      <c r="O2939" s="5" t="s">
        <v>3897</v>
      </c>
    </row>
    <row r="2940" spans="1:15" x14ac:dyDescent="0.25">
      <c r="A2940" s="4" t="s">
        <v>2953</v>
      </c>
      <c r="B2940" s="2" t="s">
        <v>3655</v>
      </c>
      <c r="C2940" s="2" t="s">
        <v>3868</v>
      </c>
      <c r="D2940" s="2" t="s">
        <v>3883</v>
      </c>
      <c r="E2940" s="3">
        <v>45642</v>
      </c>
      <c r="F2940" s="3">
        <v>45978</v>
      </c>
      <c r="G2940" s="2" t="s">
        <v>3885</v>
      </c>
      <c r="H2940" s="2">
        <v>347535</v>
      </c>
      <c r="I2940" s="2">
        <v>80093</v>
      </c>
      <c r="J2940" s="2" t="s">
        <v>3890</v>
      </c>
      <c r="K2940" s="2" t="s">
        <v>3894</v>
      </c>
      <c r="L2940" s="2">
        <v>2023</v>
      </c>
      <c r="M2940" s="2">
        <v>267442</v>
      </c>
      <c r="N2940" s="2">
        <f xml:space="preserve"> (Table1[[#This Row],[Variance (USD)]] / Table1[[#This Row],[Actual Spending (USD)]]) * 100</f>
        <v>333.91432459765525</v>
      </c>
      <c r="O2940" s="5" t="s">
        <v>3898</v>
      </c>
    </row>
    <row r="2941" spans="1:15" x14ac:dyDescent="0.25">
      <c r="A2941" s="4" t="s">
        <v>2954</v>
      </c>
      <c r="B2941" s="2" t="s">
        <v>3853</v>
      </c>
      <c r="C2941" s="2" t="s">
        <v>3868</v>
      </c>
      <c r="D2941" s="2" t="s">
        <v>3879</v>
      </c>
      <c r="E2941" s="3">
        <v>45030</v>
      </c>
      <c r="F2941" s="3">
        <v>45405</v>
      </c>
      <c r="G2941" s="2" t="s">
        <v>3885</v>
      </c>
      <c r="H2941" s="2">
        <v>608459</v>
      </c>
      <c r="I2941" s="2">
        <v>35050</v>
      </c>
      <c r="J2941" s="2" t="s">
        <v>3888</v>
      </c>
      <c r="K2941" s="2" t="s">
        <v>3895</v>
      </c>
      <c r="L2941" s="2">
        <v>2023</v>
      </c>
      <c r="M2941" s="2">
        <v>573409</v>
      </c>
      <c r="N2941" s="2">
        <f xml:space="preserve"> (Table1[[#This Row],[Variance (USD)]] / Table1[[#This Row],[Actual Spending (USD)]]) * 100</f>
        <v>1635.9743223965766</v>
      </c>
      <c r="O2941" s="5" t="s">
        <v>3898</v>
      </c>
    </row>
    <row r="2942" spans="1:15" x14ac:dyDescent="0.25">
      <c r="A2942" s="4" t="s">
        <v>2955</v>
      </c>
      <c r="B2942" s="2" t="s">
        <v>3496</v>
      </c>
      <c r="C2942" s="2" t="s">
        <v>3869</v>
      </c>
      <c r="D2942" s="2" t="s">
        <v>3880</v>
      </c>
      <c r="E2942" s="3">
        <v>45352</v>
      </c>
      <c r="F2942" s="3">
        <v>45680</v>
      </c>
      <c r="G2942" s="2" t="s">
        <v>3886</v>
      </c>
      <c r="H2942" s="2">
        <v>494946</v>
      </c>
      <c r="I2942" s="2">
        <v>1078522</v>
      </c>
      <c r="J2942" s="2" t="s">
        <v>3892</v>
      </c>
      <c r="K2942" s="2" t="s">
        <v>3896</v>
      </c>
      <c r="L2942" s="2">
        <v>2025</v>
      </c>
      <c r="M2942" s="2">
        <v>-583576</v>
      </c>
      <c r="N2942" s="2">
        <f xml:space="preserve"> (Table1[[#This Row],[Variance (USD)]] / Table1[[#This Row],[Actual Spending (USD)]]) * 100</f>
        <v>-54.108863796936923</v>
      </c>
      <c r="O2942" s="5" t="s">
        <v>3899</v>
      </c>
    </row>
    <row r="2943" spans="1:15" x14ac:dyDescent="0.25">
      <c r="A2943" s="4" t="s">
        <v>2956</v>
      </c>
      <c r="B2943" s="2" t="s">
        <v>3514</v>
      </c>
      <c r="C2943" s="2" t="s">
        <v>3869</v>
      </c>
      <c r="D2943" s="2" t="s">
        <v>3880</v>
      </c>
      <c r="E2943" s="3">
        <v>45027</v>
      </c>
      <c r="F2943" s="3">
        <v>45778</v>
      </c>
      <c r="G2943" s="2" t="s">
        <v>3886</v>
      </c>
      <c r="H2943" s="2">
        <v>951451</v>
      </c>
      <c r="I2943" s="2">
        <v>863148</v>
      </c>
      <c r="J2943" s="2" t="s">
        <v>3889</v>
      </c>
      <c r="K2943" s="2" t="s">
        <v>3895</v>
      </c>
      <c r="L2943" s="2">
        <v>2023</v>
      </c>
      <c r="M2943" s="2">
        <v>88303</v>
      </c>
      <c r="N2943" s="2">
        <f xml:space="preserve"> (Table1[[#This Row],[Variance (USD)]] / Table1[[#This Row],[Actual Spending (USD)]]) * 100</f>
        <v>10.23034288441843</v>
      </c>
      <c r="O2943" s="5" t="s">
        <v>3899</v>
      </c>
    </row>
    <row r="2944" spans="1:15" x14ac:dyDescent="0.25">
      <c r="A2944" s="4" t="s">
        <v>2957</v>
      </c>
      <c r="B2944" s="2" t="s">
        <v>3408</v>
      </c>
      <c r="C2944" s="2" t="s">
        <v>3868</v>
      </c>
      <c r="D2944" s="2" t="s">
        <v>3882</v>
      </c>
      <c r="E2944" s="3">
        <v>45467</v>
      </c>
      <c r="F2944" s="3">
        <v>45541</v>
      </c>
      <c r="G2944" s="2" t="s">
        <v>3884</v>
      </c>
      <c r="H2944" s="2">
        <v>843917</v>
      </c>
      <c r="I2944" s="2">
        <v>145455</v>
      </c>
      <c r="J2944" s="2" t="s">
        <v>3891</v>
      </c>
      <c r="K2944" s="2" t="s">
        <v>3895</v>
      </c>
      <c r="L2944" s="2">
        <v>2024</v>
      </c>
      <c r="M2944" s="2">
        <v>698462</v>
      </c>
      <c r="N2944" s="2">
        <f xml:space="preserve"> (Table1[[#This Row],[Variance (USD)]] / Table1[[#This Row],[Actual Spending (USD)]]) * 100</f>
        <v>480.19112440273625</v>
      </c>
      <c r="O2944" s="5" t="s">
        <v>3897</v>
      </c>
    </row>
    <row r="2945" spans="1:15" x14ac:dyDescent="0.25">
      <c r="A2945" s="4" t="s">
        <v>2958</v>
      </c>
      <c r="B2945" s="2" t="s">
        <v>3768</v>
      </c>
      <c r="C2945" s="2" t="s">
        <v>3872</v>
      </c>
      <c r="D2945" s="2" t="s">
        <v>3877</v>
      </c>
      <c r="E2945" s="3">
        <v>45565</v>
      </c>
      <c r="F2945" s="3">
        <v>45862</v>
      </c>
      <c r="G2945" s="2" t="s">
        <v>3884</v>
      </c>
      <c r="H2945" s="2">
        <v>964060</v>
      </c>
      <c r="I2945" s="2">
        <v>425654</v>
      </c>
      <c r="J2945" s="2" t="s">
        <v>3889</v>
      </c>
      <c r="K2945" s="2" t="s">
        <v>3895</v>
      </c>
      <c r="L2945" s="2">
        <v>2025</v>
      </c>
      <c r="M2945" s="2">
        <v>538406</v>
      </c>
      <c r="N2945" s="2">
        <f xml:space="preserve"> (Table1[[#This Row],[Variance (USD)]] / Table1[[#This Row],[Actual Spending (USD)]]) * 100</f>
        <v>126.48912027139414</v>
      </c>
      <c r="O2945" s="5" t="s">
        <v>3897</v>
      </c>
    </row>
    <row r="2946" spans="1:15" x14ac:dyDescent="0.25">
      <c r="A2946" s="4" t="s">
        <v>2959</v>
      </c>
      <c r="B2946" s="2" t="s">
        <v>3142</v>
      </c>
      <c r="C2946" s="2" t="s">
        <v>3875</v>
      </c>
      <c r="D2946" s="2" t="s">
        <v>3880</v>
      </c>
      <c r="E2946" s="3">
        <v>45448</v>
      </c>
      <c r="F2946" s="3">
        <v>46006</v>
      </c>
      <c r="G2946" s="2" t="s">
        <v>3884</v>
      </c>
      <c r="H2946" s="2">
        <v>946536</v>
      </c>
      <c r="I2946" s="2">
        <v>546929</v>
      </c>
      <c r="J2946" s="2" t="s">
        <v>3890</v>
      </c>
      <c r="K2946" s="2" t="s">
        <v>3894</v>
      </c>
      <c r="L2946" s="2">
        <v>2023</v>
      </c>
      <c r="M2946" s="2">
        <v>399607</v>
      </c>
      <c r="N2946" s="2">
        <f xml:space="preserve"> (Table1[[#This Row],[Variance (USD)]] / Table1[[#This Row],[Actual Spending (USD)]]) * 100</f>
        <v>73.063779759347199</v>
      </c>
      <c r="O2946" s="5" t="s">
        <v>3897</v>
      </c>
    </row>
    <row r="2947" spans="1:15" x14ac:dyDescent="0.25">
      <c r="A2947" s="4" t="s">
        <v>2960</v>
      </c>
      <c r="B2947" s="2" t="s">
        <v>3644</v>
      </c>
      <c r="C2947" s="2" t="s">
        <v>3869</v>
      </c>
      <c r="D2947" s="2" t="s">
        <v>3878</v>
      </c>
      <c r="E2947" s="3">
        <v>45032</v>
      </c>
      <c r="F2947" s="3">
        <v>45606</v>
      </c>
      <c r="G2947" s="2" t="s">
        <v>3886</v>
      </c>
      <c r="H2947" s="2">
        <v>951859</v>
      </c>
      <c r="I2947" s="2">
        <v>925118</v>
      </c>
      <c r="J2947" s="2" t="s">
        <v>3888</v>
      </c>
      <c r="K2947" s="2" t="s">
        <v>3893</v>
      </c>
      <c r="L2947" s="2">
        <v>2023</v>
      </c>
      <c r="M2947" s="2">
        <v>26741</v>
      </c>
      <c r="N2947" s="2">
        <f xml:space="preserve"> (Table1[[#This Row],[Variance (USD)]] / Table1[[#This Row],[Actual Spending (USD)]]) * 100</f>
        <v>2.8905501784637204</v>
      </c>
      <c r="O2947" s="5" t="s">
        <v>3899</v>
      </c>
    </row>
    <row r="2948" spans="1:15" x14ac:dyDescent="0.25">
      <c r="A2948" s="4" t="s">
        <v>2961</v>
      </c>
      <c r="B2948" s="2" t="s">
        <v>3814</v>
      </c>
      <c r="C2948" s="2" t="s">
        <v>3875</v>
      </c>
      <c r="D2948" s="2" t="s">
        <v>3879</v>
      </c>
      <c r="E2948" s="3">
        <v>45605</v>
      </c>
      <c r="F2948" s="3">
        <v>45530</v>
      </c>
      <c r="G2948" s="2" t="s">
        <v>3886</v>
      </c>
      <c r="H2948" s="2">
        <v>276392</v>
      </c>
      <c r="I2948" s="2">
        <v>601719</v>
      </c>
      <c r="J2948" s="2" t="s">
        <v>3889</v>
      </c>
      <c r="K2948" s="2" t="s">
        <v>3896</v>
      </c>
      <c r="L2948" s="2">
        <v>2025</v>
      </c>
      <c r="M2948" s="2">
        <v>-325327</v>
      </c>
      <c r="N2948" s="2">
        <f xml:space="preserve"> (Table1[[#This Row],[Variance (USD)]] / Table1[[#This Row],[Actual Spending (USD)]]) * 100</f>
        <v>-54.066266812249573</v>
      </c>
      <c r="O2948" s="5" t="s">
        <v>3899</v>
      </c>
    </row>
    <row r="2949" spans="1:15" x14ac:dyDescent="0.25">
      <c r="A2949" s="4" t="s">
        <v>2962</v>
      </c>
      <c r="B2949" s="2" t="s">
        <v>3313</v>
      </c>
      <c r="C2949" s="2" t="s">
        <v>3870</v>
      </c>
      <c r="D2949" s="2" t="s">
        <v>3883</v>
      </c>
      <c r="E2949" s="3">
        <v>45203</v>
      </c>
      <c r="F2949" s="3">
        <v>45525</v>
      </c>
      <c r="G2949" s="2" t="s">
        <v>3885</v>
      </c>
      <c r="H2949" s="2">
        <v>571819</v>
      </c>
      <c r="I2949" s="2">
        <v>1054627</v>
      </c>
      <c r="J2949" s="2" t="s">
        <v>3890</v>
      </c>
      <c r="K2949" s="2" t="s">
        <v>3894</v>
      </c>
      <c r="L2949" s="2">
        <v>2025</v>
      </c>
      <c r="M2949" s="2">
        <v>-482808</v>
      </c>
      <c r="N2949" s="2">
        <f xml:space="preserve"> (Table1[[#This Row],[Variance (USD)]] / Table1[[#This Row],[Actual Spending (USD)]]) * 100</f>
        <v>-45.779977186246889</v>
      </c>
      <c r="O2949" s="5" t="s">
        <v>3898</v>
      </c>
    </row>
    <row r="2950" spans="1:15" x14ac:dyDescent="0.25">
      <c r="A2950" s="4" t="s">
        <v>2963</v>
      </c>
      <c r="B2950" s="2" t="s">
        <v>3535</v>
      </c>
      <c r="C2950" s="2" t="s">
        <v>3872</v>
      </c>
      <c r="D2950" s="2" t="s">
        <v>3880</v>
      </c>
      <c r="E2950" s="3">
        <v>44991</v>
      </c>
      <c r="F2950" s="3">
        <v>45594</v>
      </c>
      <c r="G2950" s="2" t="s">
        <v>3884</v>
      </c>
      <c r="H2950" s="2">
        <v>292174</v>
      </c>
      <c r="I2950" s="2">
        <v>308904</v>
      </c>
      <c r="J2950" s="2" t="s">
        <v>3889</v>
      </c>
      <c r="K2950" s="2" t="s">
        <v>3895</v>
      </c>
      <c r="L2950" s="2">
        <v>2023</v>
      </c>
      <c r="M2950" s="2">
        <v>-16730</v>
      </c>
      <c r="N2950" s="2">
        <f xml:space="preserve"> (Table1[[#This Row],[Variance (USD)]] / Table1[[#This Row],[Actual Spending (USD)]]) * 100</f>
        <v>-5.4159220987750238</v>
      </c>
      <c r="O2950" s="5" t="s">
        <v>3897</v>
      </c>
    </row>
    <row r="2951" spans="1:15" x14ac:dyDescent="0.25">
      <c r="A2951" s="4" t="s">
        <v>2964</v>
      </c>
      <c r="B2951" s="2" t="s">
        <v>3458</v>
      </c>
      <c r="C2951" s="2" t="s">
        <v>3868</v>
      </c>
      <c r="D2951" s="2" t="s">
        <v>3879</v>
      </c>
      <c r="E2951" s="3">
        <v>45114</v>
      </c>
      <c r="F2951" s="3">
        <v>45898</v>
      </c>
      <c r="G2951" s="2" t="s">
        <v>3885</v>
      </c>
      <c r="H2951" s="2">
        <v>140153</v>
      </c>
      <c r="I2951" s="2">
        <v>1025118</v>
      </c>
      <c r="J2951" s="2" t="s">
        <v>3889</v>
      </c>
      <c r="K2951" s="2" t="s">
        <v>3895</v>
      </c>
      <c r="L2951" s="2">
        <v>2025</v>
      </c>
      <c r="M2951" s="2">
        <v>-884965</v>
      </c>
      <c r="N2951" s="2">
        <f xml:space="preserve"> (Table1[[#This Row],[Variance (USD)]] / Table1[[#This Row],[Actual Spending (USD)]]) * 100</f>
        <v>-86.328110519959651</v>
      </c>
      <c r="O2951" s="5" t="s">
        <v>3898</v>
      </c>
    </row>
    <row r="2952" spans="1:15" x14ac:dyDescent="0.25">
      <c r="A2952" s="4" t="s">
        <v>2965</v>
      </c>
      <c r="B2952" s="2" t="s">
        <v>3380</v>
      </c>
      <c r="C2952" s="2" t="s">
        <v>3872</v>
      </c>
      <c r="D2952" s="2" t="s">
        <v>3882</v>
      </c>
      <c r="E2952" s="3">
        <v>45243</v>
      </c>
      <c r="F2952" s="3">
        <v>45944</v>
      </c>
      <c r="G2952" s="2" t="s">
        <v>3885</v>
      </c>
      <c r="H2952" s="2">
        <v>87748</v>
      </c>
      <c r="I2952" s="2">
        <v>73815</v>
      </c>
      <c r="J2952" s="2" t="s">
        <v>3890</v>
      </c>
      <c r="K2952" s="2" t="s">
        <v>3893</v>
      </c>
      <c r="L2952" s="2">
        <v>2024</v>
      </c>
      <c r="M2952" s="2">
        <v>13933</v>
      </c>
      <c r="N2952" s="2">
        <f xml:space="preserve"> (Table1[[#This Row],[Variance (USD)]] / Table1[[#This Row],[Actual Spending (USD)]]) * 100</f>
        <v>18.875567296619927</v>
      </c>
      <c r="O2952" s="5" t="s">
        <v>3898</v>
      </c>
    </row>
    <row r="2953" spans="1:15" x14ac:dyDescent="0.25">
      <c r="A2953" s="4" t="s">
        <v>2966</v>
      </c>
      <c r="B2953" s="2" t="s">
        <v>3347</v>
      </c>
      <c r="C2953" s="2" t="s">
        <v>3869</v>
      </c>
      <c r="D2953" s="2" t="s">
        <v>3880</v>
      </c>
      <c r="E2953" s="3">
        <v>45064</v>
      </c>
      <c r="F2953" s="3">
        <v>45625</v>
      </c>
      <c r="G2953" s="2" t="s">
        <v>3886</v>
      </c>
      <c r="H2953" s="2">
        <v>971382</v>
      </c>
      <c r="I2953" s="2">
        <v>55634</v>
      </c>
      <c r="J2953" s="2" t="s">
        <v>3891</v>
      </c>
      <c r="K2953" s="2" t="s">
        <v>3893</v>
      </c>
      <c r="L2953" s="2">
        <v>2024</v>
      </c>
      <c r="M2953" s="2">
        <v>915748</v>
      </c>
      <c r="N2953" s="2">
        <f xml:space="preserve"> (Table1[[#This Row],[Variance (USD)]] / Table1[[#This Row],[Actual Spending (USD)]]) * 100</f>
        <v>1646.0222166301182</v>
      </c>
      <c r="O2953" s="5" t="s">
        <v>3899</v>
      </c>
    </row>
    <row r="2954" spans="1:15" x14ac:dyDescent="0.25">
      <c r="A2954" s="4" t="s">
        <v>2967</v>
      </c>
      <c r="B2954" s="2" t="s">
        <v>3227</v>
      </c>
      <c r="C2954" s="2" t="s">
        <v>3873</v>
      </c>
      <c r="D2954" s="2" t="s">
        <v>3883</v>
      </c>
      <c r="E2954" s="3">
        <v>45269</v>
      </c>
      <c r="F2954" s="3">
        <v>45404</v>
      </c>
      <c r="G2954" s="2" t="s">
        <v>3884</v>
      </c>
      <c r="H2954" s="2">
        <v>183021</v>
      </c>
      <c r="I2954" s="2">
        <v>1125149</v>
      </c>
      <c r="J2954" s="2" t="s">
        <v>3889</v>
      </c>
      <c r="K2954" s="2" t="s">
        <v>3893</v>
      </c>
      <c r="L2954" s="2">
        <v>2024</v>
      </c>
      <c r="M2954" s="2">
        <v>-942128</v>
      </c>
      <c r="N2954" s="2">
        <f xml:space="preserve"> (Table1[[#This Row],[Variance (USD)]] / Table1[[#This Row],[Actual Spending (USD)]]) * 100</f>
        <v>-83.733621058188731</v>
      </c>
      <c r="O2954" s="5" t="s">
        <v>3897</v>
      </c>
    </row>
    <row r="2955" spans="1:15" x14ac:dyDescent="0.25">
      <c r="A2955" s="4" t="s">
        <v>2968</v>
      </c>
      <c r="B2955" s="2" t="s">
        <v>3084</v>
      </c>
      <c r="C2955" s="2" t="s">
        <v>3870</v>
      </c>
      <c r="D2955" s="2" t="s">
        <v>3876</v>
      </c>
      <c r="E2955" s="3">
        <v>45031</v>
      </c>
      <c r="F2955" s="3">
        <v>45912</v>
      </c>
      <c r="G2955" s="2" t="s">
        <v>3884</v>
      </c>
      <c r="H2955" s="2">
        <v>266452</v>
      </c>
      <c r="I2955" s="2">
        <v>976152</v>
      </c>
      <c r="J2955" s="2" t="s">
        <v>3890</v>
      </c>
      <c r="K2955" s="2" t="s">
        <v>3894</v>
      </c>
      <c r="L2955" s="2">
        <v>2023</v>
      </c>
      <c r="M2955" s="2">
        <v>-709700</v>
      </c>
      <c r="N2955" s="2">
        <f xml:space="preserve"> (Table1[[#This Row],[Variance (USD)]] / Table1[[#This Row],[Actual Spending (USD)]]) * 100</f>
        <v>-72.703841205058225</v>
      </c>
      <c r="O2955" s="5" t="s">
        <v>3897</v>
      </c>
    </row>
    <row r="2956" spans="1:15" x14ac:dyDescent="0.25">
      <c r="A2956" s="4" t="s">
        <v>2969</v>
      </c>
      <c r="B2956" s="2" t="s">
        <v>3514</v>
      </c>
      <c r="C2956" s="2" t="s">
        <v>3868</v>
      </c>
      <c r="D2956" s="2" t="s">
        <v>3883</v>
      </c>
      <c r="E2956" s="3">
        <v>45472</v>
      </c>
      <c r="F2956" s="3">
        <v>45653</v>
      </c>
      <c r="G2956" s="2" t="s">
        <v>3884</v>
      </c>
      <c r="H2956" s="2">
        <v>297888</v>
      </c>
      <c r="I2956" s="2">
        <v>483413</v>
      </c>
      <c r="J2956" s="2" t="s">
        <v>3889</v>
      </c>
      <c r="K2956" s="2" t="s">
        <v>3896</v>
      </c>
      <c r="L2956" s="2">
        <v>2024</v>
      </c>
      <c r="M2956" s="2">
        <v>-185525</v>
      </c>
      <c r="N2956" s="2">
        <f xml:space="preserve"> (Table1[[#This Row],[Variance (USD)]] / Table1[[#This Row],[Actual Spending (USD)]]) * 100</f>
        <v>-38.378156979642661</v>
      </c>
      <c r="O2956" s="5" t="s">
        <v>3897</v>
      </c>
    </row>
    <row r="2957" spans="1:15" x14ac:dyDescent="0.25">
      <c r="A2957" s="4" t="s">
        <v>2970</v>
      </c>
      <c r="B2957" s="2" t="s">
        <v>3656</v>
      </c>
      <c r="C2957" s="2" t="s">
        <v>3871</v>
      </c>
      <c r="D2957" s="2" t="s">
        <v>3883</v>
      </c>
      <c r="E2957" s="3">
        <v>45306</v>
      </c>
      <c r="F2957" s="3">
        <v>45388</v>
      </c>
      <c r="G2957" s="2" t="s">
        <v>3886</v>
      </c>
      <c r="H2957" s="2">
        <v>464097</v>
      </c>
      <c r="I2957" s="2">
        <v>838391</v>
      </c>
      <c r="J2957" s="2" t="s">
        <v>3891</v>
      </c>
      <c r="K2957" s="2" t="s">
        <v>3893</v>
      </c>
      <c r="L2957" s="2">
        <v>2025</v>
      </c>
      <c r="M2957" s="2">
        <v>-374294</v>
      </c>
      <c r="N2957" s="2">
        <f xml:space="preserve"> (Table1[[#This Row],[Variance (USD)]] / Table1[[#This Row],[Actual Spending (USD)]]) * 100</f>
        <v>-44.644324664744737</v>
      </c>
      <c r="O2957" s="5" t="s">
        <v>3899</v>
      </c>
    </row>
    <row r="2958" spans="1:15" x14ac:dyDescent="0.25">
      <c r="A2958" s="4" t="s">
        <v>2971</v>
      </c>
      <c r="B2958" s="2" t="s">
        <v>3866</v>
      </c>
      <c r="C2958" s="2" t="s">
        <v>3870</v>
      </c>
      <c r="D2958" s="2" t="s">
        <v>3883</v>
      </c>
      <c r="E2958" s="3">
        <v>45036</v>
      </c>
      <c r="F2958" s="3">
        <v>45307</v>
      </c>
      <c r="G2958" s="2" t="s">
        <v>3886</v>
      </c>
      <c r="H2958" s="2">
        <v>232378</v>
      </c>
      <c r="I2958" s="2">
        <v>44570</v>
      </c>
      <c r="J2958" s="2" t="s">
        <v>3890</v>
      </c>
      <c r="K2958" s="2" t="s">
        <v>3895</v>
      </c>
      <c r="L2958" s="2">
        <v>2024</v>
      </c>
      <c r="M2958" s="2">
        <v>187808</v>
      </c>
      <c r="N2958" s="2">
        <f xml:space="preserve"> (Table1[[#This Row],[Variance (USD)]] / Table1[[#This Row],[Actual Spending (USD)]]) * 100</f>
        <v>421.37760825667493</v>
      </c>
      <c r="O2958" s="5" t="s">
        <v>3899</v>
      </c>
    </row>
    <row r="2959" spans="1:15" x14ac:dyDescent="0.25">
      <c r="A2959" s="4" t="s">
        <v>2972</v>
      </c>
      <c r="B2959" s="2" t="s">
        <v>3549</v>
      </c>
      <c r="C2959" s="2" t="s">
        <v>3874</v>
      </c>
      <c r="D2959" s="2" t="s">
        <v>3880</v>
      </c>
      <c r="E2959" s="3">
        <v>45471</v>
      </c>
      <c r="F2959" s="3">
        <v>45847</v>
      </c>
      <c r="G2959" s="2" t="s">
        <v>3887</v>
      </c>
      <c r="H2959" s="2">
        <v>661438</v>
      </c>
      <c r="I2959" s="2">
        <v>110263</v>
      </c>
      <c r="J2959" s="2" t="s">
        <v>3889</v>
      </c>
      <c r="K2959" s="2" t="s">
        <v>3896</v>
      </c>
      <c r="L2959" s="2">
        <v>2025</v>
      </c>
      <c r="M2959" s="2">
        <v>551175</v>
      </c>
      <c r="N2959" s="2">
        <f xml:space="preserve"> (Table1[[#This Row],[Variance (USD)]] / Table1[[#This Row],[Actual Spending (USD)]]) * 100</f>
        <v>499.87303084443556</v>
      </c>
      <c r="O2959" s="5" t="s">
        <v>3900</v>
      </c>
    </row>
    <row r="2960" spans="1:15" x14ac:dyDescent="0.25">
      <c r="A2960" s="4" t="s">
        <v>2973</v>
      </c>
      <c r="B2960" s="2" t="s">
        <v>3509</v>
      </c>
      <c r="C2960" s="2" t="s">
        <v>3875</v>
      </c>
      <c r="D2960" s="2" t="s">
        <v>3877</v>
      </c>
      <c r="E2960" s="3">
        <v>45280</v>
      </c>
      <c r="F2960" s="3">
        <v>45667</v>
      </c>
      <c r="G2960" s="2" t="s">
        <v>3884</v>
      </c>
      <c r="H2960" s="2">
        <v>139364</v>
      </c>
      <c r="I2960" s="2">
        <v>142446</v>
      </c>
      <c r="J2960" s="2" t="s">
        <v>3892</v>
      </c>
      <c r="K2960" s="2" t="s">
        <v>3895</v>
      </c>
      <c r="L2960" s="2">
        <v>2024</v>
      </c>
      <c r="M2960" s="2">
        <v>-3082</v>
      </c>
      <c r="N2960" s="2">
        <f xml:space="preserve"> (Table1[[#This Row],[Variance (USD)]] / Table1[[#This Row],[Actual Spending (USD)]]) * 100</f>
        <v>-2.1636269182707837</v>
      </c>
      <c r="O2960" s="5" t="s">
        <v>3897</v>
      </c>
    </row>
    <row r="2961" spans="1:15" x14ac:dyDescent="0.25">
      <c r="A2961" s="4" t="s">
        <v>2974</v>
      </c>
      <c r="B2961" s="2" t="s">
        <v>3369</v>
      </c>
      <c r="C2961" s="2" t="s">
        <v>3872</v>
      </c>
      <c r="D2961" s="2" t="s">
        <v>3883</v>
      </c>
      <c r="E2961" s="3">
        <v>45243</v>
      </c>
      <c r="F2961" s="3">
        <v>45681</v>
      </c>
      <c r="G2961" s="2" t="s">
        <v>3884</v>
      </c>
      <c r="H2961" s="2">
        <v>165925</v>
      </c>
      <c r="I2961" s="2">
        <v>748166</v>
      </c>
      <c r="J2961" s="2" t="s">
        <v>3891</v>
      </c>
      <c r="K2961" s="2" t="s">
        <v>3895</v>
      </c>
      <c r="L2961" s="2">
        <v>2025</v>
      </c>
      <c r="M2961" s="2">
        <v>-582241</v>
      </c>
      <c r="N2961" s="2">
        <f xml:space="preserve"> (Table1[[#This Row],[Variance (USD)]] / Table1[[#This Row],[Actual Spending (USD)]]) * 100</f>
        <v>-77.822435128033078</v>
      </c>
      <c r="O2961" s="5" t="s">
        <v>3897</v>
      </c>
    </row>
    <row r="2962" spans="1:15" x14ac:dyDescent="0.25">
      <c r="A2962" s="4" t="s">
        <v>2975</v>
      </c>
      <c r="B2962" s="2" t="s">
        <v>3423</v>
      </c>
      <c r="C2962" s="2" t="s">
        <v>3868</v>
      </c>
      <c r="D2962" s="2" t="s">
        <v>3882</v>
      </c>
      <c r="E2962" s="3">
        <v>45192</v>
      </c>
      <c r="F2962" s="3">
        <v>45911</v>
      </c>
      <c r="G2962" s="2" t="s">
        <v>3886</v>
      </c>
      <c r="H2962" s="2">
        <v>59958</v>
      </c>
      <c r="I2962" s="2">
        <v>873395</v>
      </c>
      <c r="J2962" s="2" t="s">
        <v>3889</v>
      </c>
      <c r="K2962" s="2" t="s">
        <v>3896</v>
      </c>
      <c r="L2962" s="2">
        <v>2024</v>
      </c>
      <c r="M2962" s="2">
        <v>-813437</v>
      </c>
      <c r="N2962" s="2">
        <f xml:space="preserve"> (Table1[[#This Row],[Variance (USD)]] / Table1[[#This Row],[Actual Spending (USD)]]) * 100</f>
        <v>-93.135064890456206</v>
      </c>
      <c r="O2962" s="5" t="s">
        <v>3899</v>
      </c>
    </row>
    <row r="2963" spans="1:15" x14ac:dyDescent="0.25">
      <c r="A2963" s="4" t="s">
        <v>2976</v>
      </c>
      <c r="B2963" s="2" t="s">
        <v>3095</v>
      </c>
      <c r="C2963" s="2" t="s">
        <v>3870</v>
      </c>
      <c r="D2963" s="2" t="s">
        <v>3878</v>
      </c>
      <c r="E2963" s="3">
        <v>45620</v>
      </c>
      <c r="F2963" s="3">
        <v>45508</v>
      </c>
      <c r="G2963" s="2" t="s">
        <v>3885</v>
      </c>
      <c r="H2963" s="2">
        <v>189769</v>
      </c>
      <c r="I2963" s="2">
        <v>64341</v>
      </c>
      <c r="J2963" s="2" t="s">
        <v>3888</v>
      </c>
      <c r="K2963" s="2" t="s">
        <v>3894</v>
      </c>
      <c r="L2963" s="2">
        <v>2024</v>
      </c>
      <c r="M2963" s="2">
        <v>125428</v>
      </c>
      <c r="N2963" s="2">
        <f xml:space="preserve"> (Table1[[#This Row],[Variance (USD)]] / Table1[[#This Row],[Actual Spending (USD)]]) * 100</f>
        <v>194.94257161063709</v>
      </c>
      <c r="O2963" s="5" t="s">
        <v>3898</v>
      </c>
    </row>
    <row r="2964" spans="1:15" x14ac:dyDescent="0.25">
      <c r="A2964" s="4" t="s">
        <v>2977</v>
      </c>
      <c r="B2964" s="2" t="s">
        <v>3226</v>
      </c>
      <c r="C2964" s="2" t="s">
        <v>3872</v>
      </c>
      <c r="D2964" s="2" t="s">
        <v>3878</v>
      </c>
      <c r="E2964" s="3">
        <v>44991</v>
      </c>
      <c r="F2964" s="3">
        <v>45690</v>
      </c>
      <c r="G2964" s="2" t="s">
        <v>3885</v>
      </c>
      <c r="H2964" s="2">
        <v>137160</v>
      </c>
      <c r="I2964" s="2">
        <v>559885</v>
      </c>
      <c r="J2964" s="2" t="s">
        <v>3890</v>
      </c>
      <c r="K2964" s="2" t="s">
        <v>3896</v>
      </c>
      <c r="L2964" s="2">
        <v>2024</v>
      </c>
      <c r="M2964" s="2">
        <v>-422725</v>
      </c>
      <c r="N2964" s="2">
        <f xml:space="preserve"> (Table1[[#This Row],[Variance (USD)]] / Table1[[#This Row],[Actual Spending (USD)]]) * 100</f>
        <v>-75.502112040865526</v>
      </c>
      <c r="O2964" s="5" t="s">
        <v>3898</v>
      </c>
    </row>
    <row r="2965" spans="1:15" x14ac:dyDescent="0.25">
      <c r="A2965" s="4" t="s">
        <v>2978</v>
      </c>
      <c r="B2965" s="2" t="s">
        <v>3017</v>
      </c>
      <c r="C2965" s="2" t="s">
        <v>3868</v>
      </c>
      <c r="D2965" s="2" t="s">
        <v>3882</v>
      </c>
      <c r="E2965" s="3">
        <v>45259</v>
      </c>
      <c r="F2965" s="3">
        <v>45551</v>
      </c>
      <c r="G2965" s="2" t="s">
        <v>3885</v>
      </c>
      <c r="H2965" s="2">
        <v>851925</v>
      </c>
      <c r="I2965" s="2">
        <v>515864</v>
      </c>
      <c r="J2965" s="2" t="s">
        <v>3889</v>
      </c>
      <c r="K2965" s="2" t="s">
        <v>3893</v>
      </c>
      <c r="L2965" s="2">
        <v>2025</v>
      </c>
      <c r="M2965" s="2">
        <v>336061</v>
      </c>
      <c r="N2965" s="2">
        <f xml:space="preserve"> (Table1[[#This Row],[Variance (USD)]] / Table1[[#This Row],[Actual Spending (USD)]]) * 100</f>
        <v>65.14527084657972</v>
      </c>
      <c r="O2965" s="5" t="s">
        <v>3898</v>
      </c>
    </row>
    <row r="2966" spans="1:15" x14ac:dyDescent="0.25">
      <c r="A2966" s="4" t="s">
        <v>2979</v>
      </c>
      <c r="B2966" s="2" t="s">
        <v>3456</v>
      </c>
      <c r="C2966" s="2" t="s">
        <v>3869</v>
      </c>
      <c r="D2966" s="2" t="s">
        <v>3879</v>
      </c>
      <c r="E2966" s="3">
        <v>45439</v>
      </c>
      <c r="F2966" s="3">
        <v>45611</v>
      </c>
      <c r="G2966" s="2" t="s">
        <v>3884</v>
      </c>
      <c r="H2966" s="2">
        <v>223873</v>
      </c>
      <c r="I2966" s="2">
        <v>689156</v>
      </c>
      <c r="J2966" s="2" t="s">
        <v>3891</v>
      </c>
      <c r="K2966" s="2" t="s">
        <v>3896</v>
      </c>
      <c r="L2966" s="2">
        <v>2025</v>
      </c>
      <c r="M2966" s="2">
        <v>-465283</v>
      </c>
      <c r="N2966" s="2">
        <f xml:space="preserve"> (Table1[[#This Row],[Variance (USD)]] / Table1[[#This Row],[Actual Spending (USD)]]) * 100</f>
        <v>-67.514902286274804</v>
      </c>
      <c r="O2966" s="5" t="s">
        <v>3897</v>
      </c>
    </row>
    <row r="2967" spans="1:15" x14ac:dyDescent="0.25">
      <c r="A2967" s="4" t="s">
        <v>2980</v>
      </c>
      <c r="B2967" s="2" t="s">
        <v>3288</v>
      </c>
      <c r="C2967" s="2" t="s">
        <v>3870</v>
      </c>
      <c r="D2967" s="2" t="s">
        <v>3877</v>
      </c>
      <c r="E2967" s="3">
        <v>45059</v>
      </c>
      <c r="F2967" s="3">
        <v>45487</v>
      </c>
      <c r="G2967" s="2" t="s">
        <v>3886</v>
      </c>
      <c r="H2967" s="2">
        <v>333343</v>
      </c>
      <c r="I2967" s="2">
        <v>1185703</v>
      </c>
      <c r="J2967" s="2" t="s">
        <v>3891</v>
      </c>
      <c r="K2967" s="2" t="s">
        <v>3893</v>
      </c>
      <c r="L2967" s="2">
        <v>2024</v>
      </c>
      <c r="M2967" s="2">
        <v>-852360</v>
      </c>
      <c r="N2967" s="2">
        <f xml:space="preserve"> (Table1[[#This Row],[Variance (USD)]] / Table1[[#This Row],[Actual Spending (USD)]]) * 100</f>
        <v>-71.886467353122995</v>
      </c>
      <c r="O2967" s="5" t="s">
        <v>3899</v>
      </c>
    </row>
    <row r="2968" spans="1:15" x14ac:dyDescent="0.25">
      <c r="A2968" s="4" t="s">
        <v>2981</v>
      </c>
      <c r="B2968" s="2" t="s">
        <v>3245</v>
      </c>
      <c r="C2968" s="2" t="s">
        <v>3869</v>
      </c>
      <c r="D2968" s="2" t="s">
        <v>3879</v>
      </c>
      <c r="E2968" s="3">
        <v>45518</v>
      </c>
      <c r="F2968" s="3">
        <v>45769</v>
      </c>
      <c r="G2968" s="2" t="s">
        <v>3885</v>
      </c>
      <c r="H2968" s="2">
        <v>836369</v>
      </c>
      <c r="I2968" s="2">
        <v>1154165</v>
      </c>
      <c r="J2968" s="2" t="s">
        <v>3888</v>
      </c>
      <c r="K2968" s="2" t="s">
        <v>3893</v>
      </c>
      <c r="L2968" s="2">
        <v>2025</v>
      </c>
      <c r="M2968" s="2">
        <v>-317796</v>
      </c>
      <c r="N2968" s="2">
        <f xml:space="preserve"> (Table1[[#This Row],[Variance (USD)]] / Table1[[#This Row],[Actual Spending (USD)]]) * 100</f>
        <v>-27.534711241460275</v>
      </c>
      <c r="O2968" s="5" t="s">
        <v>3898</v>
      </c>
    </row>
    <row r="2969" spans="1:15" x14ac:dyDescent="0.25">
      <c r="A2969" s="4" t="s">
        <v>2982</v>
      </c>
      <c r="B2969" s="2" t="s">
        <v>3820</v>
      </c>
      <c r="C2969" s="2" t="s">
        <v>3870</v>
      </c>
      <c r="D2969" s="2" t="s">
        <v>3882</v>
      </c>
      <c r="E2969" s="3">
        <v>45466</v>
      </c>
      <c r="F2969" s="3">
        <v>45709</v>
      </c>
      <c r="G2969" s="2" t="s">
        <v>3884</v>
      </c>
      <c r="H2969" s="2">
        <v>288962</v>
      </c>
      <c r="I2969" s="2">
        <v>451744</v>
      </c>
      <c r="J2969" s="2" t="s">
        <v>3888</v>
      </c>
      <c r="K2969" s="2" t="s">
        <v>3896</v>
      </c>
      <c r="L2969" s="2">
        <v>2025</v>
      </c>
      <c r="M2969" s="2">
        <v>-162782</v>
      </c>
      <c r="N2969" s="2">
        <f xml:space="preserve"> (Table1[[#This Row],[Variance (USD)]] / Table1[[#This Row],[Actual Spending (USD)]]) * 100</f>
        <v>-36.034125522419778</v>
      </c>
      <c r="O2969" s="5" t="s">
        <v>3897</v>
      </c>
    </row>
    <row r="2970" spans="1:15" x14ac:dyDescent="0.25">
      <c r="A2970" s="4" t="s">
        <v>2983</v>
      </c>
      <c r="B2970" s="2" t="s">
        <v>3356</v>
      </c>
      <c r="C2970" s="2" t="s">
        <v>3869</v>
      </c>
      <c r="D2970" s="2" t="s">
        <v>3878</v>
      </c>
      <c r="E2970" s="3">
        <v>45461</v>
      </c>
      <c r="F2970" s="3">
        <v>45766</v>
      </c>
      <c r="G2970" s="2" t="s">
        <v>3884</v>
      </c>
      <c r="H2970" s="2">
        <v>477704</v>
      </c>
      <c r="I2970" s="2">
        <v>801280</v>
      </c>
      <c r="J2970" s="2" t="s">
        <v>3889</v>
      </c>
      <c r="K2970" s="2" t="s">
        <v>3896</v>
      </c>
      <c r="L2970" s="2">
        <v>2023</v>
      </c>
      <c r="M2970" s="2">
        <v>-323576</v>
      </c>
      <c r="N2970" s="2">
        <f xml:space="preserve"> (Table1[[#This Row],[Variance (USD)]] / Table1[[#This Row],[Actual Spending (USD)]]) * 100</f>
        <v>-40.382388178913736</v>
      </c>
      <c r="O2970" s="5" t="s">
        <v>3897</v>
      </c>
    </row>
    <row r="2971" spans="1:15" x14ac:dyDescent="0.25">
      <c r="A2971" s="4" t="s">
        <v>2984</v>
      </c>
      <c r="B2971" s="2" t="s">
        <v>3025</v>
      </c>
      <c r="C2971" s="2" t="s">
        <v>3874</v>
      </c>
      <c r="D2971" s="2" t="s">
        <v>3881</v>
      </c>
      <c r="E2971" s="3">
        <v>45422</v>
      </c>
      <c r="F2971" s="3">
        <v>45898</v>
      </c>
      <c r="G2971" s="2" t="s">
        <v>3884</v>
      </c>
      <c r="H2971" s="2">
        <v>866925</v>
      </c>
      <c r="I2971" s="2">
        <v>161607</v>
      </c>
      <c r="J2971" s="2" t="s">
        <v>3892</v>
      </c>
      <c r="K2971" s="2" t="s">
        <v>3893</v>
      </c>
      <c r="L2971" s="2">
        <v>2024</v>
      </c>
      <c r="M2971" s="2">
        <v>705318</v>
      </c>
      <c r="N2971" s="2">
        <f xml:space="preserve"> (Table1[[#This Row],[Variance (USD)]] / Table1[[#This Row],[Actual Spending (USD)]]) * 100</f>
        <v>436.4402532068537</v>
      </c>
      <c r="O2971" s="5" t="s">
        <v>3897</v>
      </c>
    </row>
    <row r="2972" spans="1:15" x14ac:dyDescent="0.25">
      <c r="A2972" s="4" t="s">
        <v>2985</v>
      </c>
      <c r="B2972" s="2" t="s">
        <v>3760</v>
      </c>
      <c r="C2972" s="2" t="s">
        <v>3872</v>
      </c>
      <c r="D2972" s="2" t="s">
        <v>3878</v>
      </c>
      <c r="E2972" s="3">
        <v>45547</v>
      </c>
      <c r="F2972" s="3">
        <v>45859</v>
      </c>
      <c r="G2972" s="2" t="s">
        <v>3884</v>
      </c>
      <c r="H2972" s="2">
        <v>685833</v>
      </c>
      <c r="I2972" s="2">
        <v>1053692</v>
      </c>
      <c r="J2972" s="2" t="s">
        <v>3891</v>
      </c>
      <c r="K2972" s="2" t="s">
        <v>3895</v>
      </c>
      <c r="L2972" s="2">
        <v>2025</v>
      </c>
      <c r="M2972" s="2">
        <v>-367859</v>
      </c>
      <c r="N2972" s="2">
        <f xml:space="preserve"> (Table1[[#This Row],[Variance (USD)]] / Table1[[#This Row],[Actual Spending (USD)]]) * 100</f>
        <v>-34.911435220159213</v>
      </c>
      <c r="O2972" s="5" t="s">
        <v>3897</v>
      </c>
    </row>
    <row r="2973" spans="1:15" x14ac:dyDescent="0.25">
      <c r="A2973" s="4" t="s">
        <v>2986</v>
      </c>
      <c r="B2973" s="2" t="s">
        <v>3517</v>
      </c>
      <c r="C2973" s="2" t="s">
        <v>3871</v>
      </c>
      <c r="D2973" s="2" t="s">
        <v>3876</v>
      </c>
      <c r="E2973" s="3">
        <v>45545</v>
      </c>
      <c r="F2973" s="3">
        <v>45835</v>
      </c>
      <c r="G2973" s="2" t="s">
        <v>3886</v>
      </c>
      <c r="H2973" s="2">
        <v>361146</v>
      </c>
      <c r="I2973" s="2">
        <v>225984</v>
      </c>
      <c r="J2973" s="2" t="s">
        <v>3892</v>
      </c>
      <c r="K2973" s="2" t="s">
        <v>3896</v>
      </c>
      <c r="L2973" s="2">
        <v>2025</v>
      </c>
      <c r="M2973" s="2">
        <v>135162</v>
      </c>
      <c r="N2973" s="2">
        <f xml:space="preserve"> (Table1[[#This Row],[Variance (USD)]] / Table1[[#This Row],[Actual Spending (USD)]]) * 100</f>
        <v>59.810429056924384</v>
      </c>
      <c r="O2973" s="5" t="s">
        <v>3899</v>
      </c>
    </row>
    <row r="2974" spans="1:15" x14ac:dyDescent="0.25">
      <c r="A2974" s="4" t="s">
        <v>2987</v>
      </c>
      <c r="B2974" s="2" t="s">
        <v>3025</v>
      </c>
      <c r="C2974" s="2" t="s">
        <v>3870</v>
      </c>
      <c r="D2974" s="2" t="s">
        <v>3883</v>
      </c>
      <c r="E2974" s="3">
        <v>45583</v>
      </c>
      <c r="F2974" s="3">
        <v>45522</v>
      </c>
      <c r="G2974" s="2" t="s">
        <v>3884</v>
      </c>
      <c r="H2974" s="2">
        <v>73731</v>
      </c>
      <c r="I2974" s="2">
        <v>1019921</v>
      </c>
      <c r="J2974" s="2" t="s">
        <v>3892</v>
      </c>
      <c r="K2974" s="2" t="s">
        <v>3894</v>
      </c>
      <c r="L2974" s="2">
        <v>2025</v>
      </c>
      <c r="M2974" s="2">
        <v>-946190</v>
      </c>
      <c r="N2974" s="2">
        <f xml:space="preserve"> (Table1[[#This Row],[Variance (USD)]] / Table1[[#This Row],[Actual Spending (USD)]]) * 100</f>
        <v>-92.770910688180749</v>
      </c>
      <c r="O2974" s="5" t="s">
        <v>3897</v>
      </c>
    </row>
    <row r="2975" spans="1:15" x14ac:dyDescent="0.25">
      <c r="A2975" s="4" t="s">
        <v>2988</v>
      </c>
      <c r="B2975" s="2" t="s">
        <v>3738</v>
      </c>
      <c r="C2975" s="2" t="s">
        <v>3874</v>
      </c>
      <c r="D2975" s="2" t="s">
        <v>3881</v>
      </c>
      <c r="E2975" s="3">
        <v>45295</v>
      </c>
      <c r="F2975" s="3">
        <v>45812</v>
      </c>
      <c r="G2975" s="2" t="s">
        <v>3884</v>
      </c>
      <c r="H2975" s="2">
        <v>188148</v>
      </c>
      <c r="I2975" s="2">
        <v>600073</v>
      </c>
      <c r="J2975" s="2" t="s">
        <v>3889</v>
      </c>
      <c r="K2975" s="2" t="s">
        <v>3893</v>
      </c>
      <c r="L2975" s="2">
        <v>2025</v>
      </c>
      <c r="M2975" s="2">
        <v>-411925</v>
      </c>
      <c r="N2975" s="2">
        <f xml:space="preserve"> (Table1[[#This Row],[Variance (USD)]] / Table1[[#This Row],[Actual Spending (USD)]]) * 100</f>
        <v>-68.645814759204299</v>
      </c>
      <c r="O2975" s="5" t="s">
        <v>3897</v>
      </c>
    </row>
    <row r="2976" spans="1:15" x14ac:dyDescent="0.25">
      <c r="A2976" s="4" t="s">
        <v>2989</v>
      </c>
      <c r="B2976" s="2" t="s">
        <v>3807</v>
      </c>
      <c r="C2976" s="2" t="s">
        <v>3870</v>
      </c>
      <c r="D2976" s="2" t="s">
        <v>3878</v>
      </c>
      <c r="E2976" s="3">
        <v>45577</v>
      </c>
      <c r="F2976" s="3">
        <v>45994</v>
      </c>
      <c r="G2976" s="2" t="s">
        <v>3884</v>
      </c>
      <c r="H2976" s="2">
        <v>837503</v>
      </c>
      <c r="I2976" s="2">
        <v>807426</v>
      </c>
      <c r="J2976" s="2" t="s">
        <v>3890</v>
      </c>
      <c r="K2976" s="2" t="s">
        <v>3895</v>
      </c>
      <c r="L2976" s="2">
        <v>2023</v>
      </c>
      <c r="M2976" s="2">
        <v>30077</v>
      </c>
      <c r="N2976" s="2">
        <f xml:space="preserve"> (Table1[[#This Row],[Variance (USD)]] / Table1[[#This Row],[Actual Spending (USD)]]) * 100</f>
        <v>3.7250472489119746</v>
      </c>
      <c r="O2976" s="5" t="s">
        <v>3897</v>
      </c>
    </row>
    <row r="2977" spans="1:15" x14ac:dyDescent="0.25">
      <c r="A2977" s="4" t="s">
        <v>2990</v>
      </c>
      <c r="B2977" s="2" t="s">
        <v>3239</v>
      </c>
      <c r="C2977" s="2" t="s">
        <v>3869</v>
      </c>
      <c r="D2977" s="2" t="s">
        <v>3880</v>
      </c>
      <c r="E2977" s="3">
        <v>45025</v>
      </c>
      <c r="F2977" s="3">
        <v>45491</v>
      </c>
      <c r="G2977" s="2" t="s">
        <v>3886</v>
      </c>
      <c r="H2977" s="2">
        <v>936358</v>
      </c>
      <c r="I2977" s="2">
        <v>399915</v>
      </c>
      <c r="J2977" s="2" t="s">
        <v>3890</v>
      </c>
      <c r="K2977" s="2" t="s">
        <v>3896</v>
      </c>
      <c r="L2977" s="2">
        <v>2025</v>
      </c>
      <c r="M2977" s="2">
        <v>536443</v>
      </c>
      <c r="N2977" s="2">
        <f xml:space="preserve"> (Table1[[#This Row],[Variance (USD)]] / Table1[[#This Row],[Actual Spending (USD)]]) * 100</f>
        <v>134.13925459160072</v>
      </c>
      <c r="O2977" s="5" t="s">
        <v>3899</v>
      </c>
    </row>
    <row r="2978" spans="1:15" x14ac:dyDescent="0.25">
      <c r="A2978" s="4" t="s">
        <v>2991</v>
      </c>
      <c r="B2978" s="2" t="s">
        <v>3818</v>
      </c>
      <c r="C2978" s="2" t="s">
        <v>3868</v>
      </c>
      <c r="D2978" s="2" t="s">
        <v>3880</v>
      </c>
      <c r="E2978" s="3">
        <v>45243</v>
      </c>
      <c r="F2978" s="3">
        <v>45964</v>
      </c>
      <c r="G2978" s="2" t="s">
        <v>3884</v>
      </c>
      <c r="H2978" s="2">
        <v>702160</v>
      </c>
      <c r="I2978" s="2">
        <v>421170</v>
      </c>
      <c r="J2978" s="2" t="s">
        <v>3890</v>
      </c>
      <c r="K2978" s="2" t="s">
        <v>3896</v>
      </c>
      <c r="L2978" s="2">
        <v>2025</v>
      </c>
      <c r="M2978" s="2">
        <v>280990</v>
      </c>
      <c r="N2978" s="2">
        <f xml:space="preserve"> (Table1[[#This Row],[Variance (USD)]] / Table1[[#This Row],[Actual Spending (USD)]]) * 100</f>
        <v>66.716527767884699</v>
      </c>
      <c r="O2978" s="5" t="s">
        <v>3897</v>
      </c>
    </row>
    <row r="2979" spans="1:15" x14ac:dyDescent="0.25">
      <c r="A2979" s="4" t="s">
        <v>2992</v>
      </c>
      <c r="B2979" s="2" t="s">
        <v>3277</v>
      </c>
      <c r="C2979" s="2" t="s">
        <v>3870</v>
      </c>
      <c r="D2979" s="2" t="s">
        <v>3879</v>
      </c>
      <c r="E2979" s="3">
        <v>45049</v>
      </c>
      <c r="F2979" s="3">
        <v>45890</v>
      </c>
      <c r="G2979" s="2" t="s">
        <v>3886</v>
      </c>
      <c r="H2979" s="2">
        <v>91410</v>
      </c>
      <c r="I2979" s="2">
        <v>537483</v>
      </c>
      <c r="J2979" s="2" t="s">
        <v>3888</v>
      </c>
      <c r="K2979" s="2" t="s">
        <v>3895</v>
      </c>
      <c r="L2979" s="2">
        <v>2023</v>
      </c>
      <c r="M2979" s="2">
        <v>-446073</v>
      </c>
      <c r="N2979" s="2">
        <f xml:space="preserve"> (Table1[[#This Row],[Variance (USD)]] / Table1[[#This Row],[Actual Spending (USD)]]) * 100</f>
        <v>-82.992950474712686</v>
      </c>
      <c r="O2979" s="5" t="s">
        <v>3899</v>
      </c>
    </row>
    <row r="2980" spans="1:15" x14ac:dyDescent="0.25">
      <c r="A2980" s="4" t="s">
        <v>2993</v>
      </c>
      <c r="B2980" s="2" t="s">
        <v>3448</v>
      </c>
      <c r="C2980" s="2" t="s">
        <v>3874</v>
      </c>
      <c r="D2980" s="2" t="s">
        <v>3881</v>
      </c>
      <c r="E2980" s="3">
        <v>45246</v>
      </c>
      <c r="F2980" s="3">
        <v>45312</v>
      </c>
      <c r="G2980" s="2" t="s">
        <v>3884</v>
      </c>
      <c r="H2980" s="2">
        <v>804561</v>
      </c>
      <c r="I2980" s="2">
        <v>489777</v>
      </c>
      <c r="J2980" s="2" t="s">
        <v>3891</v>
      </c>
      <c r="K2980" s="2" t="s">
        <v>3894</v>
      </c>
      <c r="L2980" s="2">
        <v>2024</v>
      </c>
      <c r="M2980" s="2">
        <v>314784</v>
      </c>
      <c r="N2980" s="2">
        <f xml:space="preserve"> (Table1[[#This Row],[Variance (USD)]] / Table1[[#This Row],[Actual Spending (USD)]]) * 100</f>
        <v>64.270882462835118</v>
      </c>
      <c r="O2980" s="5" t="s">
        <v>3897</v>
      </c>
    </row>
    <row r="2981" spans="1:15" x14ac:dyDescent="0.25">
      <c r="A2981" s="4" t="s">
        <v>2994</v>
      </c>
      <c r="B2981" s="2" t="s">
        <v>3049</v>
      </c>
      <c r="C2981" s="2" t="s">
        <v>3869</v>
      </c>
      <c r="D2981" s="2" t="s">
        <v>3879</v>
      </c>
      <c r="E2981" s="3">
        <v>45519</v>
      </c>
      <c r="F2981" s="3">
        <v>45602</v>
      </c>
      <c r="G2981" s="2" t="s">
        <v>3884</v>
      </c>
      <c r="H2981" s="2">
        <v>497543</v>
      </c>
      <c r="I2981" s="2">
        <v>716229</v>
      </c>
      <c r="J2981" s="2" t="s">
        <v>3888</v>
      </c>
      <c r="K2981" s="2" t="s">
        <v>3893</v>
      </c>
      <c r="L2981" s="2">
        <v>2024</v>
      </c>
      <c r="M2981" s="2">
        <v>-218686</v>
      </c>
      <c r="N2981" s="2">
        <f xml:space="preserve"> (Table1[[#This Row],[Variance (USD)]] / Table1[[#This Row],[Actual Spending (USD)]]) * 100</f>
        <v>-30.532971996386632</v>
      </c>
      <c r="O2981" s="5" t="s">
        <v>3897</v>
      </c>
    </row>
    <row r="2982" spans="1:15" x14ac:dyDescent="0.25">
      <c r="A2982" s="4" t="s">
        <v>2995</v>
      </c>
      <c r="B2982" s="2" t="s">
        <v>3629</v>
      </c>
      <c r="C2982" s="2" t="s">
        <v>3873</v>
      </c>
      <c r="D2982" s="2" t="s">
        <v>3883</v>
      </c>
      <c r="E2982" s="3">
        <v>45421</v>
      </c>
      <c r="F2982" s="3">
        <v>45879</v>
      </c>
      <c r="G2982" s="2" t="s">
        <v>3884</v>
      </c>
      <c r="H2982" s="2">
        <v>931380</v>
      </c>
      <c r="I2982" s="2">
        <v>226166</v>
      </c>
      <c r="J2982" s="2" t="s">
        <v>3891</v>
      </c>
      <c r="K2982" s="2" t="s">
        <v>3896</v>
      </c>
      <c r="L2982" s="2">
        <v>2023</v>
      </c>
      <c r="M2982" s="2">
        <v>705214</v>
      </c>
      <c r="N2982" s="2">
        <f xml:space="preserve"> (Table1[[#This Row],[Variance (USD)]] / Table1[[#This Row],[Actual Spending (USD)]]) * 100</f>
        <v>311.81256245412663</v>
      </c>
      <c r="O2982" s="5" t="s">
        <v>3897</v>
      </c>
    </row>
    <row r="2983" spans="1:15" x14ac:dyDescent="0.25">
      <c r="A2983" s="4" t="s">
        <v>2996</v>
      </c>
      <c r="B2983" s="2" t="s">
        <v>3801</v>
      </c>
      <c r="C2983" s="2" t="s">
        <v>3869</v>
      </c>
      <c r="D2983" s="2" t="s">
        <v>3883</v>
      </c>
      <c r="E2983" s="3">
        <v>45383</v>
      </c>
      <c r="F2983" s="3">
        <v>45944</v>
      </c>
      <c r="G2983" s="2" t="s">
        <v>3884</v>
      </c>
      <c r="H2983" s="2">
        <v>766432</v>
      </c>
      <c r="I2983" s="2">
        <v>1108768</v>
      </c>
      <c r="J2983" s="2" t="s">
        <v>3891</v>
      </c>
      <c r="K2983" s="2" t="s">
        <v>3894</v>
      </c>
      <c r="L2983" s="2">
        <v>2024</v>
      </c>
      <c r="M2983" s="2">
        <v>-342336</v>
      </c>
      <c r="N2983" s="2">
        <f xml:space="preserve"> (Table1[[#This Row],[Variance (USD)]] / Table1[[#This Row],[Actual Spending (USD)]]) * 100</f>
        <v>-30.875349937949149</v>
      </c>
      <c r="O2983" s="5" t="s">
        <v>3897</v>
      </c>
    </row>
    <row r="2984" spans="1:15" x14ac:dyDescent="0.25">
      <c r="A2984" s="4" t="s">
        <v>2997</v>
      </c>
      <c r="B2984" s="2" t="s">
        <v>3477</v>
      </c>
      <c r="C2984" s="2" t="s">
        <v>3872</v>
      </c>
      <c r="D2984" s="2" t="s">
        <v>3876</v>
      </c>
      <c r="E2984" s="3">
        <v>45448</v>
      </c>
      <c r="F2984" s="3">
        <v>45929</v>
      </c>
      <c r="G2984" s="2" t="s">
        <v>3884</v>
      </c>
      <c r="H2984" s="2">
        <v>278443</v>
      </c>
      <c r="I2984" s="2">
        <v>634229</v>
      </c>
      <c r="J2984" s="2" t="s">
        <v>3891</v>
      </c>
      <c r="K2984" s="2" t="s">
        <v>3893</v>
      </c>
      <c r="L2984" s="2">
        <v>2024</v>
      </c>
      <c r="M2984" s="2">
        <v>-355786</v>
      </c>
      <c r="N2984" s="2">
        <f xml:space="preserve"> (Table1[[#This Row],[Variance (USD)]] / Table1[[#This Row],[Actual Spending (USD)]]) * 100</f>
        <v>-56.097403303853966</v>
      </c>
      <c r="O2984" s="5" t="s">
        <v>3897</v>
      </c>
    </row>
    <row r="2985" spans="1:15" x14ac:dyDescent="0.25">
      <c r="A2985" s="4" t="s">
        <v>2998</v>
      </c>
      <c r="B2985" s="2" t="s">
        <v>3582</v>
      </c>
      <c r="C2985" s="2" t="s">
        <v>3871</v>
      </c>
      <c r="D2985" s="2" t="s">
        <v>3882</v>
      </c>
      <c r="E2985" s="3">
        <v>45446</v>
      </c>
      <c r="F2985" s="3">
        <v>45887</v>
      </c>
      <c r="G2985" s="2" t="s">
        <v>3884</v>
      </c>
      <c r="H2985" s="2">
        <v>91041</v>
      </c>
      <c r="I2985" s="2">
        <v>983595</v>
      </c>
      <c r="J2985" s="2" t="s">
        <v>3889</v>
      </c>
      <c r="K2985" s="2" t="s">
        <v>3894</v>
      </c>
      <c r="L2985" s="2">
        <v>2023</v>
      </c>
      <c r="M2985" s="2">
        <v>-892554</v>
      </c>
      <c r="N2985" s="2">
        <f xml:space="preserve"> (Table1[[#This Row],[Variance (USD)]] / Table1[[#This Row],[Actual Spending (USD)]]) * 100</f>
        <v>-90.744056242660847</v>
      </c>
      <c r="O2985" s="5" t="s">
        <v>3897</v>
      </c>
    </row>
    <row r="2986" spans="1:15" x14ac:dyDescent="0.25">
      <c r="A2986" s="4" t="s">
        <v>2999</v>
      </c>
      <c r="B2986" s="2" t="s">
        <v>3162</v>
      </c>
      <c r="C2986" s="2" t="s">
        <v>3873</v>
      </c>
      <c r="D2986" s="2" t="s">
        <v>3882</v>
      </c>
      <c r="E2986" s="3">
        <v>45643</v>
      </c>
      <c r="F2986" s="3">
        <v>45725</v>
      </c>
      <c r="G2986" s="2" t="s">
        <v>3885</v>
      </c>
      <c r="H2986" s="2">
        <v>435760</v>
      </c>
      <c r="I2986" s="2">
        <v>1035565</v>
      </c>
      <c r="J2986" s="2" t="s">
        <v>3890</v>
      </c>
      <c r="K2986" s="2" t="s">
        <v>3893</v>
      </c>
      <c r="L2986" s="2">
        <v>2025</v>
      </c>
      <c r="M2986" s="2">
        <v>-599805</v>
      </c>
      <c r="N2986" s="2">
        <f xml:space="preserve"> (Table1[[#This Row],[Variance (USD)]] / Table1[[#This Row],[Actual Spending (USD)]]) * 100</f>
        <v>-57.920555445578017</v>
      </c>
      <c r="O2986" s="5" t="s">
        <v>3898</v>
      </c>
    </row>
    <row r="2987" spans="1:15" x14ac:dyDescent="0.25">
      <c r="A2987" s="4" t="s">
        <v>3000</v>
      </c>
      <c r="B2987" s="2" t="s">
        <v>3544</v>
      </c>
      <c r="C2987" s="2" t="s">
        <v>3872</v>
      </c>
      <c r="D2987" s="2" t="s">
        <v>3877</v>
      </c>
      <c r="E2987" s="3">
        <v>45241</v>
      </c>
      <c r="F2987" s="3">
        <v>45662</v>
      </c>
      <c r="G2987" s="2" t="s">
        <v>3886</v>
      </c>
      <c r="H2987" s="2">
        <v>627614</v>
      </c>
      <c r="I2987" s="2">
        <v>35017</v>
      </c>
      <c r="J2987" s="2" t="s">
        <v>3888</v>
      </c>
      <c r="K2987" s="2" t="s">
        <v>3893</v>
      </c>
      <c r="L2987" s="2">
        <v>2023</v>
      </c>
      <c r="M2987" s="2">
        <v>592597</v>
      </c>
      <c r="N2987" s="2">
        <f xml:space="preserve"> (Table1[[#This Row],[Variance (USD)]] / Table1[[#This Row],[Actual Spending (USD)]]) * 100</f>
        <v>1692.3123054516377</v>
      </c>
      <c r="O2987" s="5" t="s">
        <v>3899</v>
      </c>
    </row>
    <row r="2988" spans="1:15" x14ac:dyDescent="0.25">
      <c r="A2988" s="4" t="s">
        <v>3001</v>
      </c>
      <c r="B2988" s="2" t="s">
        <v>3677</v>
      </c>
      <c r="C2988" s="2" t="s">
        <v>3872</v>
      </c>
      <c r="D2988" s="2" t="s">
        <v>3879</v>
      </c>
      <c r="E2988" s="3">
        <v>45635</v>
      </c>
      <c r="F2988" s="3">
        <v>45851</v>
      </c>
      <c r="G2988" s="2" t="s">
        <v>3884</v>
      </c>
      <c r="H2988" s="2">
        <v>481765</v>
      </c>
      <c r="I2988" s="2">
        <v>741833</v>
      </c>
      <c r="J2988" s="2" t="s">
        <v>3888</v>
      </c>
      <c r="K2988" s="2" t="s">
        <v>3894</v>
      </c>
      <c r="L2988" s="2">
        <v>2023</v>
      </c>
      <c r="M2988" s="2">
        <v>-260068</v>
      </c>
      <c r="N2988" s="2">
        <f xml:space="preserve"> (Table1[[#This Row],[Variance (USD)]] / Table1[[#This Row],[Actual Spending (USD)]]) * 100</f>
        <v>-35.057485984042231</v>
      </c>
      <c r="O2988" s="5" t="s">
        <v>3897</v>
      </c>
    </row>
    <row r="2989" spans="1:15" x14ac:dyDescent="0.25">
      <c r="A2989" s="4" t="s">
        <v>3002</v>
      </c>
      <c r="B2989" s="2" t="s">
        <v>3722</v>
      </c>
      <c r="C2989" s="2" t="s">
        <v>3872</v>
      </c>
      <c r="D2989" s="2" t="s">
        <v>3883</v>
      </c>
      <c r="E2989" s="3">
        <v>45636</v>
      </c>
      <c r="F2989" s="3">
        <v>45369</v>
      </c>
      <c r="G2989" s="2" t="s">
        <v>3884</v>
      </c>
      <c r="H2989" s="2">
        <v>889528</v>
      </c>
      <c r="I2989" s="2">
        <v>213195</v>
      </c>
      <c r="J2989" s="2" t="s">
        <v>3889</v>
      </c>
      <c r="K2989" s="2" t="s">
        <v>3893</v>
      </c>
      <c r="L2989" s="2">
        <v>2023</v>
      </c>
      <c r="M2989" s="2">
        <v>676333</v>
      </c>
      <c r="N2989" s="2">
        <f xml:space="preserve"> (Table1[[#This Row],[Variance (USD)]] / Table1[[#This Row],[Actual Spending (USD)]]) * 100</f>
        <v>317.23680198878958</v>
      </c>
      <c r="O2989" s="5" t="s">
        <v>3897</v>
      </c>
    </row>
    <row r="2990" spans="1:15" x14ac:dyDescent="0.25">
      <c r="A2990" s="4" t="s">
        <v>3003</v>
      </c>
      <c r="B2990" s="2" t="s">
        <v>3060</v>
      </c>
      <c r="C2990" s="2" t="s">
        <v>3868</v>
      </c>
      <c r="D2990" s="2" t="s">
        <v>3882</v>
      </c>
      <c r="E2990" s="3">
        <v>45468</v>
      </c>
      <c r="F2990" s="3">
        <v>45833</v>
      </c>
      <c r="G2990" s="2" t="s">
        <v>3887</v>
      </c>
      <c r="H2990" s="2">
        <v>760938</v>
      </c>
      <c r="I2990" s="2">
        <v>340404</v>
      </c>
      <c r="J2990" s="2" t="s">
        <v>3891</v>
      </c>
      <c r="K2990" s="2" t="s">
        <v>3896</v>
      </c>
      <c r="L2990" s="2">
        <v>2023</v>
      </c>
      <c r="M2990" s="2">
        <v>420534</v>
      </c>
      <c r="N2990" s="2">
        <f xml:space="preserve"> (Table1[[#This Row],[Variance (USD)]] / Table1[[#This Row],[Actual Spending (USD)]]) * 100</f>
        <v>123.53967638453132</v>
      </c>
      <c r="O2990" s="5" t="s">
        <v>3900</v>
      </c>
    </row>
    <row r="2991" spans="1:15" x14ac:dyDescent="0.25">
      <c r="A2991" s="4" t="s">
        <v>3004</v>
      </c>
      <c r="B2991" s="2" t="s">
        <v>3756</v>
      </c>
      <c r="C2991" s="2" t="s">
        <v>3872</v>
      </c>
      <c r="D2991" s="2" t="s">
        <v>3879</v>
      </c>
      <c r="E2991" s="3">
        <v>45405</v>
      </c>
      <c r="F2991" s="3">
        <v>45576</v>
      </c>
      <c r="G2991" s="2" t="s">
        <v>3886</v>
      </c>
      <c r="H2991" s="2">
        <v>489268</v>
      </c>
      <c r="I2991" s="2">
        <v>75938</v>
      </c>
      <c r="J2991" s="2" t="s">
        <v>3890</v>
      </c>
      <c r="K2991" s="2" t="s">
        <v>3896</v>
      </c>
      <c r="L2991" s="2">
        <v>2023</v>
      </c>
      <c r="M2991" s="2">
        <v>413330</v>
      </c>
      <c r="N2991" s="2">
        <f xml:space="preserve"> (Table1[[#This Row],[Variance (USD)]] / Table1[[#This Row],[Actual Spending (USD)]]) * 100</f>
        <v>544.29929679475356</v>
      </c>
      <c r="O2991" s="5" t="s">
        <v>3899</v>
      </c>
    </row>
    <row r="2992" spans="1:15" x14ac:dyDescent="0.25">
      <c r="A2992" s="4" t="s">
        <v>3005</v>
      </c>
      <c r="B2992" s="2" t="s">
        <v>3318</v>
      </c>
      <c r="C2992" s="2" t="s">
        <v>3868</v>
      </c>
      <c r="D2992" s="2" t="s">
        <v>3883</v>
      </c>
      <c r="E2992" s="3">
        <v>44946</v>
      </c>
      <c r="F2992" s="3">
        <v>45939</v>
      </c>
      <c r="G2992" s="2" t="s">
        <v>3884</v>
      </c>
      <c r="H2992" s="2">
        <v>879599</v>
      </c>
      <c r="I2992" s="2">
        <v>219001</v>
      </c>
      <c r="J2992" s="2" t="s">
        <v>3892</v>
      </c>
      <c r="K2992" s="2" t="s">
        <v>3894</v>
      </c>
      <c r="L2992" s="2">
        <v>2025</v>
      </c>
      <c r="M2992" s="2">
        <v>660598</v>
      </c>
      <c r="N2992" s="2">
        <f xml:space="preserve"> (Table1[[#This Row],[Variance (USD)]] / Table1[[#This Row],[Actual Spending (USD)]]) * 100</f>
        <v>301.64154501577622</v>
      </c>
      <c r="O2992" s="5" t="s">
        <v>3897</v>
      </c>
    </row>
    <row r="2993" spans="1:15" x14ac:dyDescent="0.25">
      <c r="A2993" s="4" t="s">
        <v>3006</v>
      </c>
      <c r="B2993" s="2" t="s">
        <v>3282</v>
      </c>
      <c r="C2993" s="2" t="s">
        <v>3872</v>
      </c>
      <c r="D2993" s="2" t="s">
        <v>3878</v>
      </c>
      <c r="E2993" s="3">
        <v>45486</v>
      </c>
      <c r="F2993" s="3">
        <v>45431</v>
      </c>
      <c r="G2993" s="2" t="s">
        <v>3886</v>
      </c>
      <c r="H2993" s="2">
        <v>497803</v>
      </c>
      <c r="I2993" s="2">
        <v>1163841</v>
      </c>
      <c r="J2993" s="2" t="s">
        <v>3892</v>
      </c>
      <c r="K2993" s="2" t="s">
        <v>3894</v>
      </c>
      <c r="L2993" s="2">
        <v>2024</v>
      </c>
      <c r="M2993" s="2">
        <v>-666038</v>
      </c>
      <c r="N2993" s="2">
        <f xml:space="preserve"> (Table1[[#This Row],[Variance (USD)]] / Table1[[#This Row],[Actual Spending (USD)]]) * 100</f>
        <v>-57.227576619142994</v>
      </c>
      <c r="O2993" s="5" t="s">
        <v>3899</v>
      </c>
    </row>
    <row r="2994" spans="1:15" x14ac:dyDescent="0.25">
      <c r="A2994" s="4" t="s">
        <v>3007</v>
      </c>
      <c r="B2994" s="2" t="s">
        <v>3545</v>
      </c>
      <c r="C2994" s="2" t="s">
        <v>3875</v>
      </c>
      <c r="D2994" s="2" t="s">
        <v>3879</v>
      </c>
      <c r="E2994" s="3">
        <v>45056</v>
      </c>
      <c r="F2994" s="3">
        <v>45844</v>
      </c>
      <c r="G2994" s="2" t="s">
        <v>3886</v>
      </c>
      <c r="H2994" s="2">
        <v>897724</v>
      </c>
      <c r="I2994" s="2">
        <v>198444</v>
      </c>
      <c r="J2994" s="2" t="s">
        <v>3889</v>
      </c>
      <c r="K2994" s="2" t="s">
        <v>3893</v>
      </c>
      <c r="L2994" s="2">
        <v>2023</v>
      </c>
      <c r="M2994" s="2">
        <v>699280</v>
      </c>
      <c r="N2994" s="2">
        <f xml:space="preserve"> (Table1[[#This Row],[Variance (USD)]] / Table1[[#This Row],[Actual Spending (USD)]]) * 100</f>
        <v>352.38152829009698</v>
      </c>
      <c r="O2994" s="5" t="s">
        <v>3899</v>
      </c>
    </row>
    <row r="2995" spans="1:15" x14ac:dyDescent="0.25">
      <c r="A2995" s="4" t="s">
        <v>3008</v>
      </c>
      <c r="B2995" s="2" t="s">
        <v>3374</v>
      </c>
      <c r="C2995" s="2" t="s">
        <v>3874</v>
      </c>
      <c r="D2995" s="2" t="s">
        <v>3878</v>
      </c>
      <c r="E2995" s="3">
        <v>45219</v>
      </c>
      <c r="F2995" s="3">
        <v>45573</v>
      </c>
      <c r="G2995" s="2" t="s">
        <v>3886</v>
      </c>
      <c r="H2995" s="2">
        <v>387563</v>
      </c>
      <c r="I2995" s="2">
        <v>738612</v>
      </c>
      <c r="J2995" s="2" t="s">
        <v>3890</v>
      </c>
      <c r="K2995" s="2" t="s">
        <v>3893</v>
      </c>
      <c r="L2995" s="2">
        <v>2025</v>
      </c>
      <c r="M2995" s="2">
        <v>-351049</v>
      </c>
      <c r="N2995" s="2">
        <f xml:space="preserve"> (Table1[[#This Row],[Variance (USD)]] / Table1[[#This Row],[Actual Spending (USD)]]) * 100</f>
        <v>-47.528201545601753</v>
      </c>
      <c r="O2995" s="5" t="s">
        <v>3899</v>
      </c>
    </row>
    <row r="2996" spans="1:15" x14ac:dyDescent="0.25">
      <c r="A2996" s="4" t="s">
        <v>3009</v>
      </c>
      <c r="B2996" s="2" t="s">
        <v>3124</v>
      </c>
      <c r="C2996" s="2" t="s">
        <v>3873</v>
      </c>
      <c r="D2996" s="2" t="s">
        <v>3879</v>
      </c>
      <c r="E2996" s="3">
        <v>45058</v>
      </c>
      <c r="F2996" s="3">
        <v>45853</v>
      </c>
      <c r="G2996" s="2" t="s">
        <v>3884</v>
      </c>
      <c r="H2996" s="2">
        <v>747499</v>
      </c>
      <c r="I2996" s="2">
        <v>306772</v>
      </c>
      <c r="J2996" s="2" t="s">
        <v>3892</v>
      </c>
      <c r="K2996" s="2" t="s">
        <v>3894</v>
      </c>
      <c r="L2996" s="2">
        <v>2023</v>
      </c>
      <c r="M2996" s="2">
        <v>440727</v>
      </c>
      <c r="N2996" s="2">
        <f xml:space="preserve"> (Table1[[#This Row],[Variance (USD)]] / Table1[[#This Row],[Actual Spending (USD)]]) * 100</f>
        <v>143.66597994601855</v>
      </c>
      <c r="O2996" s="5" t="s">
        <v>3897</v>
      </c>
    </row>
    <row r="2997" spans="1:15" x14ac:dyDescent="0.25">
      <c r="A2997" s="4" t="s">
        <v>3010</v>
      </c>
      <c r="B2997" s="2" t="s">
        <v>3262</v>
      </c>
      <c r="C2997" s="2" t="s">
        <v>3875</v>
      </c>
      <c r="D2997" s="2" t="s">
        <v>3877</v>
      </c>
      <c r="E2997" s="3">
        <v>45282</v>
      </c>
      <c r="F2997" s="3">
        <v>45549</v>
      </c>
      <c r="G2997" s="2" t="s">
        <v>3884</v>
      </c>
      <c r="H2997" s="2">
        <v>560839</v>
      </c>
      <c r="I2997" s="2">
        <v>415383</v>
      </c>
      <c r="J2997" s="2" t="s">
        <v>3892</v>
      </c>
      <c r="K2997" s="2" t="s">
        <v>3895</v>
      </c>
      <c r="L2997" s="2">
        <v>2025</v>
      </c>
      <c r="M2997" s="2">
        <v>145456</v>
      </c>
      <c r="N2997" s="2">
        <f xml:space="preserve"> (Table1[[#This Row],[Variance (USD)]] / Table1[[#This Row],[Actual Spending (USD)]]) * 100</f>
        <v>35.017321363657153</v>
      </c>
      <c r="O2997" s="5" t="s">
        <v>3897</v>
      </c>
    </row>
    <row r="2998" spans="1:15" x14ac:dyDescent="0.25">
      <c r="A2998" s="4" t="s">
        <v>3011</v>
      </c>
      <c r="B2998" s="2" t="s">
        <v>3867</v>
      </c>
      <c r="C2998" s="2" t="s">
        <v>3872</v>
      </c>
      <c r="D2998" s="2" t="s">
        <v>3876</v>
      </c>
      <c r="E2998" s="3">
        <v>44980</v>
      </c>
      <c r="F2998" s="3">
        <v>45651</v>
      </c>
      <c r="G2998" s="2" t="s">
        <v>3884</v>
      </c>
      <c r="H2998" s="2">
        <v>924185</v>
      </c>
      <c r="I2998" s="2">
        <v>672453</v>
      </c>
      <c r="J2998" s="2" t="s">
        <v>3888</v>
      </c>
      <c r="K2998" s="2" t="s">
        <v>3894</v>
      </c>
      <c r="L2998" s="2">
        <v>2024</v>
      </c>
      <c r="M2998" s="2">
        <v>251732</v>
      </c>
      <c r="N2998" s="2">
        <f xml:space="preserve"> (Table1[[#This Row],[Variance (USD)]] / Table1[[#This Row],[Actual Spending (USD)]]) * 100</f>
        <v>37.434883924973192</v>
      </c>
      <c r="O2998" s="5" t="s">
        <v>3897</v>
      </c>
    </row>
    <row r="2999" spans="1:15" x14ac:dyDescent="0.25">
      <c r="A2999" s="4" t="s">
        <v>3012</v>
      </c>
      <c r="B2999" s="2" t="s">
        <v>3098</v>
      </c>
      <c r="C2999" s="2" t="s">
        <v>3873</v>
      </c>
      <c r="D2999" s="2" t="s">
        <v>3880</v>
      </c>
      <c r="E2999" s="3">
        <v>45313</v>
      </c>
      <c r="F2999" s="3">
        <v>45731</v>
      </c>
      <c r="G2999" s="2" t="s">
        <v>3885</v>
      </c>
      <c r="H2999" s="2">
        <v>716067</v>
      </c>
      <c r="I2999" s="2">
        <v>905792</v>
      </c>
      <c r="J2999" s="2" t="s">
        <v>3890</v>
      </c>
      <c r="K2999" s="2" t="s">
        <v>3895</v>
      </c>
      <c r="L2999" s="2">
        <v>2025</v>
      </c>
      <c r="M2999" s="2">
        <v>-189725</v>
      </c>
      <c r="N2999" s="2">
        <f xml:space="preserve"> (Table1[[#This Row],[Variance (USD)]] / Table1[[#This Row],[Actual Spending (USD)]]) * 100</f>
        <v>-20.945757966508868</v>
      </c>
      <c r="O2999" s="5" t="s">
        <v>3898</v>
      </c>
    </row>
    <row r="3000" spans="1:15" x14ac:dyDescent="0.25">
      <c r="A3000" s="4" t="s">
        <v>3013</v>
      </c>
      <c r="B3000" s="2" t="s">
        <v>3023</v>
      </c>
      <c r="C3000" s="2" t="s">
        <v>3873</v>
      </c>
      <c r="D3000" s="2" t="s">
        <v>3882</v>
      </c>
      <c r="E3000" s="3">
        <v>45191</v>
      </c>
      <c r="F3000" s="3">
        <v>45561</v>
      </c>
      <c r="G3000" s="2" t="s">
        <v>3886</v>
      </c>
      <c r="H3000" s="2">
        <v>811752</v>
      </c>
      <c r="I3000" s="2">
        <v>360492</v>
      </c>
      <c r="J3000" s="2" t="s">
        <v>3892</v>
      </c>
      <c r="K3000" s="2" t="s">
        <v>3895</v>
      </c>
      <c r="L3000" s="2">
        <v>2025</v>
      </c>
      <c r="M3000" s="2">
        <v>451260</v>
      </c>
      <c r="N3000" s="2">
        <f xml:space="preserve"> (Table1[[#This Row],[Variance (USD)]] / Table1[[#This Row],[Actual Spending (USD)]]) * 100</f>
        <v>125.17892213974235</v>
      </c>
      <c r="O3000" s="5" t="s">
        <v>3899</v>
      </c>
    </row>
    <row r="3001" spans="1:15" x14ac:dyDescent="0.25">
      <c r="A3001" s="10" t="s">
        <v>3014</v>
      </c>
      <c r="B3001" s="11" t="s">
        <v>3754</v>
      </c>
      <c r="C3001" s="11" t="s">
        <v>3870</v>
      </c>
      <c r="D3001" s="11" t="s">
        <v>3880</v>
      </c>
      <c r="E3001" s="12">
        <v>45141</v>
      </c>
      <c r="F3001" s="12">
        <v>45425</v>
      </c>
      <c r="G3001" s="11" t="s">
        <v>3884</v>
      </c>
      <c r="H3001" s="11">
        <v>980644</v>
      </c>
      <c r="I3001" s="11">
        <v>390492</v>
      </c>
      <c r="J3001" s="11" t="s">
        <v>3888</v>
      </c>
      <c r="K3001" s="11" t="s">
        <v>3894</v>
      </c>
      <c r="L3001" s="11">
        <v>2024</v>
      </c>
      <c r="M3001" s="11">
        <v>590152</v>
      </c>
      <c r="N3001" s="2">
        <f xml:space="preserve"> (Table1[[#This Row],[Variance (USD)]] / Table1[[#This Row],[Actual Spending (USD)]]) * 100</f>
        <v>151.13036886799219</v>
      </c>
      <c r="O3001" s="13" t="s">
        <v>3897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6D6FA-8437-4C40-858C-83E8D7A140A9}">
  <dimension ref="B2:J29"/>
  <sheetViews>
    <sheetView topLeftCell="A13" zoomScale="88" zoomScaleNormal="40" workbookViewId="0">
      <selection activeCell="I4" sqref="I4"/>
    </sheetView>
  </sheetViews>
  <sheetFormatPr defaultRowHeight="15" x14ac:dyDescent="0.25"/>
  <cols>
    <col min="2" max="2" width="14.7109375" bestFit="1" customWidth="1"/>
    <col min="3" max="3" width="27.140625" bestFit="1" customWidth="1"/>
    <col min="4" max="4" width="26.28515625" bestFit="1" customWidth="1"/>
    <col min="5" max="5" width="21.140625" bestFit="1" customWidth="1"/>
    <col min="6" max="6" width="8.42578125" bestFit="1" customWidth="1"/>
    <col min="7" max="7" width="27.140625" bestFit="1" customWidth="1"/>
    <col min="8" max="8" width="14" bestFit="1" customWidth="1"/>
    <col min="9" max="9" width="17" bestFit="1" customWidth="1"/>
    <col min="10" max="12" width="21.140625" bestFit="1" customWidth="1"/>
    <col min="13" max="13" width="11.28515625" bestFit="1" customWidth="1"/>
    <col min="14" max="14" width="14.28515625" bestFit="1" customWidth="1"/>
    <col min="15" max="15" width="17.85546875" bestFit="1" customWidth="1"/>
    <col min="16" max="16" width="14.28515625" bestFit="1" customWidth="1"/>
    <col min="17" max="17" width="22.85546875" bestFit="1" customWidth="1"/>
    <col min="18" max="18" width="19.28515625" bestFit="1" customWidth="1"/>
  </cols>
  <sheetData>
    <row r="2" spans="2:10" ht="18.75" x14ac:dyDescent="0.3">
      <c r="B2" s="37" t="s">
        <v>3904</v>
      </c>
      <c r="C2" s="37"/>
      <c r="D2" s="37"/>
      <c r="E2" s="37"/>
    </row>
    <row r="3" spans="2:10" x14ac:dyDescent="0.25">
      <c r="B3" s="21" t="s">
        <v>2</v>
      </c>
      <c r="C3" s="21" t="s">
        <v>3902</v>
      </c>
      <c r="D3" s="21" t="s">
        <v>3903</v>
      </c>
      <c r="E3" s="21" t="s">
        <v>3905</v>
      </c>
      <c r="G3" s="24" t="s">
        <v>3902</v>
      </c>
      <c r="H3" s="24" t="s">
        <v>3903</v>
      </c>
      <c r="I3" s="35" t="s">
        <v>3910</v>
      </c>
    </row>
    <row r="4" spans="2:10" x14ac:dyDescent="0.25">
      <c r="B4" s="16" t="s">
        <v>3868</v>
      </c>
      <c r="C4" s="15">
        <v>212184227</v>
      </c>
      <c r="D4" s="15">
        <v>246024790</v>
      </c>
      <c r="E4" s="15">
        <v>-33840563</v>
      </c>
      <c r="G4" s="25">
        <v>1558847775</v>
      </c>
      <c r="H4" s="25">
        <v>1850701323</v>
      </c>
      <c r="I4" s="25">
        <v>61.262188046078769</v>
      </c>
    </row>
    <row r="5" spans="2:10" x14ac:dyDescent="0.25">
      <c r="B5" s="16" t="s">
        <v>3871</v>
      </c>
      <c r="C5" s="15">
        <v>203030089</v>
      </c>
      <c r="D5" s="15">
        <v>244383827</v>
      </c>
      <c r="E5" s="15">
        <v>-41353738</v>
      </c>
    </row>
    <row r="6" spans="2:10" x14ac:dyDescent="0.25">
      <c r="B6" s="16" t="s">
        <v>3869</v>
      </c>
      <c r="C6" s="15">
        <v>203060067</v>
      </c>
      <c r="D6" s="15">
        <v>251037690</v>
      </c>
      <c r="E6" s="15">
        <v>-47977623</v>
      </c>
    </row>
    <row r="7" spans="2:10" ht="18.75" x14ac:dyDescent="0.3">
      <c r="B7" s="22" t="s">
        <v>3901</v>
      </c>
      <c r="C7" s="23">
        <v>618274383</v>
      </c>
      <c r="D7" s="23">
        <v>741446307</v>
      </c>
      <c r="E7" s="23">
        <v>-123171924</v>
      </c>
      <c r="H7" s="41" t="s">
        <v>3911</v>
      </c>
      <c r="I7" s="41"/>
    </row>
    <row r="8" spans="2:10" x14ac:dyDescent="0.25">
      <c r="H8" s="31" t="s">
        <v>2</v>
      </c>
      <c r="I8" s="32" t="s">
        <v>3910</v>
      </c>
    </row>
    <row r="9" spans="2:10" x14ac:dyDescent="0.25">
      <c r="H9" s="36" t="s">
        <v>3894</v>
      </c>
      <c r="I9" s="27">
        <v>56.815704960202929</v>
      </c>
    </row>
    <row r="10" spans="2:10" x14ac:dyDescent="0.25">
      <c r="H10" s="36" t="s">
        <v>3895</v>
      </c>
      <c r="I10" s="27">
        <v>53.777720738221845</v>
      </c>
    </row>
    <row r="11" spans="2:10" x14ac:dyDescent="0.25">
      <c r="H11" s="36" t="s">
        <v>3893</v>
      </c>
      <c r="I11" s="27">
        <v>79.859889859909515</v>
      </c>
    </row>
    <row r="12" spans="2:10" x14ac:dyDescent="0.25">
      <c r="H12" s="36" t="s">
        <v>3896</v>
      </c>
      <c r="I12" s="27">
        <v>52.793768097771405</v>
      </c>
    </row>
    <row r="13" spans="2:10" x14ac:dyDescent="0.25">
      <c r="H13" s="33" t="s">
        <v>3901</v>
      </c>
      <c r="I13" s="34">
        <v>61.262188046078791</v>
      </c>
    </row>
    <row r="16" spans="2:10" ht="18.75" x14ac:dyDescent="0.3">
      <c r="I16" s="42" t="s">
        <v>3912</v>
      </c>
      <c r="J16" s="43"/>
    </row>
    <row r="17" spans="2:10" x14ac:dyDescent="0.25">
      <c r="B17" s="14" t="s">
        <v>3</v>
      </c>
      <c r="C17" t="s">
        <v>3907</v>
      </c>
      <c r="I17" s="28" t="s">
        <v>3</v>
      </c>
      <c r="J17" s="28" t="s">
        <v>3905</v>
      </c>
    </row>
    <row r="18" spans="2:10" ht="18.75" x14ac:dyDescent="0.3">
      <c r="B18" s="38" t="s">
        <v>3908</v>
      </c>
      <c r="C18" s="39"/>
      <c r="D18" s="39"/>
      <c r="E18" s="39"/>
      <c r="F18" s="39"/>
      <c r="G18" s="40"/>
      <c r="I18" s="16" t="s">
        <v>3882</v>
      </c>
      <c r="J18" s="15">
        <v>-42211974</v>
      </c>
    </row>
    <row r="19" spans="2:10" x14ac:dyDescent="0.25">
      <c r="B19" s="17" t="s">
        <v>3906</v>
      </c>
      <c r="C19" s="17" t="s">
        <v>3909</v>
      </c>
      <c r="I19" s="16" t="s">
        <v>3878</v>
      </c>
      <c r="J19" s="15">
        <v>-34987403</v>
      </c>
    </row>
    <row r="20" spans="2:10" x14ac:dyDescent="0.25">
      <c r="B20" s="18" t="s">
        <v>2</v>
      </c>
      <c r="C20" s="26" t="s">
        <v>3887</v>
      </c>
      <c r="D20" s="18" t="s">
        <v>3886</v>
      </c>
      <c r="E20" s="18" t="s">
        <v>3885</v>
      </c>
      <c r="F20" s="18" t="s">
        <v>3884</v>
      </c>
      <c r="G20" s="26" t="s">
        <v>3901</v>
      </c>
      <c r="I20" s="16" t="s">
        <v>3879</v>
      </c>
      <c r="J20" s="15">
        <v>-31105045</v>
      </c>
    </row>
    <row r="21" spans="2:10" x14ac:dyDescent="0.25">
      <c r="B21" s="16" t="s">
        <v>3868</v>
      </c>
      <c r="C21" s="15">
        <v>15</v>
      </c>
      <c r="D21" s="15">
        <v>108</v>
      </c>
      <c r="E21" s="15">
        <v>63</v>
      </c>
      <c r="F21" s="15">
        <v>211</v>
      </c>
      <c r="G21" s="15">
        <v>397</v>
      </c>
      <c r="I21" s="16" t="s">
        <v>3883</v>
      </c>
      <c r="J21" s="15">
        <v>-41404522</v>
      </c>
    </row>
    <row r="22" spans="2:10" x14ac:dyDescent="0.25">
      <c r="B22" s="16" t="s">
        <v>3873</v>
      </c>
      <c r="C22" s="15">
        <v>13</v>
      </c>
      <c r="D22" s="15">
        <v>77</v>
      </c>
      <c r="E22" s="15">
        <v>68</v>
      </c>
      <c r="F22" s="15">
        <v>191</v>
      </c>
      <c r="G22" s="15">
        <v>349</v>
      </c>
      <c r="I22" s="16" t="s">
        <v>3877</v>
      </c>
      <c r="J22" s="15">
        <v>-18918392</v>
      </c>
    </row>
    <row r="23" spans="2:10" x14ac:dyDescent="0.25">
      <c r="B23" s="16" t="s">
        <v>3871</v>
      </c>
      <c r="C23" s="15">
        <v>20</v>
      </c>
      <c r="D23" s="15">
        <v>101</v>
      </c>
      <c r="E23" s="15">
        <v>69</v>
      </c>
      <c r="F23" s="15">
        <v>204</v>
      </c>
      <c r="G23" s="15">
        <v>394</v>
      </c>
      <c r="I23" s="16" t="s">
        <v>3881</v>
      </c>
      <c r="J23" s="15">
        <v>-41299150</v>
      </c>
    </row>
    <row r="24" spans="2:10" x14ac:dyDescent="0.25">
      <c r="B24" s="16" t="s">
        <v>3875</v>
      </c>
      <c r="C24" s="15">
        <v>11</v>
      </c>
      <c r="D24" s="15">
        <v>93</v>
      </c>
      <c r="E24" s="15">
        <v>56</v>
      </c>
      <c r="F24" s="15">
        <v>221</v>
      </c>
      <c r="G24" s="15">
        <v>381</v>
      </c>
      <c r="I24" s="16" t="s">
        <v>3880</v>
      </c>
      <c r="J24" s="15">
        <v>-53937268</v>
      </c>
    </row>
    <row r="25" spans="2:10" x14ac:dyDescent="0.25">
      <c r="B25" s="16" t="s">
        <v>3869</v>
      </c>
      <c r="C25" s="15">
        <v>19</v>
      </c>
      <c r="D25" s="15">
        <v>93</v>
      </c>
      <c r="E25" s="15">
        <v>60</v>
      </c>
      <c r="F25" s="15">
        <v>218</v>
      </c>
      <c r="G25" s="15">
        <v>390</v>
      </c>
      <c r="I25" s="16" t="s">
        <v>3876</v>
      </c>
      <c r="J25" s="15">
        <v>-27989794</v>
      </c>
    </row>
    <row r="26" spans="2:10" x14ac:dyDescent="0.25">
      <c r="B26" s="16" t="s">
        <v>3874</v>
      </c>
      <c r="C26" s="15">
        <v>15</v>
      </c>
      <c r="D26" s="15">
        <v>88</v>
      </c>
      <c r="E26" s="15">
        <v>46</v>
      </c>
      <c r="F26" s="15">
        <v>215</v>
      </c>
      <c r="G26" s="15">
        <v>364</v>
      </c>
      <c r="I26" s="29" t="s">
        <v>3901</v>
      </c>
      <c r="J26" s="30">
        <v>-291853548</v>
      </c>
    </row>
    <row r="27" spans="2:10" x14ac:dyDescent="0.25">
      <c r="B27" s="16" t="s">
        <v>3872</v>
      </c>
      <c r="C27" s="15">
        <v>13</v>
      </c>
      <c r="D27" s="15">
        <v>93</v>
      </c>
      <c r="E27" s="15">
        <v>53</v>
      </c>
      <c r="F27" s="15">
        <v>213</v>
      </c>
      <c r="G27" s="15">
        <v>372</v>
      </c>
    </row>
    <row r="28" spans="2:10" x14ac:dyDescent="0.25">
      <c r="B28" s="16" t="s">
        <v>3870</v>
      </c>
      <c r="C28" s="15">
        <v>16</v>
      </c>
      <c r="D28" s="15">
        <v>91</v>
      </c>
      <c r="E28" s="15">
        <v>66</v>
      </c>
      <c r="F28" s="15">
        <v>180</v>
      </c>
      <c r="G28" s="15">
        <v>353</v>
      </c>
    </row>
    <row r="29" spans="2:10" x14ac:dyDescent="0.25">
      <c r="B29" s="19" t="s">
        <v>3901</v>
      </c>
      <c r="C29" s="20">
        <v>122</v>
      </c>
      <c r="D29" s="20">
        <v>744</v>
      </c>
      <c r="E29" s="20">
        <v>481</v>
      </c>
      <c r="F29" s="20">
        <v>1653</v>
      </c>
      <c r="G29" s="20">
        <v>3000</v>
      </c>
    </row>
  </sheetData>
  <mergeCells count="4">
    <mergeCell ref="B2:E2"/>
    <mergeCell ref="B18:G18"/>
    <mergeCell ref="H7:I7"/>
    <mergeCell ref="I16:J16"/>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165E-54FF-473B-AA49-C83F9D594E14}">
  <dimension ref="A1"/>
  <sheetViews>
    <sheetView showGridLines="0" showRowColHeaders="0" tabSelected="1" zoomScale="70" zoomScaleNormal="70" workbookViewId="0">
      <selection activeCell="W35" sqref="W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Data</vt:lpstr>
      <vt:lpstr>Insights</vt:lpstr>
      <vt:lpstr>Dashboard</vt:lpstr>
      <vt:lpstr>Department</vt:lpstr>
      <vt:lpstr>Manager_Name</vt:lpstr>
      <vt:lpstr>Project_ID</vt:lpstr>
      <vt:lpstr>Project_Name</vt:lpstr>
      <vt:lpstr>Start_Date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Raza</cp:lastModifiedBy>
  <dcterms:created xsi:type="dcterms:W3CDTF">2025-10-15T10:00:32Z</dcterms:created>
  <dcterms:modified xsi:type="dcterms:W3CDTF">2025-10-18T07:05:40Z</dcterms:modified>
</cp:coreProperties>
</file>